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diagrams/data4.xml" ContentType="application/vnd.openxmlformats-officedocument.drawingml.diagramData+xml"/>
  <Override PartName="/xl/diagrams/data1.xml" ContentType="application/vnd.openxmlformats-officedocument.drawingml.diagramData+xml"/>
  <Override PartName="/xl/diagrams/data2.xml" ContentType="application/vnd.openxmlformats-officedocument.drawingml.diagramData+xml"/>
  <Override PartName="/xl/diagrams/data3.xml" ContentType="application/vnd.openxmlformats-officedocument.drawingml.diagramData+xml"/>
  <Override PartName="/xl/diagrams/layout2.xml" ContentType="application/vnd.openxmlformats-officedocument.drawingml.diagramLayout+xml"/>
  <Override PartName="/xl/diagrams/layout3.xml" ContentType="application/vnd.openxmlformats-officedocument.drawingml.diagramLayout+xml"/>
  <Override PartName="/xl/diagrams/layout4.xml" ContentType="application/vnd.openxmlformats-officedocument.drawingml.diagramLayout+xml"/>
  <Override PartName="/xl/diagrams/layout1.xml" ContentType="application/vnd.openxmlformats-officedocument.drawingml.diagramLayout+xml"/>
  <Override PartName="/xl/diagrams/quickStyle4.xml" ContentType="application/vnd.openxmlformats-officedocument.drawingml.diagramStyle+xml"/>
  <Override PartName="/xl/diagrams/quickStyle1.xml" ContentType="application/vnd.openxmlformats-officedocument.drawingml.diagramStyle+xml"/>
  <Override PartName="/xl/diagrams/quickStyle2.xml" ContentType="application/vnd.openxmlformats-officedocument.drawingml.diagramStyle+xml"/>
  <Override PartName="/xl/diagrams/quickStyle3.xml" ContentType="application/vnd.openxmlformats-officedocument.drawingml.diagramStyle+xml"/>
  <Override PartName="/xl/diagrams/colors4.xml" ContentType="application/vnd.openxmlformats-officedocument.drawingml.diagramColors+xml"/>
  <Override PartName="/xl/diagrams/colors1.xml" ContentType="application/vnd.openxmlformats-officedocument.drawingml.diagramColors+xml"/>
  <Override PartName="/xl/diagrams/colors2.xml" ContentType="application/vnd.openxmlformats-officedocument.drawingml.diagramColors+xml"/>
  <Override PartName="/xl/diagrams/colors3.xml" ContentType="application/vnd.openxmlformats-officedocument.drawingml.diagramColors+xml"/>
  <Override PartName="/xl/diagrams/drawing4.xml" ContentType="application/vnd.ms-office.drawingml.diagramDrawing+xml"/>
  <Override PartName="/xl/diagrams/drawing1.xml" ContentType="application/vnd.ms-office.drawingml.diagramDrawing+xml"/>
  <Override PartName="/xl/diagrams/drawing3.xml" ContentType="application/vnd.ms-office.drawingml.diagramDrawing+xml"/>
  <Override PartName="/xl/diagrams/drawing2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usuario\Documents\CLIENTES\FONTAN\2025\"/>
    </mc:Choice>
  </mc:AlternateContent>
  <xr:revisionPtr revIDLastSave="0" documentId="8_{4AE89673-6709-4379-95AF-AB12BC24F9E9}" xr6:coauthVersionLast="47" xr6:coauthVersionMax="47" xr10:uidLastSave="{00000000-0000-0000-0000-000000000000}"/>
  <bookViews>
    <workbookView xWindow="-110" yWindow="-110" windowWidth="19420" windowHeight="10420" firstSheet="2" xr2:uid="{F8E3334A-18EB-4A91-929C-B5EEFFA738F2}"/>
  </bookViews>
  <sheets>
    <sheet name="Datos Preescolar" sheetId="1" r:id="rId1"/>
    <sheet name="Datos Primaria" sheetId="2" r:id="rId2"/>
    <sheet name="Datos Bachillerato" sheetId="3" r:id="rId3"/>
    <sheet name="Preescolar" sheetId="6" r:id="rId4"/>
    <sheet name="Primaria" sheetId="4" r:id="rId5"/>
    <sheet name="Bachillerato" sheetId="5" r:id="rId6"/>
    <sheet name="General" sheetId="7" r:id="rId7"/>
    <sheet name="gráfico" sheetId="13" r:id="rId8"/>
    <sheet name="Resumen" sheetId="8" r:id="rId9"/>
    <sheet name="Resumen 2023 - ERROR" sheetId="9" state="hidden" r:id="rId10"/>
    <sheet name="Resumen2" sheetId="10" r:id="rId11"/>
    <sheet name="General2" sheetId="11" r:id="rId12"/>
    <sheet name="comparativo semestre" sheetId="12" r:id="rId13"/>
    <sheet name="comparativo trimestre" sheetId="14" r:id="rId14"/>
  </sheets>
  <definedNames>
    <definedName name="_xlnm._FilterDatabase" localSheetId="2" hidden="1">'Datos Bachillerato'!$B$1:$T$1</definedName>
    <definedName name="_xlnm._FilterDatabase" localSheetId="0" hidden="1">'Datos Preescolar'!$B$1:$Q$117</definedName>
    <definedName name="_xlnm._FilterDatabase" localSheetId="1" hidden="1">'Datos Primaria'!$B$1:$T$1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0" i="3" l="1"/>
  <c r="O320" i="3"/>
  <c r="N320" i="3"/>
  <c r="M320" i="3"/>
  <c r="P200" i="2"/>
  <c r="O200" i="2"/>
  <c r="N200" i="2"/>
  <c r="M200" i="2"/>
  <c r="P199" i="2"/>
  <c r="O199" i="2"/>
  <c r="N199" i="2"/>
  <c r="M199" i="2"/>
  <c r="P198" i="2"/>
  <c r="O198" i="2"/>
  <c r="N198" i="2"/>
  <c r="M198" i="2"/>
  <c r="S79" i="14" l="1"/>
  <c r="S78" i="14"/>
  <c r="S77" i="14"/>
  <c r="S76" i="14"/>
  <c r="S75" i="14"/>
  <c r="S74" i="14"/>
  <c r="S73" i="14"/>
  <c r="S72" i="14"/>
  <c r="S71" i="14"/>
  <c r="A69" i="14"/>
  <c r="A70" i="14"/>
  <c r="A71" i="14"/>
  <c r="A72" i="14"/>
  <c r="A73" i="14"/>
  <c r="A74" i="14"/>
  <c r="A75" i="14"/>
  <c r="A76" i="14"/>
  <c r="A77" i="14"/>
  <c r="A78" i="14"/>
  <c r="A79" i="14"/>
  <c r="A68" i="14"/>
  <c r="A54" i="14"/>
  <c r="A55" i="14"/>
  <c r="A56" i="14"/>
  <c r="A57" i="14"/>
  <c r="A58" i="14"/>
  <c r="A59" i="14"/>
  <c r="A60" i="14"/>
  <c r="A61" i="14"/>
  <c r="A62" i="14"/>
  <c r="A63" i="14"/>
  <c r="A64" i="14"/>
  <c r="A53" i="14"/>
  <c r="A38" i="14"/>
  <c r="A39" i="14"/>
  <c r="A40" i="14"/>
  <c r="A41" i="14"/>
  <c r="A42" i="14"/>
  <c r="A43" i="14"/>
  <c r="A44" i="14"/>
  <c r="A45" i="14"/>
  <c r="A46" i="14"/>
  <c r="A47" i="14"/>
  <c r="A48" i="14"/>
  <c r="A37" i="14"/>
  <c r="P32" i="14"/>
  <c r="A32" i="14"/>
  <c r="P31" i="14"/>
  <c r="A31" i="14"/>
  <c r="P30" i="14"/>
  <c r="A30" i="14"/>
  <c r="P29" i="14"/>
  <c r="A29" i="14"/>
  <c r="A26" i="14"/>
  <c r="A27" i="14"/>
  <c r="A28" i="14"/>
  <c r="P26" i="14"/>
  <c r="P27" i="14"/>
  <c r="A25" i="14"/>
  <c r="A24" i="14"/>
  <c r="A23" i="14"/>
  <c r="A22" i="14"/>
  <c r="A21" i="14"/>
  <c r="P22" i="14"/>
  <c r="P23" i="14"/>
  <c r="S70" i="14"/>
  <c r="S69" i="14"/>
  <c r="S68" i="14"/>
  <c r="P28" i="14"/>
  <c r="P25" i="14"/>
  <c r="P24" i="14"/>
  <c r="P21" i="14"/>
  <c r="S37" i="12"/>
  <c r="I6" i="8" l="1"/>
  <c r="H6" i="8"/>
  <c r="G6" i="8"/>
  <c r="F6" i="8"/>
  <c r="E6" i="8"/>
  <c r="D6" i="8"/>
  <c r="C6" i="8"/>
  <c r="L28" i="1" l="1"/>
  <c r="P16" i="12" l="1"/>
  <c r="M143" i="3" l="1"/>
  <c r="M74" i="3"/>
  <c r="L49" i="1"/>
  <c r="L77" i="1"/>
  <c r="L80" i="1"/>
  <c r="L90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M77" i="1"/>
  <c r="N77" i="1"/>
  <c r="L78" i="1"/>
  <c r="M78" i="1"/>
  <c r="N78" i="1"/>
  <c r="L79" i="1"/>
  <c r="M79" i="1"/>
  <c r="N79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P319" i="3"/>
  <c r="O319" i="3"/>
  <c r="N319" i="3"/>
  <c r="M319" i="3"/>
  <c r="P318" i="3"/>
  <c r="O318" i="3"/>
  <c r="N318" i="3"/>
  <c r="M318" i="3"/>
  <c r="P317" i="3"/>
  <c r="O317" i="3"/>
  <c r="N317" i="3"/>
  <c r="M317" i="3"/>
  <c r="P316" i="3"/>
  <c r="O316" i="3"/>
  <c r="N316" i="3"/>
  <c r="M316" i="3"/>
  <c r="P315" i="3"/>
  <c r="O315" i="3"/>
  <c r="N315" i="3"/>
  <c r="M315" i="3"/>
  <c r="P314" i="3"/>
  <c r="O314" i="3"/>
  <c r="N314" i="3"/>
  <c r="M314" i="3"/>
  <c r="P313" i="3"/>
  <c r="O313" i="3"/>
  <c r="N313" i="3"/>
  <c r="M313" i="3"/>
  <c r="P312" i="3"/>
  <c r="O312" i="3"/>
  <c r="N312" i="3"/>
  <c r="M312" i="3"/>
  <c r="P311" i="3"/>
  <c r="O311" i="3"/>
  <c r="N311" i="3"/>
  <c r="M311" i="3"/>
  <c r="P310" i="3"/>
  <c r="O310" i="3"/>
  <c r="N310" i="3"/>
  <c r="M310" i="3"/>
  <c r="P309" i="3"/>
  <c r="O309" i="3"/>
  <c r="N309" i="3"/>
  <c r="M309" i="3"/>
  <c r="P308" i="3"/>
  <c r="O308" i="3"/>
  <c r="N308" i="3"/>
  <c r="M308" i="3"/>
  <c r="P307" i="3"/>
  <c r="O307" i="3"/>
  <c r="N307" i="3"/>
  <c r="M307" i="3"/>
  <c r="P306" i="3"/>
  <c r="O306" i="3"/>
  <c r="N306" i="3"/>
  <c r="M306" i="3"/>
  <c r="P305" i="3"/>
  <c r="O305" i="3"/>
  <c r="N305" i="3"/>
  <c r="M305" i="3"/>
  <c r="P304" i="3"/>
  <c r="O304" i="3"/>
  <c r="N304" i="3"/>
  <c r="M304" i="3"/>
  <c r="P303" i="3"/>
  <c r="O303" i="3"/>
  <c r="N303" i="3"/>
  <c r="M303" i="3"/>
  <c r="P302" i="3"/>
  <c r="O302" i="3"/>
  <c r="N302" i="3"/>
  <c r="M302" i="3"/>
  <c r="P301" i="3"/>
  <c r="O301" i="3"/>
  <c r="N301" i="3"/>
  <c r="M301" i="3"/>
  <c r="P300" i="3"/>
  <c r="O300" i="3"/>
  <c r="N300" i="3"/>
  <c r="M300" i="3"/>
  <c r="P299" i="3"/>
  <c r="O299" i="3"/>
  <c r="N299" i="3"/>
  <c r="M299" i="3"/>
  <c r="P298" i="3"/>
  <c r="O298" i="3"/>
  <c r="N298" i="3"/>
  <c r="M298" i="3"/>
  <c r="P297" i="3"/>
  <c r="O297" i="3"/>
  <c r="N297" i="3"/>
  <c r="M297" i="3"/>
  <c r="P296" i="3"/>
  <c r="O296" i="3"/>
  <c r="N296" i="3"/>
  <c r="M296" i="3"/>
  <c r="P295" i="3"/>
  <c r="O295" i="3"/>
  <c r="N295" i="3"/>
  <c r="M295" i="3"/>
  <c r="P294" i="3"/>
  <c r="O294" i="3"/>
  <c r="N294" i="3"/>
  <c r="M294" i="3"/>
  <c r="P293" i="3"/>
  <c r="O293" i="3"/>
  <c r="N293" i="3"/>
  <c r="M293" i="3"/>
  <c r="P292" i="3"/>
  <c r="O292" i="3"/>
  <c r="N292" i="3"/>
  <c r="M292" i="3"/>
  <c r="P291" i="3"/>
  <c r="O291" i="3"/>
  <c r="N291" i="3"/>
  <c r="M291" i="3"/>
  <c r="P290" i="3"/>
  <c r="O290" i="3"/>
  <c r="N290" i="3"/>
  <c r="M290" i="3"/>
  <c r="P289" i="3"/>
  <c r="O289" i="3"/>
  <c r="N289" i="3"/>
  <c r="M289" i="3"/>
  <c r="P288" i="3"/>
  <c r="O288" i="3"/>
  <c r="N288" i="3"/>
  <c r="M288" i="3"/>
  <c r="P287" i="3"/>
  <c r="O287" i="3"/>
  <c r="N287" i="3"/>
  <c r="M287" i="3"/>
  <c r="P286" i="3"/>
  <c r="O286" i="3"/>
  <c r="N286" i="3"/>
  <c r="M286" i="3"/>
  <c r="P285" i="3"/>
  <c r="O285" i="3"/>
  <c r="N285" i="3"/>
  <c r="M285" i="3"/>
  <c r="P284" i="3"/>
  <c r="O284" i="3"/>
  <c r="N284" i="3"/>
  <c r="M284" i="3"/>
  <c r="P283" i="3"/>
  <c r="O283" i="3"/>
  <c r="N283" i="3"/>
  <c r="M283" i="3"/>
  <c r="P282" i="3"/>
  <c r="O282" i="3"/>
  <c r="N282" i="3"/>
  <c r="M282" i="3"/>
  <c r="P281" i="3"/>
  <c r="O281" i="3"/>
  <c r="N281" i="3"/>
  <c r="M281" i="3"/>
  <c r="P280" i="3"/>
  <c r="O280" i="3"/>
  <c r="N280" i="3"/>
  <c r="M280" i="3"/>
  <c r="P279" i="3"/>
  <c r="O279" i="3"/>
  <c r="N279" i="3"/>
  <c r="M279" i="3"/>
  <c r="P278" i="3"/>
  <c r="O278" i="3"/>
  <c r="N278" i="3"/>
  <c r="M278" i="3"/>
  <c r="P277" i="3"/>
  <c r="O277" i="3"/>
  <c r="N277" i="3"/>
  <c r="M277" i="3"/>
  <c r="P276" i="3"/>
  <c r="O276" i="3"/>
  <c r="N276" i="3"/>
  <c r="M276" i="3"/>
  <c r="P275" i="3"/>
  <c r="O275" i="3"/>
  <c r="N275" i="3"/>
  <c r="M275" i="3"/>
  <c r="P274" i="3"/>
  <c r="O274" i="3"/>
  <c r="N274" i="3"/>
  <c r="M274" i="3"/>
  <c r="P273" i="3"/>
  <c r="O273" i="3"/>
  <c r="N273" i="3"/>
  <c r="M273" i="3"/>
  <c r="P272" i="3"/>
  <c r="O272" i="3"/>
  <c r="N272" i="3"/>
  <c r="M272" i="3"/>
  <c r="P271" i="3"/>
  <c r="O271" i="3"/>
  <c r="N271" i="3"/>
  <c r="M271" i="3"/>
  <c r="P270" i="3"/>
  <c r="O270" i="3"/>
  <c r="N270" i="3"/>
  <c r="M270" i="3"/>
  <c r="P269" i="3"/>
  <c r="O269" i="3"/>
  <c r="N269" i="3"/>
  <c r="M269" i="3"/>
  <c r="P268" i="3"/>
  <c r="O268" i="3"/>
  <c r="N268" i="3"/>
  <c r="M268" i="3"/>
  <c r="P267" i="3"/>
  <c r="O267" i="3"/>
  <c r="N267" i="3"/>
  <c r="M267" i="3"/>
  <c r="P266" i="3"/>
  <c r="O266" i="3"/>
  <c r="N266" i="3"/>
  <c r="M266" i="3"/>
  <c r="P265" i="3"/>
  <c r="O265" i="3"/>
  <c r="N265" i="3"/>
  <c r="M265" i="3"/>
  <c r="P264" i="3"/>
  <c r="O264" i="3"/>
  <c r="N264" i="3"/>
  <c r="M264" i="3"/>
  <c r="P263" i="3"/>
  <c r="O263" i="3"/>
  <c r="N263" i="3"/>
  <c r="M263" i="3"/>
  <c r="P262" i="3"/>
  <c r="O262" i="3"/>
  <c r="N262" i="3"/>
  <c r="M262" i="3"/>
  <c r="P261" i="3"/>
  <c r="O261" i="3"/>
  <c r="N261" i="3"/>
  <c r="M261" i="3"/>
  <c r="P260" i="3"/>
  <c r="O260" i="3"/>
  <c r="N260" i="3"/>
  <c r="M260" i="3"/>
  <c r="P259" i="3"/>
  <c r="O259" i="3"/>
  <c r="N259" i="3"/>
  <c r="M259" i="3"/>
  <c r="P258" i="3"/>
  <c r="O258" i="3"/>
  <c r="N258" i="3"/>
  <c r="M258" i="3"/>
  <c r="P257" i="3"/>
  <c r="O257" i="3"/>
  <c r="N257" i="3"/>
  <c r="M257" i="3"/>
  <c r="P256" i="3"/>
  <c r="O256" i="3"/>
  <c r="N256" i="3"/>
  <c r="M256" i="3"/>
  <c r="P255" i="3"/>
  <c r="O255" i="3"/>
  <c r="N255" i="3"/>
  <c r="M255" i="3"/>
  <c r="P254" i="3"/>
  <c r="O254" i="3"/>
  <c r="N254" i="3"/>
  <c r="M254" i="3"/>
  <c r="P253" i="3"/>
  <c r="O253" i="3"/>
  <c r="N253" i="3"/>
  <c r="M253" i="3"/>
  <c r="P252" i="3"/>
  <c r="O252" i="3"/>
  <c r="N252" i="3"/>
  <c r="M252" i="3"/>
  <c r="P251" i="3"/>
  <c r="O251" i="3"/>
  <c r="N251" i="3"/>
  <c r="M251" i="3"/>
  <c r="P250" i="3"/>
  <c r="O250" i="3"/>
  <c r="N250" i="3"/>
  <c r="M250" i="3"/>
  <c r="P249" i="3"/>
  <c r="O249" i="3"/>
  <c r="N249" i="3"/>
  <c r="M249" i="3"/>
  <c r="P248" i="3"/>
  <c r="O248" i="3"/>
  <c r="N248" i="3"/>
  <c r="M248" i="3"/>
  <c r="P247" i="3"/>
  <c r="O247" i="3"/>
  <c r="N247" i="3"/>
  <c r="M247" i="3"/>
  <c r="P246" i="3"/>
  <c r="O246" i="3"/>
  <c r="N246" i="3"/>
  <c r="M246" i="3"/>
  <c r="P245" i="3"/>
  <c r="O245" i="3"/>
  <c r="N245" i="3"/>
  <c r="M245" i="3"/>
  <c r="P244" i="3"/>
  <c r="O244" i="3"/>
  <c r="N244" i="3"/>
  <c r="M244" i="3"/>
  <c r="P243" i="3"/>
  <c r="O243" i="3"/>
  <c r="N243" i="3"/>
  <c r="M243" i="3"/>
  <c r="P242" i="3"/>
  <c r="O242" i="3"/>
  <c r="N242" i="3"/>
  <c r="M242" i="3"/>
  <c r="P241" i="3"/>
  <c r="O241" i="3"/>
  <c r="N241" i="3"/>
  <c r="M241" i="3"/>
  <c r="P240" i="3"/>
  <c r="O240" i="3"/>
  <c r="N240" i="3"/>
  <c r="M240" i="3"/>
  <c r="P239" i="3"/>
  <c r="O239" i="3"/>
  <c r="N239" i="3"/>
  <c r="M239" i="3"/>
  <c r="P238" i="3"/>
  <c r="O238" i="3"/>
  <c r="N238" i="3"/>
  <c r="M238" i="3"/>
  <c r="P237" i="3"/>
  <c r="O237" i="3"/>
  <c r="N237" i="3"/>
  <c r="M237" i="3"/>
  <c r="P236" i="3"/>
  <c r="O236" i="3"/>
  <c r="N236" i="3"/>
  <c r="M236" i="3"/>
  <c r="P235" i="3"/>
  <c r="O235" i="3"/>
  <c r="N235" i="3"/>
  <c r="M235" i="3"/>
  <c r="P234" i="3"/>
  <c r="O234" i="3"/>
  <c r="N234" i="3"/>
  <c r="M234" i="3"/>
  <c r="P197" i="2"/>
  <c r="O197" i="2"/>
  <c r="N197" i="2"/>
  <c r="M197" i="2"/>
  <c r="P196" i="2"/>
  <c r="O196" i="2"/>
  <c r="N196" i="2"/>
  <c r="M196" i="2"/>
  <c r="P195" i="2"/>
  <c r="O195" i="2"/>
  <c r="N195" i="2"/>
  <c r="M195" i="2"/>
  <c r="P194" i="2"/>
  <c r="O194" i="2"/>
  <c r="N194" i="2"/>
  <c r="M194" i="2"/>
  <c r="P193" i="2"/>
  <c r="O193" i="2"/>
  <c r="N193" i="2"/>
  <c r="M193" i="2"/>
  <c r="P192" i="2"/>
  <c r="O192" i="2"/>
  <c r="N192" i="2"/>
  <c r="M192" i="2"/>
  <c r="P191" i="2"/>
  <c r="O191" i="2"/>
  <c r="N191" i="2"/>
  <c r="M191" i="2"/>
  <c r="P190" i="2"/>
  <c r="O190" i="2"/>
  <c r="N190" i="2"/>
  <c r="M190" i="2"/>
  <c r="P189" i="2"/>
  <c r="O189" i="2"/>
  <c r="N189" i="2"/>
  <c r="M189" i="2"/>
  <c r="P188" i="2"/>
  <c r="O188" i="2"/>
  <c r="N188" i="2"/>
  <c r="M188" i="2"/>
  <c r="P187" i="2"/>
  <c r="O187" i="2"/>
  <c r="N187" i="2"/>
  <c r="M187" i="2"/>
  <c r="P186" i="2"/>
  <c r="O186" i="2"/>
  <c r="N186" i="2"/>
  <c r="M186" i="2"/>
  <c r="P185" i="2"/>
  <c r="O185" i="2"/>
  <c r="N185" i="2"/>
  <c r="M185" i="2"/>
  <c r="P184" i="2"/>
  <c r="O184" i="2"/>
  <c r="N184" i="2"/>
  <c r="M184" i="2"/>
  <c r="P183" i="2"/>
  <c r="O183" i="2"/>
  <c r="N183" i="2"/>
  <c r="M183" i="2"/>
  <c r="P182" i="2"/>
  <c r="O182" i="2"/>
  <c r="N182" i="2"/>
  <c r="M182" i="2"/>
  <c r="P181" i="2"/>
  <c r="O181" i="2"/>
  <c r="N181" i="2"/>
  <c r="M181" i="2"/>
  <c r="P180" i="2"/>
  <c r="O180" i="2"/>
  <c r="N180" i="2"/>
  <c r="M180" i="2"/>
  <c r="P179" i="2"/>
  <c r="O179" i="2"/>
  <c r="N179" i="2"/>
  <c r="M179" i="2"/>
  <c r="P178" i="2"/>
  <c r="O178" i="2"/>
  <c r="N178" i="2"/>
  <c r="M178" i="2"/>
  <c r="P177" i="2"/>
  <c r="O177" i="2"/>
  <c r="N177" i="2"/>
  <c r="M177" i="2"/>
  <c r="P176" i="2"/>
  <c r="O176" i="2"/>
  <c r="N176" i="2"/>
  <c r="M176" i="2"/>
  <c r="P175" i="2"/>
  <c r="O175" i="2"/>
  <c r="N175" i="2"/>
  <c r="M175" i="2"/>
  <c r="P174" i="2"/>
  <c r="O174" i="2"/>
  <c r="N174" i="2"/>
  <c r="M174" i="2"/>
  <c r="P173" i="2"/>
  <c r="O173" i="2"/>
  <c r="N173" i="2"/>
  <c r="M173" i="2"/>
  <c r="P172" i="2"/>
  <c r="O172" i="2"/>
  <c r="N172" i="2"/>
  <c r="M172" i="2"/>
  <c r="P171" i="2"/>
  <c r="O171" i="2"/>
  <c r="N171" i="2"/>
  <c r="M171" i="2"/>
  <c r="P170" i="2"/>
  <c r="O170" i="2"/>
  <c r="N170" i="2"/>
  <c r="M170" i="2"/>
  <c r="P169" i="2"/>
  <c r="O169" i="2"/>
  <c r="N169" i="2"/>
  <c r="M169" i="2"/>
  <c r="P168" i="2"/>
  <c r="O168" i="2"/>
  <c r="N168" i="2"/>
  <c r="M168" i="2"/>
  <c r="P167" i="2"/>
  <c r="O167" i="2"/>
  <c r="N167" i="2"/>
  <c r="M167" i="2"/>
  <c r="P166" i="2"/>
  <c r="O166" i="2"/>
  <c r="N166" i="2"/>
  <c r="M166" i="2"/>
  <c r="P165" i="2"/>
  <c r="O165" i="2"/>
  <c r="N165" i="2"/>
  <c r="M165" i="2"/>
  <c r="P164" i="2"/>
  <c r="O164" i="2"/>
  <c r="N164" i="2"/>
  <c r="M164" i="2"/>
  <c r="P163" i="2"/>
  <c r="O163" i="2"/>
  <c r="N163" i="2"/>
  <c r="M163" i="2"/>
  <c r="P162" i="2"/>
  <c r="O162" i="2"/>
  <c r="N162" i="2"/>
  <c r="M162" i="2"/>
  <c r="P161" i="2"/>
  <c r="O161" i="2"/>
  <c r="N161" i="2"/>
  <c r="M161" i="2"/>
  <c r="P160" i="2"/>
  <c r="O160" i="2"/>
  <c r="N160" i="2"/>
  <c r="M160" i="2"/>
  <c r="P159" i="2"/>
  <c r="O159" i="2"/>
  <c r="N159" i="2"/>
  <c r="M159" i="2"/>
  <c r="P158" i="2"/>
  <c r="O158" i="2"/>
  <c r="N158" i="2"/>
  <c r="M158" i="2"/>
  <c r="P157" i="2"/>
  <c r="O157" i="2"/>
  <c r="N157" i="2"/>
  <c r="M157" i="2"/>
  <c r="P156" i="2"/>
  <c r="O156" i="2"/>
  <c r="N156" i="2"/>
  <c r="M156" i="2"/>
  <c r="P155" i="2"/>
  <c r="O155" i="2"/>
  <c r="N155" i="2"/>
  <c r="M155" i="2"/>
  <c r="P154" i="2"/>
  <c r="O154" i="2"/>
  <c r="N154" i="2"/>
  <c r="M154" i="2"/>
  <c r="P153" i="2"/>
  <c r="O153" i="2"/>
  <c r="N153" i="2"/>
  <c r="M153" i="2"/>
  <c r="P152" i="2"/>
  <c r="O152" i="2"/>
  <c r="N152" i="2"/>
  <c r="M152" i="2"/>
  <c r="P151" i="2"/>
  <c r="O151" i="2"/>
  <c r="N151" i="2"/>
  <c r="M151" i="2"/>
  <c r="P150" i="2"/>
  <c r="O150" i="2"/>
  <c r="N150" i="2"/>
  <c r="M150" i="2"/>
  <c r="P149" i="2"/>
  <c r="O149" i="2"/>
  <c r="N149" i="2"/>
  <c r="M149" i="2"/>
  <c r="P148" i="2"/>
  <c r="O148" i="2"/>
  <c r="N148" i="2"/>
  <c r="M148" i="2"/>
  <c r="P147" i="2"/>
  <c r="O147" i="2"/>
  <c r="N147" i="2"/>
  <c r="M147" i="2"/>
  <c r="P146" i="2"/>
  <c r="O146" i="2"/>
  <c r="N146" i="2"/>
  <c r="M146" i="2"/>
  <c r="P145" i="2"/>
  <c r="O145" i="2"/>
  <c r="N145" i="2"/>
  <c r="M145" i="2"/>
  <c r="P144" i="2"/>
  <c r="O144" i="2"/>
  <c r="N144" i="2"/>
  <c r="M144" i="2"/>
  <c r="P143" i="2"/>
  <c r="O143" i="2"/>
  <c r="N143" i="2"/>
  <c r="M143" i="2"/>
  <c r="P142" i="2"/>
  <c r="O142" i="2"/>
  <c r="N142" i="2"/>
  <c r="M142" i="2"/>
  <c r="P141" i="2"/>
  <c r="O141" i="2"/>
  <c r="N141" i="2"/>
  <c r="M141" i="2"/>
  <c r="P140" i="2"/>
  <c r="O140" i="2"/>
  <c r="N140" i="2"/>
  <c r="M140" i="2"/>
  <c r="P139" i="2"/>
  <c r="O139" i="2"/>
  <c r="N139" i="2"/>
  <c r="M139" i="2"/>
  <c r="P138" i="2"/>
  <c r="O138" i="2"/>
  <c r="N138" i="2"/>
  <c r="M138" i="2"/>
  <c r="P137" i="2"/>
  <c r="O137" i="2"/>
  <c r="N137" i="2"/>
  <c r="M137" i="2"/>
  <c r="P136" i="2"/>
  <c r="O136" i="2"/>
  <c r="N136" i="2"/>
  <c r="M136" i="2"/>
  <c r="P135" i="2"/>
  <c r="O135" i="2"/>
  <c r="N135" i="2"/>
  <c r="M135" i="2"/>
  <c r="P134" i="2"/>
  <c r="O134" i="2"/>
  <c r="N134" i="2"/>
  <c r="M134" i="2"/>
  <c r="P133" i="2"/>
  <c r="O133" i="2"/>
  <c r="N133" i="2"/>
  <c r="M133" i="2"/>
  <c r="P132" i="2"/>
  <c r="O132" i="2"/>
  <c r="N132" i="2"/>
  <c r="M132" i="2"/>
  <c r="P131" i="2"/>
  <c r="O131" i="2"/>
  <c r="N131" i="2"/>
  <c r="M131" i="2"/>
  <c r="P130" i="2"/>
  <c r="O130" i="2"/>
  <c r="N130" i="2"/>
  <c r="M130" i="2"/>
  <c r="P129" i="2"/>
  <c r="O129" i="2"/>
  <c r="N129" i="2"/>
  <c r="M129" i="2"/>
  <c r="P128" i="2"/>
  <c r="O128" i="2"/>
  <c r="N128" i="2"/>
  <c r="M128" i="2"/>
  <c r="P127" i="2"/>
  <c r="O127" i="2"/>
  <c r="N127" i="2"/>
  <c r="M127" i="2"/>
  <c r="P126" i="2"/>
  <c r="O126" i="2"/>
  <c r="N126" i="2"/>
  <c r="M126" i="2"/>
  <c r="P125" i="2"/>
  <c r="O125" i="2"/>
  <c r="N125" i="2"/>
  <c r="M125" i="2"/>
  <c r="P124" i="2"/>
  <c r="O124" i="2"/>
  <c r="N124" i="2"/>
  <c r="M124" i="2"/>
  <c r="P123" i="2"/>
  <c r="O123" i="2"/>
  <c r="N123" i="2"/>
  <c r="M123" i="2"/>
  <c r="P122" i="2"/>
  <c r="O122" i="2"/>
  <c r="N122" i="2"/>
  <c r="M122" i="2"/>
  <c r="P121" i="2"/>
  <c r="O121" i="2"/>
  <c r="N121" i="2"/>
  <c r="M121" i="2"/>
  <c r="P120" i="2"/>
  <c r="O120" i="2"/>
  <c r="N120" i="2"/>
  <c r="M120" i="2"/>
  <c r="P119" i="2"/>
  <c r="O119" i="2"/>
  <c r="N119" i="2"/>
  <c r="M119" i="2"/>
  <c r="P118" i="2"/>
  <c r="O118" i="2"/>
  <c r="N118" i="2"/>
  <c r="M118" i="2"/>
  <c r="P117" i="2"/>
  <c r="O117" i="2"/>
  <c r="N117" i="2"/>
  <c r="M117" i="2"/>
  <c r="P116" i="2"/>
  <c r="O116" i="2"/>
  <c r="N116" i="2"/>
  <c r="M116" i="2"/>
  <c r="P115" i="2"/>
  <c r="O115" i="2"/>
  <c r="N115" i="2"/>
  <c r="M115" i="2"/>
  <c r="P114" i="2"/>
  <c r="O114" i="2"/>
  <c r="N114" i="2"/>
  <c r="M114" i="2"/>
  <c r="P113" i="2"/>
  <c r="O113" i="2"/>
  <c r="N113" i="2"/>
  <c r="M113" i="2"/>
  <c r="P112" i="2"/>
  <c r="O112" i="2"/>
  <c r="N112" i="2"/>
  <c r="M112" i="2"/>
  <c r="P111" i="2"/>
  <c r="O111" i="2"/>
  <c r="N111" i="2"/>
  <c r="M111" i="2"/>
  <c r="P110" i="2"/>
  <c r="O110" i="2"/>
  <c r="N110" i="2"/>
  <c r="M110" i="2"/>
  <c r="P109" i="2"/>
  <c r="O109" i="2"/>
  <c r="N109" i="2"/>
  <c r="M109" i="2"/>
  <c r="P108" i="2"/>
  <c r="O108" i="2"/>
  <c r="N108" i="2"/>
  <c r="M108" i="2"/>
  <c r="P107" i="2"/>
  <c r="O107" i="2"/>
  <c r="N107" i="2"/>
  <c r="M107" i="2"/>
  <c r="P106" i="2"/>
  <c r="O106" i="2"/>
  <c r="N106" i="2"/>
  <c r="M106" i="2"/>
  <c r="P105" i="2"/>
  <c r="O105" i="2"/>
  <c r="N105" i="2"/>
  <c r="M105" i="2"/>
  <c r="P104" i="2"/>
  <c r="O104" i="2"/>
  <c r="N104" i="2"/>
  <c r="M104" i="2"/>
  <c r="P103" i="2"/>
  <c r="O103" i="2"/>
  <c r="N103" i="2"/>
  <c r="M103" i="2"/>
  <c r="P102" i="2"/>
  <c r="O102" i="2"/>
  <c r="N102" i="2"/>
  <c r="M102" i="2"/>
  <c r="P101" i="2"/>
  <c r="O101" i="2"/>
  <c r="N101" i="2"/>
  <c r="M101" i="2"/>
  <c r="P100" i="2"/>
  <c r="O100" i="2"/>
  <c r="N100" i="2"/>
  <c r="M100" i="2"/>
  <c r="P99" i="2"/>
  <c r="O99" i="2"/>
  <c r="N99" i="2"/>
  <c r="M9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2" i="2"/>
  <c r="A147" i="7" l="1"/>
  <c r="A135" i="7"/>
  <c r="A123" i="7"/>
  <c r="A107" i="7"/>
  <c r="A95" i="7"/>
  <c r="A83" i="7"/>
  <c r="A67" i="7"/>
  <c r="A55" i="7"/>
  <c r="A43" i="7"/>
  <c r="Q78" i="7"/>
  <c r="Q77" i="7"/>
  <c r="Q76" i="7"/>
  <c r="Q75" i="7"/>
  <c r="Q74" i="7"/>
  <c r="Q73" i="7"/>
  <c r="Q72" i="7"/>
  <c r="Q71" i="7"/>
  <c r="Q70" i="7"/>
  <c r="Q69" i="7"/>
  <c r="Q6" i="8" s="1"/>
  <c r="Q68" i="7"/>
  <c r="Q67" i="7"/>
  <c r="H148" i="5"/>
  <c r="G148" i="5"/>
  <c r="F148" i="5"/>
  <c r="E148" i="5"/>
  <c r="D148" i="5"/>
  <c r="C148" i="5"/>
  <c r="H158" i="5"/>
  <c r="G158" i="5"/>
  <c r="F158" i="5"/>
  <c r="E158" i="5"/>
  <c r="D158" i="5"/>
  <c r="C158" i="5"/>
  <c r="H157" i="5"/>
  <c r="G157" i="5"/>
  <c r="F157" i="5"/>
  <c r="E157" i="5"/>
  <c r="D157" i="5"/>
  <c r="C157" i="5"/>
  <c r="H156" i="5"/>
  <c r="G156" i="5"/>
  <c r="F156" i="5"/>
  <c r="E156" i="5"/>
  <c r="D156" i="5"/>
  <c r="C156" i="5"/>
  <c r="H155" i="5"/>
  <c r="G155" i="5"/>
  <c r="F155" i="5"/>
  <c r="E155" i="5"/>
  <c r="D155" i="5"/>
  <c r="C155" i="5"/>
  <c r="H154" i="5"/>
  <c r="G154" i="5"/>
  <c r="F154" i="5"/>
  <c r="E154" i="5"/>
  <c r="D154" i="5"/>
  <c r="C154" i="5"/>
  <c r="H153" i="5"/>
  <c r="G153" i="5"/>
  <c r="F153" i="5"/>
  <c r="E153" i="5"/>
  <c r="D153" i="5"/>
  <c r="C153" i="5"/>
  <c r="H152" i="5"/>
  <c r="G152" i="5"/>
  <c r="F152" i="5"/>
  <c r="E152" i="5"/>
  <c r="D152" i="5"/>
  <c r="C152" i="5"/>
  <c r="H151" i="5"/>
  <c r="G151" i="5"/>
  <c r="F151" i="5"/>
  <c r="E151" i="5"/>
  <c r="D151" i="5"/>
  <c r="C151" i="5"/>
  <c r="H150" i="5"/>
  <c r="G150" i="5"/>
  <c r="F150" i="5"/>
  <c r="E150" i="5"/>
  <c r="D150" i="5"/>
  <c r="C150" i="5"/>
  <c r="H149" i="5"/>
  <c r="G149" i="5"/>
  <c r="F149" i="5"/>
  <c r="E149" i="5"/>
  <c r="D149" i="5"/>
  <c r="C149" i="5"/>
  <c r="H147" i="5"/>
  <c r="G147" i="5"/>
  <c r="F147" i="5"/>
  <c r="P151" i="5" s="1"/>
  <c r="E147" i="5"/>
  <c r="O151" i="5" s="1"/>
  <c r="D147" i="5"/>
  <c r="C147" i="5"/>
  <c r="I158" i="5"/>
  <c r="AE158" i="5" s="1"/>
  <c r="I157" i="5"/>
  <c r="AE157" i="5" s="1"/>
  <c r="I156" i="5"/>
  <c r="AE156" i="5" s="1"/>
  <c r="I155" i="5"/>
  <c r="AE155" i="5" s="1"/>
  <c r="I154" i="5"/>
  <c r="AE154" i="5" s="1"/>
  <c r="I153" i="5"/>
  <c r="AE153" i="5" s="1"/>
  <c r="I152" i="5"/>
  <c r="AE152" i="5" s="1"/>
  <c r="I151" i="5"/>
  <c r="AE151" i="5" s="1"/>
  <c r="I150" i="5"/>
  <c r="AE150" i="5" s="1"/>
  <c r="A147" i="5"/>
  <c r="U147" i="5" s="1"/>
  <c r="H108" i="5"/>
  <c r="G108" i="5"/>
  <c r="F108" i="5"/>
  <c r="E108" i="5"/>
  <c r="D108" i="5"/>
  <c r="C108" i="5"/>
  <c r="H118" i="5"/>
  <c r="G118" i="5"/>
  <c r="F118" i="5"/>
  <c r="E118" i="5"/>
  <c r="D118" i="5"/>
  <c r="C118" i="5"/>
  <c r="H117" i="5"/>
  <c r="G117" i="5"/>
  <c r="F117" i="5"/>
  <c r="E117" i="5"/>
  <c r="D117" i="5"/>
  <c r="C117" i="5"/>
  <c r="H116" i="5"/>
  <c r="G116" i="5"/>
  <c r="F116" i="5"/>
  <c r="E116" i="5"/>
  <c r="D116" i="5"/>
  <c r="C116" i="5"/>
  <c r="H115" i="5"/>
  <c r="G115" i="5"/>
  <c r="F115" i="5"/>
  <c r="E115" i="5"/>
  <c r="D115" i="5"/>
  <c r="C115" i="5"/>
  <c r="H114" i="5"/>
  <c r="G114" i="5"/>
  <c r="F114" i="5"/>
  <c r="E114" i="5"/>
  <c r="D114" i="5"/>
  <c r="C114" i="5"/>
  <c r="H113" i="5"/>
  <c r="G113" i="5"/>
  <c r="F113" i="5"/>
  <c r="E113" i="5"/>
  <c r="D113" i="5"/>
  <c r="C113" i="5"/>
  <c r="H112" i="5"/>
  <c r="G112" i="5"/>
  <c r="F112" i="5"/>
  <c r="E112" i="5"/>
  <c r="D112" i="5"/>
  <c r="C112" i="5"/>
  <c r="H111" i="5"/>
  <c r="G111" i="5"/>
  <c r="F111" i="5"/>
  <c r="E111" i="5"/>
  <c r="D111" i="5"/>
  <c r="C111" i="5"/>
  <c r="H110" i="5"/>
  <c r="G110" i="5"/>
  <c r="F110" i="5"/>
  <c r="E110" i="5"/>
  <c r="D110" i="5"/>
  <c r="C110" i="5"/>
  <c r="H109" i="5"/>
  <c r="G109" i="5"/>
  <c r="F109" i="5"/>
  <c r="E109" i="5"/>
  <c r="D109" i="5"/>
  <c r="C109" i="5"/>
  <c r="H107" i="5"/>
  <c r="R111" i="5" s="1"/>
  <c r="G107" i="5"/>
  <c r="F107" i="5"/>
  <c r="E107" i="5"/>
  <c r="O111" i="5" s="1"/>
  <c r="D107" i="5"/>
  <c r="N111" i="5" s="1"/>
  <c r="C107" i="5"/>
  <c r="M108" i="5" s="1"/>
  <c r="I118" i="5"/>
  <c r="I117" i="5"/>
  <c r="I116" i="5"/>
  <c r="I115" i="5"/>
  <c r="A107" i="5"/>
  <c r="U107" i="5" s="1"/>
  <c r="H68" i="5"/>
  <c r="G68" i="5"/>
  <c r="F68" i="5"/>
  <c r="E68" i="5"/>
  <c r="D68" i="5"/>
  <c r="C68" i="5"/>
  <c r="H78" i="5"/>
  <c r="G78" i="5"/>
  <c r="F78" i="5"/>
  <c r="E78" i="5"/>
  <c r="D78" i="5"/>
  <c r="C78" i="5"/>
  <c r="H77" i="5"/>
  <c r="G77" i="5"/>
  <c r="F77" i="5"/>
  <c r="E77" i="5"/>
  <c r="D77" i="5"/>
  <c r="C77" i="5"/>
  <c r="H76" i="5"/>
  <c r="G76" i="5"/>
  <c r="F76" i="5"/>
  <c r="E76" i="5"/>
  <c r="D76" i="5"/>
  <c r="C76" i="5"/>
  <c r="H75" i="5"/>
  <c r="G75" i="5"/>
  <c r="F75" i="5"/>
  <c r="E75" i="5"/>
  <c r="D75" i="5"/>
  <c r="C75" i="5"/>
  <c r="H74" i="5"/>
  <c r="G74" i="5"/>
  <c r="F74" i="5"/>
  <c r="E74" i="5"/>
  <c r="D74" i="5"/>
  <c r="C74" i="5"/>
  <c r="H73" i="5"/>
  <c r="G73" i="5"/>
  <c r="F73" i="5"/>
  <c r="E73" i="5"/>
  <c r="D73" i="5"/>
  <c r="C73" i="5"/>
  <c r="H72" i="5"/>
  <c r="G72" i="5"/>
  <c r="F72" i="5"/>
  <c r="E72" i="5"/>
  <c r="D72" i="5"/>
  <c r="C72" i="5"/>
  <c r="H71" i="5"/>
  <c r="G71" i="5"/>
  <c r="F71" i="5"/>
  <c r="E71" i="5"/>
  <c r="D71" i="5"/>
  <c r="C71" i="5"/>
  <c r="H70" i="5"/>
  <c r="G70" i="5"/>
  <c r="F70" i="5"/>
  <c r="E70" i="5"/>
  <c r="D70" i="5"/>
  <c r="C70" i="5"/>
  <c r="H69" i="5"/>
  <c r="G69" i="5"/>
  <c r="F69" i="5"/>
  <c r="E69" i="5"/>
  <c r="D69" i="5"/>
  <c r="C69" i="5"/>
  <c r="H67" i="5"/>
  <c r="G67" i="5"/>
  <c r="F67" i="5"/>
  <c r="P69" i="5" s="1"/>
  <c r="M29" i="14" s="1"/>
  <c r="E67" i="5"/>
  <c r="D67" i="5"/>
  <c r="C67" i="5"/>
  <c r="M68" i="5" s="1"/>
  <c r="I78" i="5"/>
  <c r="A67" i="5"/>
  <c r="U67" i="5" s="1"/>
  <c r="H28" i="5"/>
  <c r="G28" i="5"/>
  <c r="F28" i="5"/>
  <c r="E28" i="5"/>
  <c r="D28" i="5"/>
  <c r="C28" i="5"/>
  <c r="H38" i="5"/>
  <c r="G38" i="5"/>
  <c r="F38" i="5"/>
  <c r="E38" i="5"/>
  <c r="D38" i="5"/>
  <c r="C38" i="5"/>
  <c r="H37" i="5"/>
  <c r="G37" i="5"/>
  <c r="F37" i="5"/>
  <c r="E37" i="5"/>
  <c r="D37" i="5"/>
  <c r="C37" i="5"/>
  <c r="H36" i="5"/>
  <c r="G36" i="5"/>
  <c r="F36" i="5"/>
  <c r="E36" i="5"/>
  <c r="D36" i="5"/>
  <c r="C36" i="5"/>
  <c r="H35" i="5"/>
  <c r="G35" i="5"/>
  <c r="F35" i="5"/>
  <c r="E35" i="5"/>
  <c r="D35" i="5"/>
  <c r="C35" i="5"/>
  <c r="H34" i="5"/>
  <c r="G34" i="5"/>
  <c r="F34" i="5"/>
  <c r="E34" i="5"/>
  <c r="D34" i="5"/>
  <c r="C34" i="5"/>
  <c r="H33" i="5"/>
  <c r="G33" i="5"/>
  <c r="F33" i="5"/>
  <c r="E33" i="5"/>
  <c r="D33" i="5"/>
  <c r="C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7" i="5"/>
  <c r="G27" i="5"/>
  <c r="F27" i="5"/>
  <c r="E27" i="5"/>
  <c r="D27" i="5"/>
  <c r="C27" i="5"/>
  <c r="M28" i="5" s="1"/>
  <c r="U27" i="5"/>
  <c r="K27" i="5"/>
  <c r="A135" i="5"/>
  <c r="U135" i="5" s="1"/>
  <c r="A123" i="5"/>
  <c r="U123" i="5" s="1"/>
  <c r="A95" i="5"/>
  <c r="U95" i="5" s="1"/>
  <c r="A83" i="5"/>
  <c r="K83" i="5" s="1"/>
  <c r="A55" i="5"/>
  <c r="A43" i="5"/>
  <c r="U43" i="5" s="1"/>
  <c r="U15" i="5"/>
  <c r="U3" i="5"/>
  <c r="K15" i="5"/>
  <c r="K3" i="5"/>
  <c r="I37" i="5" l="1"/>
  <c r="I114" i="5"/>
  <c r="I77" i="5"/>
  <c r="I75" i="5"/>
  <c r="I74" i="5"/>
  <c r="I36" i="5"/>
  <c r="I112" i="5"/>
  <c r="I113" i="5"/>
  <c r="I111" i="5"/>
  <c r="I72" i="5"/>
  <c r="I33" i="5"/>
  <c r="I34" i="5"/>
  <c r="I38" i="5"/>
  <c r="I73" i="5"/>
  <c r="I76" i="5"/>
  <c r="I35" i="5"/>
  <c r="I71" i="5"/>
  <c r="I70" i="5"/>
  <c r="U55" i="5"/>
  <c r="K55" i="5"/>
  <c r="I31" i="5"/>
  <c r="I32" i="5"/>
  <c r="P111" i="5"/>
  <c r="M151" i="5"/>
  <c r="Q151" i="5"/>
  <c r="N69" i="5"/>
  <c r="K29" i="14" s="1"/>
  <c r="R69" i="5"/>
  <c r="O29" i="14" s="1"/>
  <c r="I149" i="5"/>
  <c r="AE149" i="5" s="1"/>
  <c r="Q69" i="5"/>
  <c r="N29" i="14" s="1"/>
  <c r="I69" i="5"/>
  <c r="N151" i="5"/>
  <c r="R151" i="5"/>
  <c r="I109" i="5"/>
  <c r="M158" i="5"/>
  <c r="M154" i="5"/>
  <c r="M150" i="5"/>
  <c r="N158" i="5"/>
  <c r="N154" i="5"/>
  <c r="N150" i="5"/>
  <c r="O158" i="5"/>
  <c r="O154" i="5"/>
  <c r="O150" i="5"/>
  <c r="P158" i="5"/>
  <c r="P154" i="5"/>
  <c r="P150" i="5"/>
  <c r="Q158" i="5"/>
  <c r="Q154" i="5"/>
  <c r="Q150" i="5"/>
  <c r="R158" i="5"/>
  <c r="R154" i="5"/>
  <c r="R150" i="5"/>
  <c r="M157" i="5"/>
  <c r="M153" i="5"/>
  <c r="M149" i="5"/>
  <c r="J61" i="14" s="1"/>
  <c r="N157" i="5"/>
  <c r="N153" i="5"/>
  <c r="N149" i="5"/>
  <c r="K61" i="14" s="1"/>
  <c r="O157" i="5"/>
  <c r="O153" i="5"/>
  <c r="O149" i="5"/>
  <c r="L61" i="14" s="1"/>
  <c r="P157" i="5"/>
  <c r="P153" i="5"/>
  <c r="P149" i="5"/>
  <c r="M61" i="14" s="1"/>
  <c r="Q157" i="5"/>
  <c r="Q153" i="5"/>
  <c r="Q149" i="5"/>
  <c r="N61" i="14" s="1"/>
  <c r="R157" i="5"/>
  <c r="R153" i="5"/>
  <c r="R149" i="5"/>
  <c r="O61" i="14" s="1"/>
  <c r="M156" i="5"/>
  <c r="M152" i="5"/>
  <c r="M148" i="5"/>
  <c r="N156" i="5"/>
  <c r="N152" i="5"/>
  <c r="N148" i="5"/>
  <c r="O156" i="5"/>
  <c r="O152" i="5"/>
  <c r="O148" i="5"/>
  <c r="P156" i="5"/>
  <c r="P152" i="5"/>
  <c r="P148" i="5"/>
  <c r="Q156" i="5"/>
  <c r="Q152" i="5"/>
  <c r="Q148" i="5"/>
  <c r="R156" i="5"/>
  <c r="R152" i="5"/>
  <c r="R148" i="5"/>
  <c r="O69" i="5"/>
  <c r="L29" i="14" s="1"/>
  <c r="Q111" i="5"/>
  <c r="M147" i="5"/>
  <c r="M155" i="5"/>
  <c r="N147" i="5"/>
  <c r="N155" i="5"/>
  <c r="O147" i="5"/>
  <c r="O155" i="5"/>
  <c r="P147" i="5"/>
  <c r="P155" i="5"/>
  <c r="Q147" i="5"/>
  <c r="Q155" i="5"/>
  <c r="R147" i="5"/>
  <c r="R155" i="5"/>
  <c r="N29" i="5"/>
  <c r="K13" i="14" s="1"/>
  <c r="R29" i="5"/>
  <c r="O13" i="14" s="1"/>
  <c r="Q29" i="5"/>
  <c r="N13" i="14" s="1"/>
  <c r="I30" i="5"/>
  <c r="M118" i="5"/>
  <c r="M114" i="5"/>
  <c r="M110" i="5"/>
  <c r="N118" i="5"/>
  <c r="N114" i="5"/>
  <c r="N110" i="5"/>
  <c r="O118" i="5"/>
  <c r="O114" i="5"/>
  <c r="O110" i="5"/>
  <c r="P118" i="5"/>
  <c r="P114" i="5"/>
  <c r="P110" i="5"/>
  <c r="Q118" i="5"/>
  <c r="Q114" i="5"/>
  <c r="Q110" i="5"/>
  <c r="R118" i="5"/>
  <c r="R114" i="5"/>
  <c r="R110" i="5"/>
  <c r="M117" i="5"/>
  <c r="M113" i="5"/>
  <c r="M109" i="5"/>
  <c r="J45" i="14" s="1"/>
  <c r="N117" i="5"/>
  <c r="N113" i="5"/>
  <c r="N109" i="5"/>
  <c r="K45" i="14" s="1"/>
  <c r="O117" i="5"/>
  <c r="O113" i="5"/>
  <c r="O109" i="5"/>
  <c r="L45" i="14" s="1"/>
  <c r="P117" i="5"/>
  <c r="P113" i="5"/>
  <c r="P109" i="5"/>
  <c r="M45" i="14" s="1"/>
  <c r="Q117" i="5"/>
  <c r="Q113" i="5"/>
  <c r="Q109" i="5"/>
  <c r="N45" i="14" s="1"/>
  <c r="R117" i="5"/>
  <c r="R113" i="5"/>
  <c r="R109" i="5"/>
  <c r="O45" i="14" s="1"/>
  <c r="M116" i="5"/>
  <c r="M112" i="5"/>
  <c r="N116" i="5"/>
  <c r="N112" i="5"/>
  <c r="N108" i="5"/>
  <c r="O116" i="5"/>
  <c r="O112" i="5"/>
  <c r="O108" i="5"/>
  <c r="P116" i="5"/>
  <c r="P112" i="5"/>
  <c r="P108" i="5"/>
  <c r="Q116" i="5"/>
  <c r="Q112" i="5"/>
  <c r="Q108" i="5"/>
  <c r="R116" i="5"/>
  <c r="R112" i="5"/>
  <c r="R108" i="5"/>
  <c r="I107" i="5"/>
  <c r="I110" i="5"/>
  <c r="M107" i="5"/>
  <c r="M115" i="5"/>
  <c r="M111" i="5"/>
  <c r="N107" i="5"/>
  <c r="N115" i="5"/>
  <c r="O107" i="5"/>
  <c r="O115" i="5"/>
  <c r="P107" i="5"/>
  <c r="P115" i="5"/>
  <c r="Q107" i="5"/>
  <c r="Q115" i="5"/>
  <c r="R107" i="5"/>
  <c r="R115" i="5"/>
  <c r="I148" i="5"/>
  <c r="AE148" i="5" s="1"/>
  <c r="I147" i="5"/>
  <c r="AE147" i="5" s="1"/>
  <c r="K147" i="5"/>
  <c r="I108" i="5"/>
  <c r="O29" i="5"/>
  <c r="L13" i="14" s="1"/>
  <c r="M76" i="5"/>
  <c r="M72" i="5"/>
  <c r="N76" i="5"/>
  <c r="N72" i="5"/>
  <c r="K30" i="14" s="1"/>
  <c r="N68" i="5"/>
  <c r="O76" i="5"/>
  <c r="O72" i="5"/>
  <c r="O68" i="5"/>
  <c r="P76" i="5"/>
  <c r="P72" i="5"/>
  <c r="M30" i="14" s="1"/>
  <c r="P68" i="5"/>
  <c r="Q76" i="5"/>
  <c r="Q72" i="5"/>
  <c r="Q68" i="5"/>
  <c r="R76" i="5"/>
  <c r="R72" i="5"/>
  <c r="R68" i="5"/>
  <c r="I29" i="5"/>
  <c r="K43" i="5"/>
  <c r="P29" i="5"/>
  <c r="M13" i="14" s="1"/>
  <c r="I67" i="5"/>
  <c r="M67" i="5"/>
  <c r="M75" i="5"/>
  <c r="M71" i="5"/>
  <c r="N67" i="5"/>
  <c r="N75" i="5"/>
  <c r="N71" i="5"/>
  <c r="O67" i="5"/>
  <c r="O75" i="5"/>
  <c r="O71" i="5"/>
  <c r="P67" i="5"/>
  <c r="P75" i="5"/>
  <c r="P71" i="5"/>
  <c r="Q67" i="5"/>
  <c r="Q75" i="5"/>
  <c r="Q71" i="5"/>
  <c r="R67" i="5"/>
  <c r="R75" i="5"/>
  <c r="R71" i="5"/>
  <c r="K107" i="5"/>
  <c r="M78" i="5"/>
  <c r="M74" i="5"/>
  <c r="M70" i="5"/>
  <c r="N78" i="5"/>
  <c r="N74" i="5"/>
  <c r="N70" i="5"/>
  <c r="O78" i="5"/>
  <c r="O74" i="5"/>
  <c r="O70" i="5"/>
  <c r="P78" i="5"/>
  <c r="P74" i="5"/>
  <c r="P70" i="5"/>
  <c r="Q78" i="5"/>
  <c r="Q74" i="5"/>
  <c r="Q70" i="5"/>
  <c r="R78" i="5"/>
  <c r="R74" i="5"/>
  <c r="R70" i="5"/>
  <c r="M77" i="5"/>
  <c r="M73" i="5"/>
  <c r="M69" i="5"/>
  <c r="J29" i="14" s="1"/>
  <c r="N77" i="5"/>
  <c r="N73" i="5"/>
  <c r="O77" i="5"/>
  <c r="O73" i="5"/>
  <c r="P77" i="5"/>
  <c r="P73" i="5"/>
  <c r="Q77" i="5"/>
  <c r="Q73" i="5"/>
  <c r="R77" i="5"/>
  <c r="R73" i="5"/>
  <c r="I68" i="5"/>
  <c r="M36" i="5"/>
  <c r="M32" i="5"/>
  <c r="N36" i="5"/>
  <c r="N32" i="5"/>
  <c r="N28" i="5"/>
  <c r="O36" i="5"/>
  <c r="O32" i="5"/>
  <c r="O28" i="5"/>
  <c r="P36" i="5"/>
  <c r="P32" i="5"/>
  <c r="P28" i="5"/>
  <c r="Q36" i="5"/>
  <c r="Q32" i="5"/>
  <c r="Q28" i="5"/>
  <c r="R36" i="5"/>
  <c r="R32" i="5"/>
  <c r="R28" i="5"/>
  <c r="K123" i="5"/>
  <c r="K135" i="5"/>
  <c r="I27" i="5"/>
  <c r="M27" i="5"/>
  <c r="M35" i="5"/>
  <c r="M31" i="5"/>
  <c r="N27" i="5"/>
  <c r="N35" i="5"/>
  <c r="N31" i="5"/>
  <c r="O27" i="5"/>
  <c r="O35" i="5"/>
  <c r="O31" i="5"/>
  <c r="P27" i="5"/>
  <c r="P35" i="5"/>
  <c r="P31" i="5"/>
  <c r="Q27" i="5"/>
  <c r="Q35" i="5"/>
  <c r="Q31" i="5"/>
  <c r="R27" i="5"/>
  <c r="R35" i="5"/>
  <c r="R31" i="5"/>
  <c r="K67" i="5"/>
  <c r="M38" i="5"/>
  <c r="M34" i="5"/>
  <c r="M30" i="5"/>
  <c r="N38" i="5"/>
  <c r="N34" i="5"/>
  <c r="N30" i="5"/>
  <c r="O38" i="5"/>
  <c r="O34" i="5"/>
  <c r="O30" i="5"/>
  <c r="P38" i="5"/>
  <c r="P34" i="5"/>
  <c r="P30" i="5"/>
  <c r="Q38" i="5"/>
  <c r="Q34" i="5"/>
  <c r="Q30" i="5"/>
  <c r="R38" i="5"/>
  <c r="R34" i="5"/>
  <c r="R30" i="5"/>
  <c r="M37" i="5"/>
  <c r="M33" i="5"/>
  <c r="M29" i="5"/>
  <c r="J13" i="14" s="1"/>
  <c r="N37" i="5"/>
  <c r="N33" i="5"/>
  <c r="O37" i="5"/>
  <c r="O33" i="5"/>
  <c r="P37" i="5"/>
  <c r="P33" i="5"/>
  <c r="Q37" i="5"/>
  <c r="Q33" i="5"/>
  <c r="R37" i="5"/>
  <c r="R33" i="5"/>
  <c r="I28" i="5"/>
  <c r="U83" i="5"/>
  <c r="K95" i="5"/>
  <c r="G148" i="4"/>
  <c r="F148" i="4"/>
  <c r="E148" i="4"/>
  <c r="D148" i="4"/>
  <c r="C148" i="4"/>
  <c r="G158" i="4"/>
  <c r="F158" i="4"/>
  <c r="E158" i="4"/>
  <c r="D158" i="4"/>
  <c r="C158" i="4"/>
  <c r="G157" i="4"/>
  <c r="F157" i="4"/>
  <c r="E157" i="4"/>
  <c r="D157" i="4"/>
  <c r="C157" i="4"/>
  <c r="G156" i="4"/>
  <c r="F156" i="4"/>
  <c r="E156" i="4"/>
  <c r="D156" i="4"/>
  <c r="C156" i="4"/>
  <c r="G155" i="4"/>
  <c r="F155" i="4"/>
  <c r="E155" i="4"/>
  <c r="D155" i="4"/>
  <c r="C155" i="4"/>
  <c r="G154" i="4"/>
  <c r="F154" i="4"/>
  <c r="E154" i="4"/>
  <c r="D154" i="4"/>
  <c r="C154" i="4"/>
  <c r="G153" i="4"/>
  <c r="F153" i="4"/>
  <c r="E153" i="4"/>
  <c r="D153" i="4"/>
  <c r="C153" i="4"/>
  <c r="G152" i="4"/>
  <c r="F152" i="4"/>
  <c r="E152" i="4"/>
  <c r="D152" i="4"/>
  <c r="C152" i="4"/>
  <c r="G151" i="4"/>
  <c r="F151" i="4"/>
  <c r="E151" i="4"/>
  <c r="D151" i="4"/>
  <c r="C151" i="4"/>
  <c r="G150" i="4"/>
  <c r="F150" i="4"/>
  <c r="E150" i="4"/>
  <c r="D150" i="4"/>
  <c r="C150" i="4"/>
  <c r="G149" i="4"/>
  <c r="F149" i="4"/>
  <c r="E149" i="4"/>
  <c r="D149" i="4"/>
  <c r="C149" i="4"/>
  <c r="G147" i="4"/>
  <c r="F147" i="4"/>
  <c r="E147" i="4"/>
  <c r="D147" i="4"/>
  <c r="C147" i="4"/>
  <c r="A147" i="4"/>
  <c r="S147" i="4" s="1"/>
  <c r="A135" i="4"/>
  <c r="S135" i="4" s="1"/>
  <c r="A123" i="4"/>
  <c r="S123" i="4" s="1"/>
  <c r="H158" i="4"/>
  <c r="H157" i="4"/>
  <c r="H156" i="4"/>
  <c r="H155" i="4"/>
  <c r="H154" i="4"/>
  <c r="H152" i="4"/>
  <c r="G108" i="4"/>
  <c r="F108" i="4"/>
  <c r="E108" i="4"/>
  <c r="D108" i="4"/>
  <c r="C108" i="4"/>
  <c r="G118" i="4"/>
  <c r="F118" i="4"/>
  <c r="E118" i="4"/>
  <c r="D118" i="4"/>
  <c r="C118" i="4"/>
  <c r="G117" i="4"/>
  <c r="F117" i="4"/>
  <c r="E117" i="4"/>
  <c r="D117" i="4"/>
  <c r="C117" i="4"/>
  <c r="G116" i="4"/>
  <c r="F116" i="4"/>
  <c r="E116" i="4"/>
  <c r="D116" i="4"/>
  <c r="C116" i="4"/>
  <c r="G115" i="4"/>
  <c r="F115" i="4"/>
  <c r="E115" i="4"/>
  <c r="D115" i="4"/>
  <c r="C115" i="4"/>
  <c r="G114" i="4"/>
  <c r="F114" i="4"/>
  <c r="E114" i="4"/>
  <c r="D114" i="4"/>
  <c r="C114" i="4"/>
  <c r="G113" i="4"/>
  <c r="F113" i="4"/>
  <c r="E113" i="4"/>
  <c r="D113" i="4"/>
  <c r="C113" i="4"/>
  <c r="G112" i="4"/>
  <c r="F112" i="4"/>
  <c r="E112" i="4"/>
  <c r="D112" i="4"/>
  <c r="C112" i="4"/>
  <c r="G111" i="4"/>
  <c r="F111" i="4"/>
  <c r="E111" i="4"/>
  <c r="D111" i="4"/>
  <c r="C111" i="4"/>
  <c r="G110" i="4"/>
  <c r="F110" i="4"/>
  <c r="E110" i="4"/>
  <c r="D110" i="4"/>
  <c r="C110" i="4"/>
  <c r="G109" i="4"/>
  <c r="F109" i="4"/>
  <c r="E109" i="4"/>
  <c r="D109" i="4"/>
  <c r="C109" i="4"/>
  <c r="G107" i="4"/>
  <c r="P108" i="4" s="1"/>
  <c r="F107" i="4"/>
  <c r="O108" i="4" s="1"/>
  <c r="E107" i="4"/>
  <c r="N108" i="4" s="1"/>
  <c r="D107" i="4"/>
  <c r="M108" i="4" s="1"/>
  <c r="C107" i="4"/>
  <c r="A107" i="4"/>
  <c r="S107" i="4" s="1"/>
  <c r="A95" i="4"/>
  <c r="J95" i="4" s="1"/>
  <c r="A83" i="4"/>
  <c r="S83" i="4" s="1"/>
  <c r="H118" i="4"/>
  <c r="H117" i="4"/>
  <c r="H116" i="4"/>
  <c r="H114" i="4"/>
  <c r="H113" i="4"/>
  <c r="C68" i="4"/>
  <c r="D68" i="4" s="1"/>
  <c r="C78" i="4"/>
  <c r="D78" i="4" s="1"/>
  <c r="C77" i="4"/>
  <c r="D77" i="4" s="1"/>
  <c r="C76" i="4"/>
  <c r="C75" i="4"/>
  <c r="D75" i="4" s="1"/>
  <c r="C74" i="4"/>
  <c r="D74" i="4" s="1"/>
  <c r="C73" i="4"/>
  <c r="D73" i="4" s="1"/>
  <c r="C72" i="4"/>
  <c r="C71" i="4"/>
  <c r="D71" i="4" s="1"/>
  <c r="C70" i="4"/>
  <c r="D70" i="4" s="1"/>
  <c r="C69" i="4"/>
  <c r="D69" i="4" s="1"/>
  <c r="C67" i="4"/>
  <c r="A67" i="4"/>
  <c r="S67" i="4" s="1"/>
  <c r="A55" i="4"/>
  <c r="J55" i="4" s="1"/>
  <c r="A43" i="4"/>
  <c r="J43" i="4" s="1"/>
  <c r="D76" i="4"/>
  <c r="D72" i="4"/>
  <c r="G28" i="4"/>
  <c r="F28" i="4"/>
  <c r="E28" i="4"/>
  <c r="D28" i="4"/>
  <c r="C28" i="4"/>
  <c r="G38" i="4"/>
  <c r="F38" i="4"/>
  <c r="E38" i="4"/>
  <c r="D38" i="4"/>
  <c r="C38" i="4"/>
  <c r="G37" i="4"/>
  <c r="F37" i="4"/>
  <c r="E37" i="4"/>
  <c r="D37" i="4"/>
  <c r="C37" i="4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7" i="4"/>
  <c r="F27" i="4"/>
  <c r="E27" i="4"/>
  <c r="D27" i="4"/>
  <c r="C27" i="4"/>
  <c r="S27" i="4"/>
  <c r="S15" i="4"/>
  <c r="S3" i="4"/>
  <c r="J27" i="4"/>
  <c r="J15" i="4"/>
  <c r="J3" i="4"/>
  <c r="H38" i="4"/>
  <c r="R1" i="2"/>
  <c r="E108" i="6"/>
  <c r="D108" i="6"/>
  <c r="C108" i="6"/>
  <c r="E118" i="6"/>
  <c r="D118" i="6"/>
  <c r="C118" i="6"/>
  <c r="E117" i="6"/>
  <c r="D117" i="6"/>
  <c r="C117" i="6"/>
  <c r="F117" i="6" s="1"/>
  <c r="E116" i="6"/>
  <c r="D116" i="6"/>
  <c r="C116" i="6"/>
  <c r="E115" i="6"/>
  <c r="D115" i="6"/>
  <c r="C115" i="6"/>
  <c r="E114" i="6"/>
  <c r="D114" i="6"/>
  <c r="C114" i="6"/>
  <c r="F114" i="6" s="1"/>
  <c r="E113" i="6"/>
  <c r="D113" i="6"/>
  <c r="C113" i="6"/>
  <c r="E112" i="6"/>
  <c r="D112" i="6"/>
  <c r="C112" i="6"/>
  <c r="E111" i="6"/>
  <c r="D111" i="6"/>
  <c r="C111" i="6"/>
  <c r="E110" i="6"/>
  <c r="D110" i="6"/>
  <c r="C110" i="6"/>
  <c r="E109" i="6"/>
  <c r="D109" i="6"/>
  <c r="C109" i="6"/>
  <c r="E107" i="6"/>
  <c r="D107" i="6"/>
  <c r="C107" i="6"/>
  <c r="J108" i="6" s="1"/>
  <c r="A107" i="6"/>
  <c r="O107" i="6" s="1"/>
  <c r="A95" i="6"/>
  <c r="O95" i="6" s="1"/>
  <c r="A83" i="6"/>
  <c r="O83" i="6" s="1"/>
  <c r="F118" i="6"/>
  <c r="F116" i="6"/>
  <c r="F115" i="6"/>
  <c r="F113" i="6"/>
  <c r="F112" i="6"/>
  <c r="E68" i="6"/>
  <c r="D68" i="6"/>
  <c r="C68" i="6"/>
  <c r="E78" i="6"/>
  <c r="D78" i="6"/>
  <c r="C78" i="6"/>
  <c r="E77" i="6"/>
  <c r="D77" i="6"/>
  <c r="C77" i="6"/>
  <c r="E76" i="6"/>
  <c r="D76" i="6"/>
  <c r="C76" i="6"/>
  <c r="E75" i="6"/>
  <c r="D75" i="6"/>
  <c r="C75" i="6"/>
  <c r="E74" i="6"/>
  <c r="D74" i="6"/>
  <c r="C74" i="6"/>
  <c r="E73" i="6"/>
  <c r="D73" i="6"/>
  <c r="C73" i="6"/>
  <c r="E72" i="6"/>
  <c r="D72" i="6"/>
  <c r="C72" i="6"/>
  <c r="E71" i="6"/>
  <c r="D71" i="6"/>
  <c r="C71" i="6"/>
  <c r="E70" i="6"/>
  <c r="D70" i="6"/>
  <c r="C70" i="6"/>
  <c r="E69" i="6"/>
  <c r="D69" i="6"/>
  <c r="C69" i="6"/>
  <c r="E67" i="6"/>
  <c r="D67" i="6"/>
  <c r="C67" i="6"/>
  <c r="A67" i="6"/>
  <c r="O67" i="6" s="1"/>
  <c r="A55" i="6"/>
  <c r="O55" i="6" s="1"/>
  <c r="A43" i="6"/>
  <c r="O43" i="6" s="1"/>
  <c r="F77" i="6"/>
  <c r="F76" i="6"/>
  <c r="F74" i="6"/>
  <c r="F73" i="6"/>
  <c r="F71" i="6"/>
  <c r="E28" i="6"/>
  <c r="D28" i="6"/>
  <c r="C28" i="6"/>
  <c r="O27" i="6"/>
  <c r="O15" i="6"/>
  <c r="O3" i="6"/>
  <c r="H27" i="6"/>
  <c r="H15" i="6"/>
  <c r="H3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7" i="6"/>
  <c r="L28" i="6" s="1"/>
  <c r="D27" i="6"/>
  <c r="K28" i="6" s="1"/>
  <c r="C27" i="6"/>
  <c r="J27" i="6" s="1"/>
  <c r="F38" i="6"/>
  <c r="F37" i="6"/>
  <c r="D145" i="5"/>
  <c r="C145" i="5"/>
  <c r="H144" i="5"/>
  <c r="G144" i="5"/>
  <c r="F144" i="5"/>
  <c r="E144" i="5"/>
  <c r="D144" i="5"/>
  <c r="C144" i="5"/>
  <c r="H143" i="5"/>
  <c r="G143" i="5"/>
  <c r="F143" i="5"/>
  <c r="E143" i="5"/>
  <c r="D143" i="5"/>
  <c r="C143" i="5"/>
  <c r="H142" i="5"/>
  <c r="G142" i="5"/>
  <c r="F142" i="5"/>
  <c r="E142" i="5"/>
  <c r="D142" i="5"/>
  <c r="C142" i="5"/>
  <c r="H141" i="5"/>
  <c r="G141" i="5"/>
  <c r="F141" i="5"/>
  <c r="E141" i="5"/>
  <c r="D141" i="5"/>
  <c r="C141" i="5"/>
  <c r="H140" i="5"/>
  <c r="G140" i="5"/>
  <c r="F140" i="5"/>
  <c r="E140" i="5"/>
  <c r="D140" i="5"/>
  <c r="C140" i="5"/>
  <c r="H139" i="5"/>
  <c r="G139" i="5"/>
  <c r="F139" i="5"/>
  <c r="E139" i="5"/>
  <c r="D139" i="5"/>
  <c r="C139" i="5"/>
  <c r="H138" i="5"/>
  <c r="G138" i="5"/>
  <c r="F138" i="5"/>
  <c r="E138" i="5"/>
  <c r="D138" i="5"/>
  <c r="C138" i="5"/>
  <c r="H137" i="5"/>
  <c r="G137" i="5"/>
  <c r="F137" i="5"/>
  <c r="E137" i="5"/>
  <c r="D137" i="5"/>
  <c r="C137" i="5"/>
  <c r="H136" i="5"/>
  <c r="G136" i="5"/>
  <c r="F136" i="5"/>
  <c r="E136" i="5"/>
  <c r="D136" i="5"/>
  <c r="C136" i="5"/>
  <c r="H135" i="5"/>
  <c r="G135" i="5"/>
  <c r="F135" i="5"/>
  <c r="E135" i="5"/>
  <c r="D135" i="5"/>
  <c r="C135" i="5"/>
  <c r="H106" i="5"/>
  <c r="G106" i="5"/>
  <c r="F106" i="5"/>
  <c r="E106" i="5"/>
  <c r="D106" i="5"/>
  <c r="C106" i="5"/>
  <c r="H105" i="5"/>
  <c r="G105" i="5"/>
  <c r="F105" i="5"/>
  <c r="E105" i="5"/>
  <c r="D105" i="5"/>
  <c r="C105" i="5"/>
  <c r="H104" i="5"/>
  <c r="G104" i="5"/>
  <c r="F104" i="5"/>
  <c r="E104" i="5"/>
  <c r="D104" i="5"/>
  <c r="C104" i="5"/>
  <c r="H103" i="5"/>
  <c r="G103" i="5"/>
  <c r="F103" i="5"/>
  <c r="E103" i="5"/>
  <c r="D103" i="5"/>
  <c r="C103" i="5"/>
  <c r="H102" i="5"/>
  <c r="G102" i="5"/>
  <c r="F102" i="5"/>
  <c r="E102" i="5"/>
  <c r="D102" i="5"/>
  <c r="C102" i="5"/>
  <c r="H101" i="5"/>
  <c r="G101" i="5"/>
  <c r="F101" i="5"/>
  <c r="E101" i="5"/>
  <c r="D101" i="5"/>
  <c r="C101" i="5"/>
  <c r="H100" i="5"/>
  <c r="G100" i="5"/>
  <c r="F100" i="5"/>
  <c r="E100" i="5"/>
  <c r="D100" i="5"/>
  <c r="C100" i="5"/>
  <c r="H99" i="5"/>
  <c r="G99" i="5"/>
  <c r="F99" i="5"/>
  <c r="E99" i="5"/>
  <c r="D99" i="5"/>
  <c r="C99" i="5"/>
  <c r="H98" i="5"/>
  <c r="G98" i="5"/>
  <c r="F98" i="5"/>
  <c r="E98" i="5"/>
  <c r="D98" i="5"/>
  <c r="C98" i="5"/>
  <c r="H97" i="5"/>
  <c r="G97" i="5"/>
  <c r="F97" i="5"/>
  <c r="E97" i="5"/>
  <c r="D97" i="5"/>
  <c r="C97" i="5"/>
  <c r="H96" i="5"/>
  <c r="G96" i="5"/>
  <c r="F96" i="5"/>
  <c r="E96" i="5"/>
  <c r="D96" i="5"/>
  <c r="C96" i="5"/>
  <c r="H95" i="5"/>
  <c r="G95" i="5"/>
  <c r="F95" i="5"/>
  <c r="E95" i="5"/>
  <c r="D95" i="5"/>
  <c r="C95" i="5"/>
  <c r="H66" i="5"/>
  <c r="G66" i="5"/>
  <c r="F66" i="5"/>
  <c r="E66" i="5"/>
  <c r="D66" i="5"/>
  <c r="C66" i="5"/>
  <c r="H65" i="5"/>
  <c r="G65" i="5"/>
  <c r="F65" i="5"/>
  <c r="E65" i="5"/>
  <c r="D65" i="5"/>
  <c r="C65" i="5"/>
  <c r="H64" i="5"/>
  <c r="G64" i="5"/>
  <c r="F64" i="5"/>
  <c r="E64" i="5"/>
  <c r="D64" i="5"/>
  <c r="C64" i="5"/>
  <c r="H63" i="5"/>
  <c r="G63" i="5"/>
  <c r="F63" i="5"/>
  <c r="E63" i="5"/>
  <c r="D63" i="5"/>
  <c r="C63" i="5"/>
  <c r="H62" i="5"/>
  <c r="G62" i="5"/>
  <c r="F62" i="5"/>
  <c r="E62" i="5"/>
  <c r="D62" i="5"/>
  <c r="C62" i="5"/>
  <c r="H61" i="5"/>
  <c r="G61" i="5"/>
  <c r="F61" i="5"/>
  <c r="E61" i="5"/>
  <c r="D61" i="5"/>
  <c r="C61" i="5"/>
  <c r="H60" i="5"/>
  <c r="G60" i="5"/>
  <c r="F60" i="5"/>
  <c r="E60" i="5"/>
  <c r="D60" i="5"/>
  <c r="C60" i="5"/>
  <c r="H59" i="5"/>
  <c r="G59" i="5"/>
  <c r="F59" i="5"/>
  <c r="E59" i="5"/>
  <c r="D59" i="5"/>
  <c r="C59" i="5"/>
  <c r="H58" i="5"/>
  <c r="G58" i="5"/>
  <c r="F58" i="5"/>
  <c r="E58" i="5"/>
  <c r="D58" i="5"/>
  <c r="C58" i="5"/>
  <c r="H57" i="5"/>
  <c r="G57" i="5"/>
  <c r="F57" i="5"/>
  <c r="E57" i="5"/>
  <c r="D57" i="5"/>
  <c r="C57" i="5"/>
  <c r="H56" i="5"/>
  <c r="G56" i="5"/>
  <c r="F56" i="5"/>
  <c r="E56" i="5"/>
  <c r="D56" i="5"/>
  <c r="C56" i="5"/>
  <c r="H55" i="5"/>
  <c r="G55" i="5"/>
  <c r="F55" i="5"/>
  <c r="E55" i="5"/>
  <c r="D55" i="5"/>
  <c r="C55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C146" i="4"/>
  <c r="G145" i="4"/>
  <c r="F145" i="4"/>
  <c r="E145" i="4"/>
  <c r="D145" i="4"/>
  <c r="C145" i="4"/>
  <c r="G144" i="4"/>
  <c r="F144" i="4"/>
  <c r="E144" i="4"/>
  <c r="D144" i="4"/>
  <c r="C144" i="4"/>
  <c r="G143" i="4"/>
  <c r="F143" i="4"/>
  <c r="E143" i="4"/>
  <c r="D143" i="4"/>
  <c r="C143" i="4"/>
  <c r="G142" i="4"/>
  <c r="F142" i="4"/>
  <c r="E142" i="4"/>
  <c r="D142" i="4"/>
  <c r="C142" i="4"/>
  <c r="G141" i="4"/>
  <c r="F141" i="4"/>
  <c r="E141" i="4"/>
  <c r="D141" i="4"/>
  <c r="C141" i="4"/>
  <c r="G140" i="4"/>
  <c r="F140" i="4"/>
  <c r="E140" i="4"/>
  <c r="D140" i="4"/>
  <c r="C140" i="4"/>
  <c r="G139" i="4"/>
  <c r="F139" i="4"/>
  <c r="E139" i="4"/>
  <c r="D139" i="4"/>
  <c r="C139" i="4"/>
  <c r="G138" i="4"/>
  <c r="F138" i="4"/>
  <c r="E138" i="4"/>
  <c r="D138" i="4"/>
  <c r="C138" i="4"/>
  <c r="G137" i="4"/>
  <c r="F137" i="4"/>
  <c r="E137" i="4"/>
  <c r="D137" i="4"/>
  <c r="C137" i="4"/>
  <c r="G136" i="4"/>
  <c r="F136" i="4"/>
  <c r="E136" i="4"/>
  <c r="D136" i="4"/>
  <c r="C136" i="4"/>
  <c r="G135" i="4"/>
  <c r="F135" i="4"/>
  <c r="E135" i="4"/>
  <c r="D135" i="4"/>
  <c r="C135" i="4"/>
  <c r="G106" i="4"/>
  <c r="F106" i="4"/>
  <c r="E106" i="4"/>
  <c r="D106" i="4"/>
  <c r="C106" i="4"/>
  <c r="G105" i="4"/>
  <c r="F105" i="4"/>
  <c r="E105" i="4"/>
  <c r="D105" i="4"/>
  <c r="C105" i="4"/>
  <c r="G104" i="4"/>
  <c r="F104" i="4"/>
  <c r="E104" i="4"/>
  <c r="D104" i="4"/>
  <c r="C104" i="4"/>
  <c r="G103" i="4"/>
  <c r="F103" i="4"/>
  <c r="E103" i="4"/>
  <c r="D103" i="4"/>
  <c r="C103" i="4"/>
  <c r="G102" i="4"/>
  <c r="F102" i="4"/>
  <c r="E102" i="4"/>
  <c r="D102" i="4"/>
  <c r="C102" i="4"/>
  <c r="G101" i="4"/>
  <c r="F101" i="4"/>
  <c r="E101" i="4"/>
  <c r="D101" i="4"/>
  <c r="C101" i="4"/>
  <c r="G100" i="4"/>
  <c r="F100" i="4"/>
  <c r="E100" i="4"/>
  <c r="D100" i="4"/>
  <c r="C100" i="4"/>
  <c r="G99" i="4"/>
  <c r="F99" i="4"/>
  <c r="E99" i="4"/>
  <c r="D99" i="4"/>
  <c r="C99" i="4"/>
  <c r="G98" i="4"/>
  <c r="F98" i="4"/>
  <c r="E98" i="4"/>
  <c r="D98" i="4"/>
  <c r="C98" i="4"/>
  <c r="G97" i="4"/>
  <c r="F97" i="4"/>
  <c r="E97" i="4"/>
  <c r="D97" i="4"/>
  <c r="C97" i="4"/>
  <c r="G96" i="4"/>
  <c r="F96" i="4"/>
  <c r="E96" i="4"/>
  <c r="D96" i="4"/>
  <c r="C96" i="4"/>
  <c r="G95" i="4"/>
  <c r="F95" i="4"/>
  <c r="E95" i="4"/>
  <c r="D95" i="4"/>
  <c r="C95" i="4"/>
  <c r="C66" i="4"/>
  <c r="C65" i="4"/>
  <c r="C64" i="4"/>
  <c r="C63" i="4"/>
  <c r="C62" i="4"/>
  <c r="C61" i="4"/>
  <c r="C60" i="4"/>
  <c r="C59" i="4"/>
  <c r="C58" i="4"/>
  <c r="C57" i="4"/>
  <c r="C56" i="4"/>
  <c r="C55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D105" i="6"/>
  <c r="C105" i="6"/>
  <c r="E104" i="6"/>
  <c r="D104" i="6"/>
  <c r="C104" i="6"/>
  <c r="E103" i="6"/>
  <c r="D103" i="6"/>
  <c r="C103" i="6"/>
  <c r="E102" i="6"/>
  <c r="D102" i="6"/>
  <c r="C102" i="6"/>
  <c r="E101" i="6"/>
  <c r="D101" i="6"/>
  <c r="C101" i="6"/>
  <c r="E100" i="6"/>
  <c r="D100" i="6"/>
  <c r="C100" i="6"/>
  <c r="E99" i="6"/>
  <c r="D99" i="6"/>
  <c r="C99" i="6"/>
  <c r="E98" i="6"/>
  <c r="D98" i="6"/>
  <c r="C98" i="6"/>
  <c r="E97" i="6"/>
  <c r="D97" i="6"/>
  <c r="C97" i="6"/>
  <c r="E96" i="6"/>
  <c r="D96" i="6"/>
  <c r="C96" i="6"/>
  <c r="E95" i="6"/>
  <c r="D95" i="6"/>
  <c r="C95" i="6"/>
  <c r="E66" i="6"/>
  <c r="D66" i="6"/>
  <c r="C66" i="6"/>
  <c r="E65" i="6"/>
  <c r="D65" i="6"/>
  <c r="C65" i="6"/>
  <c r="E64" i="6"/>
  <c r="D64" i="6"/>
  <c r="C64" i="6"/>
  <c r="E63" i="6"/>
  <c r="D63" i="6"/>
  <c r="C63" i="6"/>
  <c r="E62" i="6"/>
  <c r="D62" i="6"/>
  <c r="C62" i="6"/>
  <c r="E61" i="6"/>
  <c r="D61" i="6"/>
  <c r="C61" i="6"/>
  <c r="E60" i="6"/>
  <c r="D60" i="6"/>
  <c r="C60" i="6"/>
  <c r="E59" i="6"/>
  <c r="D59" i="6"/>
  <c r="C59" i="6"/>
  <c r="E58" i="6"/>
  <c r="D58" i="6"/>
  <c r="C58" i="6"/>
  <c r="E57" i="6"/>
  <c r="D57" i="6"/>
  <c r="C57" i="6"/>
  <c r="E56" i="6"/>
  <c r="D56" i="6"/>
  <c r="C56" i="6"/>
  <c r="E55" i="6"/>
  <c r="D55" i="6"/>
  <c r="C55" i="6"/>
  <c r="E26" i="6"/>
  <c r="D26" i="6"/>
  <c r="C26" i="6"/>
  <c r="E25" i="6"/>
  <c r="D25" i="6"/>
  <c r="C25" i="6"/>
  <c r="E24" i="6"/>
  <c r="D24" i="6"/>
  <c r="C24" i="6"/>
  <c r="E23" i="6"/>
  <c r="D23" i="6"/>
  <c r="C23" i="6"/>
  <c r="E22" i="6"/>
  <c r="D22" i="6"/>
  <c r="C22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6" i="6"/>
  <c r="D16" i="6"/>
  <c r="C16" i="6"/>
  <c r="E15" i="6"/>
  <c r="D15" i="6"/>
  <c r="C15" i="6"/>
  <c r="E106" i="6"/>
  <c r="D106" i="6"/>
  <c r="C106" i="6"/>
  <c r="E105" i="6"/>
  <c r="G146" i="4"/>
  <c r="F146" i="4"/>
  <c r="E146" i="4"/>
  <c r="D146" i="4"/>
  <c r="H146" i="5"/>
  <c r="G146" i="5"/>
  <c r="F146" i="5"/>
  <c r="E146" i="5"/>
  <c r="D146" i="5"/>
  <c r="C146" i="5"/>
  <c r="H145" i="5"/>
  <c r="G145" i="5"/>
  <c r="F145" i="5"/>
  <c r="E145" i="5"/>
  <c r="F36" i="6" l="1"/>
  <c r="H151" i="4"/>
  <c r="H115" i="4"/>
  <c r="H153" i="4"/>
  <c r="H35" i="4"/>
  <c r="H37" i="4"/>
  <c r="H36" i="4"/>
  <c r="H34" i="4"/>
  <c r="F32" i="6"/>
  <c r="F75" i="6"/>
  <c r="F78" i="6"/>
  <c r="F33" i="6"/>
  <c r="H112" i="4"/>
  <c r="F72" i="6"/>
  <c r="L30" i="14"/>
  <c r="L31" i="14" s="1"/>
  <c r="L32" i="14" s="1"/>
  <c r="M14" i="14"/>
  <c r="M15" i="14" s="1"/>
  <c r="M16" i="14" s="1"/>
  <c r="K14" i="14"/>
  <c r="K15" i="14" s="1"/>
  <c r="K16" i="14" s="1"/>
  <c r="O30" i="14"/>
  <c r="O31" i="14" s="1"/>
  <c r="O32" i="14" s="1"/>
  <c r="M46" i="14"/>
  <c r="M47" i="14" s="1"/>
  <c r="M48" i="14" s="1"/>
  <c r="L46" i="14"/>
  <c r="L47" i="14" s="1"/>
  <c r="L48" i="14" s="1"/>
  <c r="O62" i="14"/>
  <c r="O63" i="14" s="1"/>
  <c r="O64" i="14" s="1"/>
  <c r="K62" i="14"/>
  <c r="K63" i="14" s="1"/>
  <c r="K64" i="14" s="1"/>
  <c r="H33" i="4"/>
  <c r="F34" i="6"/>
  <c r="H67" i="6"/>
  <c r="H95" i="6"/>
  <c r="J67" i="4"/>
  <c r="J83" i="4"/>
  <c r="J135" i="4"/>
  <c r="H43" i="6"/>
  <c r="H107" i="6"/>
  <c r="S43" i="4"/>
  <c r="J107" i="4"/>
  <c r="J147" i="4"/>
  <c r="H55" i="6"/>
  <c r="H83" i="6"/>
  <c r="J123" i="4"/>
  <c r="K31" i="14"/>
  <c r="K32" i="14" s="1"/>
  <c r="N62" i="14"/>
  <c r="N63" i="14" s="1"/>
  <c r="N64" i="14" s="1"/>
  <c r="R13" i="14"/>
  <c r="O14" i="14"/>
  <c r="O15" i="14" s="1"/>
  <c r="O16" i="14" s="1"/>
  <c r="L14" i="14"/>
  <c r="L15" i="14" s="1"/>
  <c r="N46" i="14"/>
  <c r="N47" i="14" s="1"/>
  <c r="N48" i="14" s="1"/>
  <c r="J46" i="14"/>
  <c r="J47" i="14" s="1"/>
  <c r="R45" i="14"/>
  <c r="J62" i="14"/>
  <c r="R61" i="14"/>
  <c r="V61" i="14" s="1"/>
  <c r="O46" i="14"/>
  <c r="O47" i="14" s="1"/>
  <c r="O48" i="14" s="1"/>
  <c r="K46" i="14"/>
  <c r="N30" i="14"/>
  <c r="N31" i="14" s="1"/>
  <c r="N32" i="14" s="1"/>
  <c r="J14" i="14"/>
  <c r="M31" i="14"/>
  <c r="M32" i="14" s="1"/>
  <c r="N14" i="14"/>
  <c r="N15" i="14" s="1"/>
  <c r="N16" i="14" s="1"/>
  <c r="L62" i="14"/>
  <c r="L63" i="14" s="1"/>
  <c r="L64" i="14" s="1"/>
  <c r="J30" i="14"/>
  <c r="R29" i="14"/>
  <c r="M62" i="14"/>
  <c r="M63" i="14" s="1"/>
  <c r="M64" i="14" s="1"/>
  <c r="H149" i="4"/>
  <c r="H150" i="4"/>
  <c r="K71" i="6"/>
  <c r="H107" i="4"/>
  <c r="H111" i="4"/>
  <c r="H147" i="4"/>
  <c r="N151" i="4"/>
  <c r="H110" i="4"/>
  <c r="L109" i="6"/>
  <c r="D61" i="14" s="1"/>
  <c r="O151" i="4"/>
  <c r="N30" i="4"/>
  <c r="L151" i="4"/>
  <c r="P151" i="4"/>
  <c r="L158" i="4"/>
  <c r="L154" i="4"/>
  <c r="L150" i="4"/>
  <c r="M158" i="4"/>
  <c r="M154" i="4"/>
  <c r="M150" i="4"/>
  <c r="N158" i="4"/>
  <c r="N154" i="4"/>
  <c r="N150" i="4"/>
  <c r="O158" i="4"/>
  <c r="O154" i="4"/>
  <c r="O150" i="4"/>
  <c r="P158" i="4"/>
  <c r="P154" i="4"/>
  <c r="P150" i="4"/>
  <c r="H30" i="4"/>
  <c r="L157" i="4"/>
  <c r="L153" i="4"/>
  <c r="L149" i="4"/>
  <c r="E61" i="14" s="1"/>
  <c r="M157" i="4"/>
  <c r="M153" i="4"/>
  <c r="M149" i="4"/>
  <c r="F61" i="14" s="1"/>
  <c r="N157" i="4"/>
  <c r="N153" i="4"/>
  <c r="N149" i="4"/>
  <c r="G61" i="14" s="1"/>
  <c r="O157" i="4"/>
  <c r="O153" i="4"/>
  <c r="O149" i="4"/>
  <c r="H61" i="14" s="1"/>
  <c r="P157" i="4"/>
  <c r="P153" i="4"/>
  <c r="P149" i="4"/>
  <c r="I61" i="14" s="1"/>
  <c r="H109" i="4"/>
  <c r="L156" i="4"/>
  <c r="L152" i="4"/>
  <c r="L148" i="4"/>
  <c r="M156" i="4"/>
  <c r="M152" i="4"/>
  <c r="M148" i="4"/>
  <c r="N156" i="4"/>
  <c r="N152" i="4"/>
  <c r="N148" i="4"/>
  <c r="O156" i="4"/>
  <c r="O152" i="4"/>
  <c r="O148" i="4"/>
  <c r="P156" i="4"/>
  <c r="P152" i="4"/>
  <c r="P148" i="4"/>
  <c r="L30" i="4"/>
  <c r="P30" i="4"/>
  <c r="H31" i="4"/>
  <c r="L147" i="4"/>
  <c r="L155" i="4"/>
  <c r="M147" i="4"/>
  <c r="M155" i="4"/>
  <c r="M151" i="4"/>
  <c r="N147" i="4"/>
  <c r="N155" i="4"/>
  <c r="O147" i="4"/>
  <c r="O155" i="4"/>
  <c r="P147" i="4"/>
  <c r="P155" i="4"/>
  <c r="F109" i="6"/>
  <c r="L71" i="6"/>
  <c r="K109" i="6"/>
  <c r="C61" i="14" s="1"/>
  <c r="F31" i="6"/>
  <c r="F35" i="6"/>
  <c r="F69" i="6"/>
  <c r="F67" i="6"/>
  <c r="F70" i="6"/>
  <c r="J30" i="6"/>
  <c r="J78" i="6"/>
  <c r="J74" i="6"/>
  <c r="J70" i="6"/>
  <c r="K78" i="6"/>
  <c r="K74" i="6"/>
  <c r="K70" i="6"/>
  <c r="L78" i="6"/>
  <c r="L74" i="6"/>
  <c r="L70" i="6"/>
  <c r="J29" i="6"/>
  <c r="B13" i="14" s="1"/>
  <c r="J77" i="6"/>
  <c r="J73" i="6"/>
  <c r="J69" i="6"/>
  <c r="B45" i="14" s="1"/>
  <c r="K77" i="6"/>
  <c r="K73" i="6"/>
  <c r="K69" i="6"/>
  <c r="C45" i="14" s="1"/>
  <c r="L77" i="6"/>
  <c r="L73" i="6"/>
  <c r="L69" i="6"/>
  <c r="D45" i="14" s="1"/>
  <c r="J76" i="6"/>
  <c r="J72" i="6"/>
  <c r="J68" i="6"/>
  <c r="K76" i="6"/>
  <c r="K72" i="6"/>
  <c r="K68" i="6"/>
  <c r="L76" i="6"/>
  <c r="L72" i="6"/>
  <c r="L68" i="6"/>
  <c r="J67" i="6"/>
  <c r="J75" i="6"/>
  <c r="J71" i="6"/>
  <c r="K67" i="6"/>
  <c r="K75" i="6"/>
  <c r="L67" i="6"/>
  <c r="L75" i="6"/>
  <c r="J116" i="6"/>
  <c r="J112" i="6"/>
  <c r="K116" i="6"/>
  <c r="K112" i="6"/>
  <c r="K108" i="6"/>
  <c r="L116" i="6"/>
  <c r="L112" i="6"/>
  <c r="L108" i="6"/>
  <c r="F107" i="6"/>
  <c r="J107" i="6"/>
  <c r="J115" i="6"/>
  <c r="J111" i="6"/>
  <c r="K107" i="6"/>
  <c r="K115" i="6"/>
  <c r="K111" i="6"/>
  <c r="L107" i="6"/>
  <c r="L115" i="6"/>
  <c r="L111" i="6"/>
  <c r="J118" i="6"/>
  <c r="J114" i="6"/>
  <c r="J110" i="6"/>
  <c r="K118" i="6"/>
  <c r="K114" i="6"/>
  <c r="K110" i="6"/>
  <c r="L118" i="6"/>
  <c r="L114" i="6"/>
  <c r="L110" i="6"/>
  <c r="F110" i="6"/>
  <c r="F111" i="6"/>
  <c r="J117" i="6"/>
  <c r="J113" i="6"/>
  <c r="J109" i="6"/>
  <c r="B61" i="14" s="1"/>
  <c r="K117" i="6"/>
  <c r="K113" i="6"/>
  <c r="L117" i="6"/>
  <c r="L113" i="6"/>
  <c r="S155" i="5"/>
  <c r="S151" i="5"/>
  <c r="S157" i="5"/>
  <c r="S153" i="5"/>
  <c r="S149" i="5"/>
  <c r="S156" i="5"/>
  <c r="S152" i="5"/>
  <c r="S148" i="5"/>
  <c r="S147" i="5"/>
  <c r="S158" i="5"/>
  <c r="S154" i="5"/>
  <c r="S150" i="5"/>
  <c r="H148" i="4"/>
  <c r="L107" i="4"/>
  <c r="L115" i="4"/>
  <c r="L111" i="4"/>
  <c r="M107" i="4"/>
  <c r="M115" i="4"/>
  <c r="M111" i="4"/>
  <c r="N107" i="4"/>
  <c r="N115" i="4"/>
  <c r="N111" i="4"/>
  <c r="O107" i="4"/>
  <c r="O115" i="4"/>
  <c r="O111" i="4"/>
  <c r="P107" i="4"/>
  <c r="P115" i="4"/>
  <c r="P111" i="4"/>
  <c r="O30" i="4"/>
  <c r="L68" i="4"/>
  <c r="M68" i="4" s="1"/>
  <c r="L118" i="4"/>
  <c r="L114" i="4"/>
  <c r="L110" i="4"/>
  <c r="M118" i="4"/>
  <c r="M114" i="4"/>
  <c r="M110" i="4"/>
  <c r="N118" i="4"/>
  <c r="N114" i="4"/>
  <c r="N110" i="4"/>
  <c r="O118" i="4"/>
  <c r="O114" i="4"/>
  <c r="O110" i="4"/>
  <c r="P118" i="4"/>
  <c r="P114" i="4"/>
  <c r="P110" i="4"/>
  <c r="H32" i="4"/>
  <c r="S95" i="4"/>
  <c r="L117" i="4"/>
  <c r="L113" i="4"/>
  <c r="L109" i="4"/>
  <c r="E45" i="14" s="1"/>
  <c r="M117" i="4"/>
  <c r="M113" i="4"/>
  <c r="M109" i="4"/>
  <c r="F45" i="14" s="1"/>
  <c r="N117" i="4"/>
  <c r="N113" i="4"/>
  <c r="N109" i="4"/>
  <c r="G45" i="14" s="1"/>
  <c r="O117" i="4"/>
  <c r="O113" i="4"/>
  <c r="O109" i="4"/>
  <c r="H45" i="14" s="1"/>
  <c r="P117" i="4"/>
  <c r="P113" i="4"/>
  <c r="P109" i="4"/>
  <c r="I45" i="14" s="1"/>
  <c r="M30" i="4"/>
  <c r="L116" i="4"/>
  <c r="L112" i="4"/>
  <c r="L108" i="4"/>
  <c r="M116" i="4"/>
  <c r="M112" i="4"/>
  <c r="N116" i="4"/>
  <c r="N112" i="4"/>
  <c r="O116" i="4"/>
  <c r="O112" i="4"/>
  <c r="P116" i="4"/>
  <c r="P112" i="4"/>
  <c r="H108" i="4"/>
  <c r="L37" i="4"/>
  <c r="L33" i="4"/>
  <c r="L29" i="4"/>
  <c r="E13" i="14" s="1"/>
  <c r="M37" i="4"/>
  <c r="M33" i="4"/>
  <c r="M29" i="4"/>
  <c r="F13" i="14" s="1"/>
  <c r="N37" i="4"/>
  <c r="N33" i="4"/>
  <c r="N29" i="4"/>
  <c r="G13" i="14" s="1"/>
  <c r="O37" i="4"/>
  <c r="O33" i="4"/>
  <c r="O29" i="4"/>
  <c r="H13" i="14" s="1"/>
  <c r="P37" i="4"/>
  <c r="P33" i="4"/>
  <c r="P29" i="4"/>
  <c r="I13" i="14" s="1"/>
  <c r="L67" i="4"/>
  <c r="M67" i="4" s="1"/>
  <c r="L75" i="4"/>
  <c r="L71" i="4"/>
  <c r="M71" i="4" s="1"/>
  <c r="H29" i="4"/>
  <c r="L36" i="4"/>
  <c r="L32" i="4"/>
  <c r="L28" i="4"/>
  <c r="M36" i="4"/>
  <c r="M32" i="4"/>
  <c r="M28" i="4"/>
  <c r="N36" i="4"/>
  <c r="N32" i="4"/>
  <c r="N28" i="4"/>
  <c r="O36" i="4"/>
  <c r="O32" i="4"/>
  <c r="H14" i="14" s="1"/>
  <c r="O28" i="4"/>
  <c r="P36" i="4"/>
  <c r="P32" i="4"/>
  <c r="P28" i="4"/>
  <c r="L78" i="4"/>
  <c r="M78" i="4" s="1"/>
  <c r="L74" i="4"/>
  <c r="M74" i="4" s="1"/>
  <c r="L70" i="4"/>
  <c r="M70" i="4" s="1"/>
  <c r="L27" i="4"/>
  <c r="L35" i="4"/>
  <c r="L31" i="4"/>
  <c r="M27" i="4"/>
  <c r="M35" i="4"/>
  <c r="M31" i="4"/>
  <c r="N27" i="4"/>
  <c r="N35" i="4"/>
  <c r="N31" i="4"/>
  <c r="O27" i="4"/>
  <c r="O35" i="4"/>
  <c r="O31" i="4"/>
  <c r="P27" i="4"/>
  <c r="P35" i="4"/>
  <c r="P31" i="4"/>
  <c r="S55" i="4"/>
  <c r="L77" i="4"/>
  <c r="M77" i="4" s="1"/>
  <c r="L73" i="4"/>
  <c r="M73" i="4" s="1"/>
  <c r="L69" i="4"/>
  <c r="L38" i="4"/>
  <c r="L34" i="4"/>
  <c r="M38" i="4"/>
  <c r="M34" i="4"/>
  <c r="N38" i="4"/>
  <c r="N34" i="4"/>
  <c r="O38" i="4"/>
  <c r="O34" i="4"/>
  <c r="P38" i="4"/>
  <c r="P34" i="4"/>
  <c r="L76" i="4"/>
  <c r="M76" i="4" s="1"/>
  <c r="L72" i="4"/>
  <c r="M72" i="4" s="1"/>
  <c r="D67" i="4"/>
  <c r="H28" i="4"/>
  <c r="H27" i="4"/>
  <c r="F108" i="6"/>
  <c r="F68" i="6"/>
  <c r="J35" i="6"/>
  <c r="J31" i="6"/>
  <c r="K27" i="6"/>
  <c r="K35" i="6"/>
  <c r="K31" i="6"/>
  <c r="L27" i="6"/>
  <c r="L35" i="6"/>
  <c r="L31" i="6"/>
  <c r="F30" i="6"/>
  <c r="J38" i="6"/>
  <c r="J34" i="6"/>
  <c r="K38" i="6"/>
  <c r="K34" i="6"/>
  <c r="K30" i="6"/>
  <c r="L38" i="6"/>
  <c r="L34" i="6"/>
  <c r="L30" i="6"/>
  <c r="J37" i="6"/>
  <c r="J33" i="6"/>
  <c r="K37" i="6"/>
  <c r="K33" i="6"/>
  <c r="K29" i="6"/>
  <c r="C13" i="14" s="1"/>
  <c r="L37" i="6"/>
  <c r="L33" i="6"/>
  <c r="L29" i="6"/>
  <c r="D13" i="14" s="1"/>
  <c r="F27" i="6"/>
  <c r="F29" i="6"/>
  <c r="J36" i="6"/>
  <c r="J32" i="6"/>
  <c r="J28" i="6"/>
  <c r="K36" i="6"/>
  <c r="K32" i="6"/>
  <c r="L36" i="6"/>
  <c r="L32" i="6"/>
  <c r="F28" i="6"/>
  <c r="G62" i="14" l="1"/>
  <c r="G14" i="14"/>
  <c r="G15" i="14" s="1"/>
  <c r="G16" i="14" s="1"/>
  <c r="I46" i="14"/>
  <c r="I47" i="14" s="1"/>
  <c r="I48" i="14" s="1"/>
  <c r="C62" i="14"/>
  <c r="C63" i="14" s="1"/>
  <c r="C64" i="14" s="1"/>
  <c r="P61" i="14"/>
  <c r="T61" i="14" s="1"/>
  <c r="D14" i="14"/>
  <c r="D15" i="14" s="1"/>
  <c r="R30" i="14"/>
  <c r="C14" i="14"/>
  <c r="C15" i="14" s="1"/>
  <c r="C16" i="14" s="1"/>
  <c r="D46" i="14"/>
  <c r="D47" i="14" s="1"/>
  <c r="D48" i="14" s="1"/>
  <c r="B46" i="14"/>
  <c r="B47" i="14" s="1"/>
  <c r="B48" i="14" s="1"/>
  <c r="L16" i="14"/>
  <c r="K47" i="14"/>
  <c r="K48" i="14" s="1"/>
  <c r="J48" i="14"/>
  <c r="J31" i="14"/>
  <c r="J63" i="14"/>
  <c r="R62" i="14"/>
  <c r="V62" i="14" s="1"/>
  <c r="J15" i="14"/>
  <c r="R14" i="14"/>
  <c r="R46" i="14"/>
  <c r="I62" i="14"/>
  <c r="I63" i="14" s="1"/>
  <c r="I64" i="14" s="1"/>
  <c r="H15" i="14"/>
  <c r="H16" i="14" s="1"/>
  <c r="G63" i="14"/>
  <c r="G64" i="14" s="1"/>
  <c r="Q45" i="14"/>
  <c r="F14" i="14"/>
  <c r="F15" i="14" s="1"/>
  <c r="F16" i="14" s="1"/>
  <c r="E46" i="14"/>
  <c r="F46" i="14"/>
  <c r="F47" i="14" s="1"/>
  <c r="F48" i="14" s="1"/>
  <c r="F62" i="14"/>
  <c r="F63" i="14" s="1"/>
  <c r="I14" i="14"/>
  <c r="I15" i="14" s="1"/>
  <c r="E14" i="14"/>
  <c r="M75" i="4"/>
  <c r="G46" i="14"/>
  <c r="G47" i="14" s="1"/>
  <c r="G48" i="14" s="1"/>
  <c r="Q13" i="14"/>
  <c r="E62" i="14"/>
  <c r="E63" i="14" s="1"/>
  <c r="Q61" i="14"/>
  <c r="U61" i="14" s="1"/>
  <c r="M69" i="4"/>
  <c r="I29" i="14"/>
  <c r="H46" i="14"/>
  <c r="H47" i="14" s="1"/>
  <c r="H48" i="14" s="1"/>
  <c r="H62" i="14"/>
  <c r="H63" i="14" s="1"/>
  <c r="H64" i="14" s="1"/>
  <c r="B14" i="14"/>
  <c r="B15" i="14" s="1"/>
  <c r="P13" i="14"/>
  <c r="D62" i="14"/>
  <c r="D63" i="14" s="1"/>
  <c r="D64" i="14" s="1"/>
  <c r="B62" i="14"/>
  <c r="P45" i="14"/>
  <c r="C46" i="14"/>
  <c r="C47" i="14" s="1"/>
  <c r="C48" i="14" s="1"/>
  <c r="Q33" i="4"/>
  <c r="Q27" i="4"/>
  <c r="Q37" i="4"/>
  <c r="S108" i="5"/>
  <c r="S116" i="5"/>
  <c r="S111" i="5"/>
  <c r="S110" i="5"/>
  <c r="S118" i="5"/>
  <c r="S113" i="5"/>
  <c r="S112" i="5"/>
  <c r="S107" i="5"/>
  <c r="S115" i="5"/>
  <c r="S114" i="5"/>
  <c r="S109" i="5"/>
  <c r="S117" i="5"/>
  <c r="S77" i="5"/>
  <c r="S68" i="5"/>
  <c r="S76" i="5"/>
  <c r="S71" i="5"/>
  <c r="S74" i="5"/>
  <c r="S69" i="5"/>
  <c r="S70" i="5"/>
  <c r="S78" i="5"/>
  <c r="S73" i="5"/>
  <c r="S72" i="5"/>
  <c r="S67" i="5"/>
  <c r="S75" i="5"/>
  <c r="S30" i="5"/>
  <c r="S33" i="5"/>
  <c r="S32" i="5"/>
  <c r="S34" i="5"/>
  <c r="S37" i="5"/>
  <c r="S36" i="5"/>
  <c r="S38" i="5"/>
  <c r="S27" i="5"/>
  <c r="S31" i="5"/>
  <c r="S29" i="5"/>
  <c r="S28" i="5"/>
  <c r="S35" i="5"/>
  <c r="Q149" i="4"/>
  <c r="Q157" i="4"/>
  <c r="Q152" i="4"/>
  <c r="Q151" i="4"/>
  <c r="Q154" i="4"/>
  <c r="Q153" i="4"/>
  <c r="Q156" i="4"/>
  <c r="Q148" i="4"/>
  <c r="Q155" i="4"/>
  <c r="Q147" i="4"/>
  <c r="Q158" i="4"/>
  <c r="Q150" i="4"/>
  <c r="Q117" i="4"/>
  <c r="Q115" i="4"/>
  <c r="Q107" i="4"/>
  <c r="Q118" i="4"/>
  <c r="Q110" i="4"/>
  <c r="Q109" i="4"/>
  <c r="Q112" i="4"/>
  <c r="Q111" i="4"/>
  <c r="Q114" i="4"/>
  <c r="Q113" i="4"/>
  <c r="Q116" i="4"/>
  <c r="Q108" i="4"/>
  <c r="Q29" i="4"/>
  <c r="Q31" i="4"/>
  <c r="Q35" i="4"/>
  <c r="Q32" i="4"/>
  <c r="Q34" i="4"/>
  <c r="Q36" i="4"/>
  <c r="Q28" i="4"/>
  <c r="Q38" i="4"/>
  <c r="Q30" i="4"/>
  <c r="M110" i="6"/>
  <c r="M116" i="6"/>
  <c r="M112" i="6"/>
  <c r="M114" i="6"/>
  <c r="M108" i="6"/>
  <c r="M109" i="6"/>
  <c r="M107" i="6"/>
  <c r="M117" i="6"/>
  <c r="M115" i="6"/>
  <c r="M113" i="6"/>
  <c r="M111" i="6"/>
  <c r="M118" i="6"/>
  <c r="M78" i="6"/>
  <c r="M70" i="6"/>
  <c r="M77" i="6"/>
  <c r="M73" i="6"/>
  <c r="M69" i="6"/>
  <c r="M76" i="6"/>
  <c r="M72" i="6"/>
  <c r="M68" i="6"/>
  <c r="M74" i="6"/>
  <c r="M75" i="6"/>
  <c r="M71" i="6"/>
  <c r="M67" i="6"/>
  <c r="M28" i="6"/>
  <c r="M32" i="6"/>
  <c r="M29" i="6"/>
  <c r="M37" i="6"/>
  <c r="M33" i="6"/>
  <c r="M36" i="6"/>
  <c r="M31" i="6"/>
  <c r="M27" i="6"/>
  <c r="M35" i="6"/>
  <c r="M30" i="6"/>
  <c r="M38" i="6"/>
  <c r="M34" i="6"/>
  <c r="P14" i="14" l="1"/>
  <c r="D16" i="14"/>
  <c r="R47" i="14"/>
  <c r="S61" i="14"/>
  <c r="W61" i="14" s="1"/>
  <c r="R48" i="14"/>
  <c r="R63" i="14"/>
  <c r="V63" i="14" s="1"/>
  <c r="J64" i="14"/>
  <c r="R64" i="14" s="1"/>
  <c r="V64" i="14" s="1"/>
  <c r="J32" i="14"/>
  <c r="R32" i="14" s="1"/>
  <c r="R31" i="14"/>
  <c r="J16" i="14"/>
  <c r="R16" i="14" s="1"/>
  <c r="R15" i="14"/>
  <c r="S45" i="14"/>
  <c r="F64" i="14"/>
  <c r="I16" i="14"/>
  <c r="Q14" i="14"/>
  <c r="S13" i="14"/>
  <c r="E15" i="14"/>
  <c r="E47" i="14"/>
  <c r="Q46" i="14"/>
  <c r="I30" i="14"/>
  <c r="Q30" i="14" s="1"/>
  <c r="S30" i="14" s="1"/>
  <c r="Q29" i="14"/>
  <c r="S29" i="14" s="1"/>
  <c r="E64" i="14"/>
  <c r="Q64" i="14" s="1"/>
  <c r="U64" i="14" s="1"/>
  <c r="Q63" i="14"/>
  <c r="U63" i="14" s="1"/>
  <c r="Q62" i="14"/>
  <c r="U62" i="14" s="1"/>
  <c r="B63" i="14"/>
  <c r="P63" i="14" s="1"/>
  <c r="P62" i="14"/>
  <c r="P46" i="14"/>
  <c r="P47" i="14"/>
  <c r="B16" i="14"/>
  <c r="P16" i="14" s="1"/>
  <c r="P15" i="14"/>
  <c r="B64" i="14"/>
  <c r="P64" i="14" s="1"/>
  <c r="P48" i="1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P2" i="3"/>
  <c r="O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2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S36" i="12"/>
  <c r="S35" i="12"/>
  <c r="S34" i="12"/>
  <c r="S14" i="14" l="1"/>
  <c r="S46" i="14"/>
  <c r="Q47" i="14"/>
  <c r="S47" i="14" s="1"/>
  <c r="E48" i="14"/>
  <c r="Q48" i="14" s="1"/>
  <c r="S48" i="14" s="1"/>
  <c r="E16" i="14"/>
  <c r="Q16" i="14" s="1"/>
  <c r="S16" i="14" s="1"/>
  <c r="Q15" i="14"/>
  <c r="S15" i="14" s="1"/>
  <c r="Y1" i="2"/>
  <c r="W1" i="2"/>
  <c r="X1" i="2"/>
  <c r="V1" i="2"/>
  <c r="I31" i="14"/>
  <c r="T64" i="14"/>
  <c r="S64" i="14"/>
  <c r="W64" i="14" s="1"/>
  <c r="T62" i="14"/>
  <c r="S62" i="14"/>
  <c r="W62" i="14" s="1"/>
  <c r="T63" i="14"/>
  <c r="S63" i="14"/>
  <c r="W63" i="14" s="1"/>
  <c r="S1" i="2"/>
  <c r="Q1" i="3"/>
  <c r="R1" i="3"/>
  <c r="T1" i="3"/>
  <c r="S1" i="3"/>
  <c r="T1" i="2"/>
  <c r="Q1" i="2"/>
  <c r="P15" i="12"/>
  <c r="I6" i="10"/>
  <c r="H6" i="10"/>
  <c r="G6" i="10"/>
  <c r="F6" i="10"/>
  <c r="E6" i="10"/>
  <c r="D6" i="10"/>
  <c r="C6" i="10"/>
  <c r="Q30" i="11"/>
  <c r="Q29" i="11"/>
  <c r="Q28" i="11"/>
  <c r="Q27" i="11"/>
  <c r="Q26" i="11"/>
  <c r="Q25" i="11"/>
  <c r="Q24" i="11"/>
  <c r="Q6" i="10" s="1"/>
  <c r="Q23" i="11"/>
  <c r="Q22" i="11"/>
  <c r="Q21" i="11"/>
  <c r="Q20" i="11"/>
  <c r="Q19" i="11"/>
  <c r="I6" i="9"/>
  <c r="H6" i="9"/>
  <c r="G6" i="9"/>
  <c r="F6" i="9"/>
  <c r="E6" i="9"/>
  <c r="D6" i="9"/>
  <c r="C6" i="9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6" i="9" s="1"/>
  <c r="Q53" i="7"/>
  <c r="Q52" i="7"/>
  <c r="Q51" i="7"/>
  <c r="Q50" i="7"/>
  <c r="Q49" i="7"/>
  <c r="Q48" i="7"/>
  <c r="Q47" i="7"/>
  <c r="Q46" i="7"/>
  <c r="Q45" i="7"/>
  <c r="Q44" i="7"/>
  <c r="Q43" i="7"/>
  <c r="AF123" i="5"/>
  <c r="AF124" i="5" s="1"/>
  <c r="AF125" i="5" s="1"/>
  <c r="AF126" i="5" s="1"/>
  <c r="AF127" i="5" s="1"/>
  <c r="AF128" i="5" s="1"/>
  <c r="AF129" i="5" s="1"/>
  <c r="AF130" i="5" s="1"/>
  <c r="AF131" i="5" s="1"/>
  <c r="AF132" i="5" s="1"/>
  <c r="AF133" i="5" s="1"/>
  <c r="AF134" i="5" s="1"/>
  <c r="AF135" i="5" s="1"/>
  <c r="AF136" i="5" s="1"/>
  <c r="AF137" i="5" s="1"/>
  <c r="AF138" i="5" s="1"/>
  <c r="AF139" i="5" s="1"/>
  <c r="AF140" i="5" s="1"/>
  <c r="AF141" i="5" s="1"/>
  <c r="AF142" i="5" s="1"/>
  <c r="AF143" i="5" s="1"/>
  <c r="AF144" i="5" s="1"/>
  <c r="AF145" i="5" s="1"/>
  <c r="AF146" i="5" s="1"/>
  <c r="AF147" i="5" s="1"/>
  <c r="AF148" i="5" s="1"/>
  <c r="AF149" i="5" s="1"/>
  <c r="AF150" i="5" s="1"/>
  <c r="AF151" i="5" s="1"/>
  <c r="AF152" i="5" s="1"/>
  <c r="AF153" i="5" s="1"/>
  <c r="AF154" i="5" s="1"/>
  <c r="AF155" i="5" s="1"/>
  <c r="AF156" i="5" s="1"/>
  <c r="AF157" i="5" s="1"/>
  <c r="AF158" i="5" s="1"/>
  <c r="I32" i="14" l="1"/>
  <c r="Q32" i="14" s="1"/>
  <c r="S32" i="14" s="1"/>
  <c r="Q31" i="14"/>
  <c r="S31" i="14" s="1"/>
  <c r="P14" i="12"/>
  <c r="P13" i="12"/>
  <c r="N2" i="1" l="1"/>
  <c r="M2" i="1"/>
  <c r="P1" i="1" s="1"/>
  <c r="L2" i="1"/>
  <c r="O1" i="1" s="1"/>
  <c r="T1" i="1" l="1"/>
  <c r="S1" i="1"/>
  <c r="Q1" i="1"/>
  <c r="L26" i="4"/>
  <c r="L22" i="4"/>
  <c r="F10" i="11" s="1"/>
  <c r="L18" i="4"/>
  <c r="F6" i="11" s="1"/>
  <c r="L25" i="4"/>
  <c r="F13" i="11" s="1"/>
  <c r="L21" i="4"/>
  <c r="F9" i="11" s="1"/>
  <c r="L17" i="4"/>
  <c r="L24" i="4"/>
  <c r="F12" i="11" s="1"/>
  <c r="L20" i="4"/>
  <c r="L19" i="4"/>
  <c r="L15" i="4"/>
  <c r="L16" i="4"/>
  <c r="F4" i="11" s="1"/>
  <c r="L23" i="4"/>
  <c r="N24" i="4"/>
  <c r="H12" i="11" s="1"/>
  <c r="N20" i="4"/>
  <c r="N16" i="4"/>
  <c r="H4" i="11" s="1"/>
  <c r="N23" i="4"/>
  <c r="N19" i="4"/>
  <c r="H7" i="11" s="1"/>
  <c r="N15" i="4"/>
  <c r="H3" i="11" s="1"/>
  <c r="N26" i="4"/>
  <c r="H14" i="11" s="1"/>
  <c r="N22" i="4"/>
  <c r="H10" i="11" s="1"/>
  <c r="N18" i="4"/>
  <c r="H6" i="11" s="1"/>
  <c r="N25" i="4"/>
  <c r="N21" i="4"/>
  <c r="N17" i="4"/>
  <c r="G9" i="14" s="1"/>
  <c r="P26" i="4"/>
  <c r="J14" i="11" s="1"/>
  <c r="P22" i="4"/>
  <c r="J10" i="11" s="1"/>
  <c r="P18" i="4"/>
  <c r="J6" i="11" s="1"/>
  <c r="P25" i="4"/>
  <c r="J13" i="11" s="1"/>
  <c r="P21" i="4"/>
  <c r="J9" i="11" s="1"/>
  <c r="P17" i="4"/>
  <c r="P24" i="4"/>
  <c r="J12" i="11" s="1"/>
  <c r="P20" i="4"/>
  <c r="P23" i="4"/>
  <c r="P15" i="4"/>
  <c r="J3" i="11" s="1"/>
  <c r="P16" i="4"/>
  <c r="J4" i="11" s="1"/>
  <c r="P19" i="4"/>
  <c r="J7" i="11" s="1"/>
  <c r="O23" i="4"/>
  <c r="O19" i="4"/>
  <c r="I7" i="11" s="1"/>
  <c r="O15" i="4"/>
  <c r="I3" i="11" s="1"/>
  <c r="O26" i="4"/>
  <c r="I14" i="11" s="1"/>
  <c r="O22" i="4"/>
  <c r="I10" i="11" s="1"/>
  <c r="O18" i="4"/>
  <c r="I6" i="11" s="1"/>
  <c r="O25" i="4"/>
  <c r="I13" i="11" s="1"/>
  <c r="O21" i="4"/>
  <c r="I9" i="11" s="1"/>
  <c r="O17" i="4"/>
  <c r="O16" i="4"/>
  <c r="O24" i="4"/>
  <c r="O20" i="4"/>
  <c r="L56" i="4"/>
  <c r="L60" i="4"/>
  <c r="L64" i="4"/>
  <c r="L57" i="4"/>
  <c r="I25" i="14" s="1"/>
  <c r="Q25" i="14" s="1"/>
  <c r="L61" i="4"/>
  <c r="L65" i="4"/>
  <c r="L58" i="4"/>
  <c r="L62" i="4"/>
  <c r="L66" i="4"/>
  <c r="L59" i="4"/>
  <c r="L63" i="4"/>
  <c r="L55" i="4"/>
  <c r="L106" i="4"/>
  <c r="L102" i="4"/>
  <c r="F42" i="11" s="1"/>
  <c r="L98" i="4"/>
  <c r="F38" i="11" s="1"/>
  <c r="L105" i="4"/>
  <c r="F45" i="11" s="1"/>
  <c r="L101" i="4"/>
  <c r="F41" i="11" s="1"/>
  <c r="L97" i="4"/>
  <c r="L104" i="4"/>
  <c r="F44" i="11" s="1"/>
  <c r="L100" i="4"/>
  <c r="L96" i="4"/>
  <c r="F36" i="11" s="1"/>
  <c r="L99" i="4"/>
  <c r="L95" i="4"/>
  <c r="L103" i="4"/>
  <c r="M105" i="4"/>
  <c r="G45" i="11" s="1"/>
  <c r="M101" i="4"/>
  <c r="G41" i="11" s="1"/>
  <c r="M97" i="4"/>
  <c r="M104" i="4"/>
  <c r="G44" i="11" s="1"/>
  <c r="M100" i="4"/>
  <c r="M96" i="4"/>
  <c r="G36" i="11" s="1"/>
  <c r="M103" i="4"/>
  <c r="M99" i="4"/>
  <c r="G39" i="11" s="1"/>
  <c r="M95" i="4"/>
  <c r="G35" i="11" s="1"/>
  <c r="M102" i="4"/>
  <c r="M98" i="4"/>
  <c r="M106" i="4"/>
  <c r="N104" i="4"/>
  <c r="H44" i="11" s="1"/>
  <c r="N100" i="4"/>
  <c r="N96" i="4"/>
  <c r="H36" i="11" s="1"/>
  <c r="N103" i="4"/>
  <c r="N99" i="4"/>
  <c r="H39" i="11" s="1"/>
  <c r="N95" i="4"/>
  <c r="H35" i="11" s="1"/>
  <c r="N106" i="4"/>
  <c r="H46" i="11" s="1"/>
  <c r="N102" i="4"/>
  <c r="H42" i="11" s="1"/>
  <c r="N98" i="4"/>
  <c r="H38" i="11" s="1"/>
  <c r="N105" i="4"/>
  <c r="N101" i="4"/>
  <c r="N97" i="4"/>
  <c r="G41" i="14" s="1"/>
  <c r="O103" i="4"/>
  <c r="I43" i="11" s="1"/>
  <c r="O99" i="4"/>
  <c r="I39" i="11" s="1"/>
  <c r="O95" i="4"/>
  <c r="I35" i="11" s="1"/>
  <c r="O106" i="4"/>
  <c r="I46" i="11" s="1"/>
  <c r="O102" i="4"/>
  <c r="I42" i="11" s="1"/>
  <c r="O98" i="4"/>
  <c r="I38" i="11" s="1"/>
  <c r="O105" i="4"/>
  <c r="I45" i="11" s="1"/>
  <c r="O101" i="4"/>
  <c r="I41" i="11" s="1"/>
  <c r="O97" i="4"/>
  <c r="O104" i="4"/>
  <c r="O100" i="4"/>
  <c r="O96" i="4"/>
  <c r="P106" i="4"/>
  <c r="P102" i="4"/>
  <c r="J42" i="11" s="1"/>
  <c r="P98" i="4"/>
  <c r="J38" i="11" s="1"/>
  <c r="P105" i="4"/>
  <c r="J45" i="11" s="1"/>
  <c r="P101" i="4"/>
  <c r="J41" i="11" s="1"/>
  <c r="P97" i="4"/>
  <c r="P104" i="4"/>
  <c r="J44" i="11" s="1"/>
  <c r="P100" i="4"/>
  <c r="P96" i="4"/>
  <c r="J36" i="11" s="1"/>
  <c r="P95" i="4"/>
  <c r="J35" i="11" s="1"/>
  <c r="P103" i="4"/>
  <c r="J43" i="11" s="1"/>
  <c r="P99" i="4"/>
  <c r="J39" i="11" s="1"/>
  <c r="L146" i="4"/>
  <c r="L142" i="4"/>
  <c r="F58" i="11" s="1"/>
  <c r="L138" i="4"/>
  <c r="F54" i="11" s="1"/>
  <c r="L145" i="4"/>
  <c r="F61" i="11" s="1"/>
  <c r="L141" i="4"/>
  <c r="L137" i="4"/>
  <c r="L144" i="4"/>
  <c r="F60" i="11" s="1"/>
  <c r="L140" i="4"/>
  <c r="L136" i="4"/>
  <c r="F52" i="11" s="1"/>
  <c r="L143" i="4"/>
  <c r="L139" i="4"/>
  <c r="L135" i="4"/>
  <c r="M145" i="4"/>
  <c r="G61" i="11" s="1"/>
  <c r="M141" i="4"/>
  <c r="G57" i="11" s="1"/>
  <c r="M137" i="4"/>
  <c r="M144" i="4"/>
  <c r="G60" i="11" s="1"/>
  <c r="M140" i="4"/>
  <c r="M136" i="4"/>
  <c r="G52" i="11" s="1"/>
  <c r="M143" i="4"/>
  <c r="G59" i="11" s="1"/>
  <c r="M139" i="4"/>
  <c r="G55" i="11" s="1"/>
  <c r="M135" i="4"/>
  <c r="G51" i="11" s="1"/>
  <c r="M146" i="4"/>
  <c r="M142" i="4"/>
  <c r="M138" i="4"/>
  <c r="N144" i="4"/>
  <c r="H60" i="11" s="1"/>
  <c r="N140" i="4"/>
  <c r="N136" i="4"/>
  <c r="H52" i="11" s="1"/>
  <c r="N143" i="4"/>
  <c r="H59" i="11" s="1"/>
  <c r="N139" i="4"/>
  <c r="H55" i="11" s="1"/>
  <c r="N135" i="4"/>
  <c r="H51" i="11" s="1"/>
  <c r="N146" i="4"/>
  <c r="N142" i="4"/>
  <c r="H58" i="11" s="1"/>
  <c r="N138" i="4"/>
  <c r="H54" i="11" s="1"/>
  <c r="N137" i="4"/>
  <c r="G57" i="14" s="1"/>
  <c r="N145" i="4"/>
  <c r="N141" i="4"/>
  <c r="H57" i="11" s="1"/>
  <c r="O143" i="4"/>
  <c r="O139" i="4"/>
  <c r="I55" i="11" s="1"/>
  <c r="O135" i="4"/>
  <c r="I51" i="11" s="1"/>
  <c r="O146" i="4"/>
  <c r="O142" i="4"/>
  <c r="I58" i="11" s="1"/>
  <c r="O138" i="4"/>
  <c r="I54" i="11" s="1"/>
  <c r="O145" i="4"/>
  <c r="I61" i="11" s="1"/>
  <c r="O141" i="4"/>
  <c r="I57" i="11" s="1"/>
  <c r="O137" i="4"/>
  <c r="O140" i="4"/>
  <c r="O136" i="4"/>
  <c r="O144" i="4"/>
  <c r="P146" i="4"/>
  <c r="P142" i="4"/>
  <c r="J58" i="11" s="1"/>
  <c r="P138" i="4"/>
  <c r="J54" i="11" s="1"/>
  <c r="P145" i="4"/>
  <c r="J61" i="11" s="1"/>
  <c r="P141" i="4"/>
  <c r="J57" i="11" s="1"/>
  <c r="P137" i="4"/>
  <c r="P144" i="4"/>
  <c r="J60" i="11" s="1"/>
  <c r="P140" i="4"/>
  <c r="P136" i="4"/>
  <c r="J52" i="11" s="1"/>
  <c r="P143" i="4"/>
  <c r="P139" i="4"/>
  <c r="J55" i="11" s="1"/>
  <c r="P135" i="4"/>
  <c r="J51" i="11" s="1"/>
  <c r="M25" i="4"/>
  <c r="G13" i="11" s="1"/>
  <c r="M21" i="4"/>
  <c r="G9" i="11" s="1"/>
  <c r="M17" i="4"/>
  <c r="M24" i="4"/>
  <c r="G12" i="11" s="1"/>
  <c r="M20" i="4"/>
  <c r="M16" i="4"/>
  <c r="G4" i="11" s="1"/>
  <c r="M23" i="4"/>
  <c r="G11" i="11" s="1"/>
  <c r="M19" i="4"/>
  <c r="G7" i="11" s="1"/>
  <c r="M22" i="4"/>
  <c r="M18" i="4"/>
  <c r="M26" i="4"/>
  <c r="M15" i="4"/>
  <c r="G3" i="11" s="1"/>
  <c r="P22" i="5"/>
  <c r="N10" i="11" s="1"/>
  <c r="P20" i="5"/>
  <c r="P16" i="5"/>
  <c r="N4" i="11" s="1"/>
  <c r="P23" i="5"/>
  <c r="P26" i="5"/>
  <c r="N14" i="11" s="1"/>
  <c r="P24" i="5"/>
  <c r="N12" i="11" s="1"/>
  <c r="P18" i="5"/>
  <c r="N6" i="11" s="1"/>
  <c r="P25" i="5"/>
  <c r="N13" i="11" s="1"/>
  <c r="P21" i="5"/>
  <c r="N9" i="11" s="1"/>
  <c r="P19" i="5"/>
  <c r="N7" i="11" s="1"/>
  <c r="P15" i="5"/>
  <c r="N3" i="11" s="1"/>
  <c r="P17" i="5"/>
  <c r="M66" i="5"/>
  <c r="K30" i="11" s="1"/>
  <c r="M64" i="5"/>
  <c r="K28" i="11" s="1"/>
  <c r="M62" i="5"/>
  <c r="K26" i="11" s="1"/>
  <c r="M60" i="5"/>
  <c r="M58" i="5"/>
  <c r="K22" i="11" s="1"/>
  <c r="M56" i="5"/>
  <c r="K20" i="11" s="1"/>
  <c r="M57" i="5"/>
  <c r="M55" i="5"/>
  <c r="K19" i="11" s="1"/>
  <c r="M63" i="5"/>
  <c r="M59" i="5"/>
  <c r="K23" i="11" s="1"/>
  <c r="M65" i="5"/>
  <c r="K29" i="11" s="1"/>
  <c r="M61" i="5"/>
  <c r="N66" i="5"/>
  <c r="L30" i="11" s="1"/>
  <c r="N64" i="5"/>
  <c r="L28" i="11" s="1"/>
  <c r="N62" i="5"/>
  <c r="L26" i="11" s="1"/>
  <c r="N63" i="5"/>
  <c r="N65" i="5"/>
  <c r="L29" i="11" s="1"/>
  <c r="N60" i="5"/>
  <c r="N56" i="5"/>
  <c r="L20" i="11" s="1"/>
  <c r="N59" i="5"/>
  <c r="L23" i="11" s="1"/>
  <c r="N57" i="5"/>
  <c r="N55" i="5"/>
  <c r="L19" i="11" s="1"/>
  <c r="N61" i="5"/>
  <c r="L25" i="11" s="1"/>
  <c r="N58" i="5"/>
  <c r="L22" i="11" s="1"/>
  <c r="O65" i="5"/>
  <c r="M29" i="11" s="1"/>
  <c r="O63" i="5"/>
  <c r="O61" i="5"/>
  <c r="M25" i="11" s="1"/>
  <c r="O59" i="5"/>
  <c r="M23" i="11" s="1"/>
  <c r="O57" i="5"/>
  <c r="O55" i="5"/>
  <c r="M19" i="11" s="1"/>
  <c r="O60" i="5"/>
  <c r="O58" i="5"/>
  <c r="M22" i="11" s="1"/>
  <c r="O56" i="5"/>
  <c r="M20" i="11" s="1"/>
  <c r="O66" i="5"/>
  <c r="M30" i="11" s="1"/>
  <c r="O62" i="5"/>
  <c r="M26" i="11" s="1"/>
  <c r="O64" i="5"/>
  <c r="M28" i="11" s="1"/>
  <c r="P65" i="5"/>
  <c r="N29" i="11" s="1"/>
  <c r="P63" i="5"/>
  <c r="P61" i="5"/>
  <c r="N25" i="11" s="1"/>
  <c r="P64" i="5"/>
  <c r="N28" i="11" s="1"/>
  <c r="P62" i="5"/>
  <c r="N26" i="11" s="1"/>
  <c r="P57" i="5"/>
  <c r="P60" i="5"/>
  <c r="P58" i="5"/>
  <c r="N22" i="11" s="1"/>
  <c r="P56" i="5"/>
  <c r="N20" i="11" s="1"/>
  <c r="P66" i="5"/>
  <c r="N30" i="11" s="1"/>
  <c r="P59" i="5"/>
  <c r="N23" i="11" s="1"/>
  <c r="P55" i="5"/>
  <c r="N19" i="11" s="1"/>
  <c r="Q66" i="5"/>
  <c r="O30" i="11" s="1"/>
  <c r="Q64" i="5"/>
  <c r="O28" i="11" s="1"/>
  <c r="Q62" i="5"/>
  <c r="O26" i="11" s="1"/>
  <c r="Q60" i="5"/>
  <c r="Q58" i="5"/>
  <c r="O22" i="11" s="1"/>
  <c r="Q56" i="5"/>
  <c r="O20" i="11" s="1"/>
  <c r="Q59" i="5"/>
  <c r="O23" i="11" s="1"/>
  <c r="Q63" i="5"/>
  <c r="Q65" i="5"/>
  <c r="O29" i="11" s="1"/>
  <c r="Q61" i="5"/>
  <c r="O25" i="11" s="1"/>
  <c r="Q57" i="5"/>
  <c r="Q55" i="5"/>
  <c r="O19" i="11" s="1"/>
  <c r="R66" i="5"/>
  <c r="R64" i="5"/>
  <c r="P28" i="11" s="1"/>
  <c r="R62" i="5"/>
  <c r="P26" i="11" s="1"/>
  <c r="R60" i="5"/>
  <c r="R65" i="5"/>
  <c r="P29" i="11" s="1"/>
  <c r="R61" i="5"/>
  <c r="P25" i="11" s="1"/>
  <c r="R58" i="5"/>
  <c r="P22" i="11" s="1"/>
  <c r="R59" i="5"/>
  <c r="P23" i="11" s="1"/>
  <c r="R57" i="5"/>
  <c r="R55" i="5"/>
  <c r="P19" i="11" s="1"/>
  <c r="R63" i="5"/>
  <c r="P27" i="11" s="1"/>
  <c r="R56" i="5"/>
  <c r="P20" i="11" s="1"/>
  <c r="M105" i="5"/>
  <c r="K45" i="11" s="1"/>
  <c r="M103" i="5"/>
  <c r="M101" i="5"/>
  <c r="K41" i="11" s="1"/>
  <c r="M99" i="5"/>
  <c r="K39" i="11" s="1"/>
  <c r="M97" i="5"/>
  <c r="M95" i="5"/>
  <c r="K35" i="11" s="1"/>
  <c r="M106" i="5"/>
  <c r="K46" i="11" s="1"/>
  <c r="M98" i="5"/>
  <c r="K38" i="11" s="1"/>
  <c r="M104" i="5"/>
  <c r="K44" i="11" s="1"/>
  <c r="M100" i="5"/>
  <c r="M96" i="5"/>
  <c r="K36" i="11" s="1"/>
  <c r="M102" i="5"/>
  <c r="K42" i="11" s="1"/>
  <c r="N105" i="5"/>
  <c r="L45" i="11" s="1"/>
  <c r="N103" i="5"/>
  <c r="N101" i="5"/>
  <c r="L41" i="11" s="1"/>
  <c r="N99" i="5"/>
  <c r="L39" i="11" s="1"/>
  <c r="N97" i="5"/>
  <c r="N95" i="5"/>
  <c r="L35" i="11" s="1"/>
  <c r="N104" i="5"/>
  <c r="L44" i="11" s="1"/>
  <c r="N100" i="5"/>
  <c r="N96" i="5"/>
  <c r="L36" i="11" s="1"/>
  <c r="N102" i="5"/>
  <c r="L42" i="11" s="1"/>
  <c r="N106" i="5"/>
  <c r="L46" i="11" s="1"/>
  <c r="N98" i="5"/>
  <c r="L38" i="11" s="1"/>
  <c r="O106" i="5"/>
  <c r="M46" i="11" s="1"/>
  <c r="O104" i="5"/>
  <c r="M44" i="11" s="1"/>
  <c r="O102" i="5"/>
  <c r="M42" i="11" s="1"/>
  <c r="O100" i="5"/>
  <c r="O98" i="5"/>
  <c r="M38" i="11" s="1"/>
  <c r="O96" i="5"/>
  <c r="M36" i="11" s="1"/>
  <c r="O103" i="5"/>
  <c r="O95" i="5"/>
  <c r="M35" i="11" s="1"/>
  <c r="O105" i="5"/>
  <c r="M45" i="11" s="1"/>
  <c r="O101" i="5"/>
  <c r="M41" i="11" s="1"/>
  <c r="O97" i="5"/>
  <c r="O99" i="5"/>
  <c r="M39" i="11" s="1"/>
  <c r="P106" i="5"/>
  <c r="P104" i="5"/>
  <c r="N44" i="11" s="1"/>
  <c r="P102" i="5"/>
  <c r="N42" i="11" s="1"/>
  <c r="P100" i="5"/>
  <c r="P98" i="5"/>
  <c r="N38" i="11" s="1"/>
  <c r="P96" i="5"/>
  <c r="N36" i="11" s="1"/>
  <c r="P105" i="5"/>
  <c r="N45" i="11" s="1"/>
  <c r="P101" i="5"/>
  <c r="N41" i="11" s="1"/>
  <c r="P97" i="5"/>
  <c r="P99" i="5"/>
  <c r="N39" i="11" s="1"/>
  <c r="P103" i="5"/>
  <c r="N43" i="11" s="1"/>
  <c r="P95" i="5"/>
  <c r="N35" i="11" s="1"/>
  <c r="Q105" i="5"/>
  <c r="O45" i="11" s="1"/>
  <c r="Q103" i="5"/>
  <c r="Q101" i="5"/>
  <c r="O41" i="11" s="1"/>
  <c r="Q99" i="5"/>
  <c r="O39" i="11" s="1"/>
  <c r="Q97" i="5"/>
  <c r="Q95" i="5"/>
  <c r="O35" i="11" s="1"/>
  <c r="Q100" i="5"/>
  <c r="Q106" i="5"/>
  <c r="O46" i="11" s="1"/>
  <c r="Q102" i="5"/>
  <c r="O42" i="11" s="1"/>
  <c r="Q98" i="5"/>
  <c r="O38" i="11" s="1"/>
  <c r="Q104" i="5"/>
  <c r="O44" i="11" s="1"/>
  <c r="Q96" i="5"/>
  <c r="O36" i="11" s="1"/>
  <c r="R105" i="5"/>
  <c r="P45" i="11" s="1"/>
  <c r="R103" i="5"/>
  <c r="R101" i="5"/>
  <c r="P41" i="11" s="1"/>
  <c r="R99" i="5"/>
  <c r="P39" i="11" s="1"/>
  <c r="R97" i="5"/>
  <c r="R95" i="5"/>
  <c r="P35" i="11" s="1"/>
  <c r="R106" i="5"/>
  <c r="P46" i="11" s="1"/>
  <c r="R102" i="5"/>
  <c r="P42" i="11" s="1"/>
  <c r="R98" i="5"/>
  <c r="P38" i="11" s="1"/>
  <c r="R104" i="5"/>
  <c r="P44" i="11" s="1"/>
  <c r="R96" i="5"/>
  <c r="P36" i="11" s="1"/>
  <c r="R100" i="5"/>
  <c r="M146" i="5"/>
  <c r="M144" i="5"/>
  <c r="K60" i="11" s="1"/>
  <c r="M142" i="5"/>
  <c r="K58" i="11" s="1"/>
  <c r="M140" i="5"/>
  <c r="M138" i="5"/>
  <c r="K54" i="11" s="1"/>
  <c r="M136" i="5"/>
  <c r="K52" i="11" s="1"/>
  <c r="M135" i="5"/>
  <c r="K51" i="11" s="1"/>
  <c r="M145" i="5"/>
  <c r="K61" i="11" s="1"/>
  <c r="M141" i="5"/>
  <c r="K57" i="11" s="1"/>
  <c r="M137" i="5"/>
  <c r="M143" i="5"/>
  <c r="K59" i="11" s="1"/>
  <c r="M139" i="5"/>
  <c r="K55" i="11" s="1"/>
  <c r="N146" i="5"/>
  <c r="N144" i="5"/>
  <c r="L60" i="11" s="1"/>
  <c r="N142" i="5"/>
  <c r="L58" i="11" s="1"/>
  <c r="N140" i="5"/>
  <c r="N138" i="5"/>
  <c r="L54" i="11" s="1"/>
  <c r="N136" i="5"/>
  <c r="L52" i="11" s="1"/>
  <c r="N145" i="5"/>
  <c r="L61" i="11" s="1"/>
  <c r="N141" i="5"/>
  <c r="L57" i="11" s="1"/>
  <c r="N137" i="5"/>
  <c r="N139" i="5"/>
  <c r="L55" i="11" s="1"/>
  <c r="N135" i="5"/>
  <c r="L51" i="11" s="1"/>
  <c r="N143" i="5"/>
  <c r="L59" i="11" s="1"/>
  <c r="O145" i="5"/>
  <c r="M61" i="11" s="1"/>
  <c r="O143" i="5"/>
  <c r="O141" i="5"/>
  <c r="M57" i="11" s="1"/>
  <c r="O139" i="5"/>
  <c r="M55" i="11" s="1"/>
  <c r="O137" i="5"/>
  <c r="O135" i="5"/>
  <c r="M51" i="11" s="1"/>
  <c r="O144" i="5"/>
  <c r="M60" i="11" s="1"/>
  <c r="O140" i="5"/>
  <c r="O146" i="5"/>
  <c r="O142" i="5"/>
  <c r="M58" i="11" s="1"/>
  <c r="O138" i="5"/>
  <c r="M54" i="11" s="1"/>
  <c r="O136" i="5"/>
  <c r="M52" i="11" s="1"/>
  <c r="P145" i="5"/>
  <c r="N61" i="11" s="1"/>
  <c r="P143" i="5"/>
  <c r="P141" i="5"/>
  <c r="N57" i="11" s="1"/>
  <c r="P139" i="5"/>
  <c r="N55" i="11" s="1"/>
  <c r="P137" i="5"/>
  <c r="P135" i="5"/>
  <c r="N51" i="11" s="1"/>
  <c r="P146" i="5"/>
  <c r="P142" i="5"/>
  <c r="N58" i="11" s="1"/>
  <c r="P138" i="5"/>
  <c r="N54" i="11" s="1"/>
  <c r="P144" i="5"/>
  <c r="N60" i="11" s="1"/>
  <c r="P140" i="5"/>
  <c r="P136" i="5"/>
  <c r="N52" i="11" s="1"/>
  <c r="Q146" i="5"/>
  <c r="Q144" i="5"/>
  <c r="O60" i="11" s="1"/>
  <c r="Q142" i="5"/>
  <c r="O58" i="11" s="1"/>
  <c r="Q140" i="5"/>
  <c r="Q138" i="5"/>
  <c r="O54" i="11" s="1"/>
  <c r="Q136" i="5"/>
  <c r="O52" i="11" s="1"/>
  <c r="Q141" i="5"/>
  <c r="O57" i="11" s="1"/>
  <c r="Q137" i="5"/>
  <c r="Q143" i="5"/>
  <c r="O59" i="11" s="1"/>
  <c r="Q139" i="5"/>
  <c r="O55" i="11" s="1"/>
  <c r="Q135" i="5"/>
  <c r="O51" i="11" s="1"/>
  <c r="Q145" i="5"/>
  <c r="O61" i="11" s="1"/>
  <c r="R146" i="5"/>
  <c r="R144" i="5"/>
  <c r="P60" i="11" s="1"/>
  <c r="R142" i="5"/>
  <c r="P58" i="11" s="1"/>
  <c r="R140" i="5"/>
  <c r="R138" i="5"/>
  <c r="P54" i="11" s="1"/>
  <c r="R136" i="5"/>
  <c r="P52" i="11" s="1"/>
  <c r="R143" i="5"/>
  <c r="P59" i="11" s="1"/>
  <c r="R139" i="5"/>
  <c r="P55" i="11" s="1"/>
  <c r="R135" i="5"/>
  <c r="P51" i="11" s="1"/>
  <c r="R141" i="5"/>
  <c r="P57" i="11" s="1"/>
  <c r="R137" i="5"/>
  <c r="R145" i="5"/>
  <c r="P61" i="11" s="1"/>
  <c r="O25" i="5"/>
  <c r="M13" i="11" s="1"/>
  <c r="O23" i="5"/>
  <c r="O21" i="5"/>
  <c r="M9" i="11" s="1"/>
  <c r="O19" i="5"/>
  <c r="M7" i="11" s="1"/>
  <c r="O17" i="5"/>
  <c r="O15" i="5"/>
  <c r="M3" i="11" s="1"/>
  <c r="O26" i="5"/>
  <c r="M14" i="11" s="1"/>
  <c r="O20" i="5"/>
  <c r="O18" i="5"/>
  <c r="M6" i="11" s="1"/>
  <c r="O24" i="5"/>
  <c r="M12" i="11" s="1"/>
  <c r="O22" i="5"/>
  <c r="M10" i="11" s="1"/>
  <c r="O16" i="5"/>
  <c r="M26" i="5"/>
  <c r="K14" i="11" s="1"/>
  <c r="M24" i="5"/>
  <c r="K12" i="11" s="1"/>
  <c r="M22" i="5"/>
  <c r="K10" i="11" s="1"/>
  <c r="M20" i="5"/>
  <c r="M18" i="5"/>
  <c r="K6" i="11" s="1"/>
  <c r="M16" i="5"/>
  <c r="K4" i="11" s="1"/>
  <c r="M25" i="5"/>
  <c r="K13" i="11" s="1"/>
  <c r="M23" i="5"/>
  <c r="M19" i="5"/>
  <c r="K7" i="11" s="1"/>
  <c r="M17" i="5"/>
  <c r="M21" i="5"/>
  <c r="K9" i="11" s="1"/>
  <c r="M15" i="5"/>
  <c r="K3" i="11" s="1"/>
  <c r="R25" i="5"/>
  <c r="P13" i="11" s="1"/>
  <c r="R23" i="5"/>
  <c r="P11" i="11" s="1"/>
  <c r="R17" i="5"/>
  <c r="R15" i="5"/>
  <c r="P3" i="11" s="1"/>
  <c r="R24" i="5"/>
  <c r="P12" i="11" s="1"/>
  <c r="R20" i="5"/>
  <c r="R21" i="5"/>
  <c r="P9" i="11" s="1"/>
  <c r="R19" i="5"/>
  <c r="P7" i="11" s="1"/>
  <c r="R26" i="5"/>
  <c r="P14" i="11" s="1"/>
  <c r="R22" i="5"/>
  <c r="P10" i="11" s="1"/>
  <c r="R16" i="5"/>
  <c r="P4" i="11" s="1"/>
  <c r="R18" i="5"/>
  <c r="P6" i="11" s="1"/>
  <c r="N25" i="5"/>
  <c r="L13" i="11" s="1"/>
  <c r="N21" i="5"/>
  <c r="L9" i="11" s="1"/>
  <c r="N19" i="5"/>
  <c r="L7" i="11" s="1"/>
  <c r="N26" i="5"/>
  <c r="N22" i="5"/>
  <c r="L10" i="11" s="1"/>
  <c r="N23" i="5"/>
  <c r="L11" i="11" s="1"/>
  <c r="N17" i="5"/>
  <c r="N15" i="5"/>
  <c r="L3" i="11" s="1"/>
  <c r="N24" i="5"/>
  <c r="L12" i="11" s="1"/>
  <c r="N20" i="5"/>
  <c r="N16" i="5"/>
  <c r="L4" i="11" s="1"/>
  <c r="N18" i="5"/>
  <c r="L6" i="11" s="1"/>
  <c r="Q26" i="5"/>
  <c r="O14" i="11" s="1"/>
  <c r="Q24" i="5"/>
  <c r="O12" i="11" s="1"/>
  <c r="Q22" i="5"/>
  <c r="O10" i="11" s="1"/>
  <c r="Q20" i="5"/>
  <c r="Q18" i="5"/>
  <c r="O6" i="11" s="1"/>
  <c r="Q16" i="5"/>
  <c r="O4" i="11" s="1"/>
  <c r="Q23" i="5"/>
  <c r="Q21" i="5"/>
  <c r="O9" i="11" s="1"/>
  <c r="Q15" i="5"/>
  <c r="O3" i="11" s="1"/>
  <c r="Q25" i="5"/>
  <c r="O13" i="11" s="1"/>
  <c r="Q19" i="5"/>
  <c r="O7" i="11" s="1"/>
  <c r="Q17" i="5"/>
  <c r="I20" i="5"/>
  <c r="I22" i="5"/>
  <c r="I24" i="5"/>
  <c r="I26" i="5"/>
  <c r="I16" i="5"/>
  <c r="I18" i="5"/>
  <c r="I15" i="5"/>
  <c r="I17" i="5"/>
  <c r="I19" i="5"/>
  <c r="I21" i="5"/>
  <c r="I23" i="5"/>
  <c r="I25" i="5"/>
  <c r="D65" i="4"/>
  <c r="D58" i="4"/>
  <c r="D62" i="4"/>
  <c r="H15" i="4"/>
  <c r="H23" i="4"/>
  <c r="H19" i="4"/>
  <c r="H20" i="4"/>
  <c r="H24" i="4"/>
  <c r="H21" i="4"/>
  <c r="H25" i="4"/>
  <c r="H18" i="4"/>
  <c r="H22" i="4"/>
  <c r="H26" i="4"/>
  <c r="D55" i="4"/>
  <c r="D57" i="4"/>
  <c r="D59" i="4"/>
  <c r="D61" i="4"/>
  <c r="D63" i="4"/>
  <c r="H16" i="4"/>
  <c r="D56" i="4"/>
  <c r="D60" i="4"/>
  <c r="D64" i="4"/>
  <c r="D66" i="4"/>
  <c r="H17" i="4"/>
  <c r="F103" i="6"/>
  <c r="F101" i="6"/>
  <c r="G42" i="14" l="1"/>
  <c r="M5" i="11"/>
  <c r="L9" i="14"/>
  <c r="L10" i="14" s="1"/>
  <c r="N53" i="11"/>
  <c r="M57" i="14"/>
  <c r="M58" i="14" s="1"/>
  <c r="M53" i="11"/>
  <c r="L57" i="14"/>
  <c r="L58" i="14" s="1"/>
  <c r="L53" i="11"/>
  <c r="K57" i="14"/>
  <c r="K58" i="14" s="1"/>
  <c r="K59" i="14" s="1"/>
  <c r="P37" i="11"/>
  <c r="O41" i="14"/>
  <c r="O42" i="14" s="1"/>
  <c r="O43" i="14" s="1"/>
  <c r="O44" i="14" s="1"/>
  <c r="O37" i="11"/>
  <c r="N41" i="14"/>
  <c r="N42" i="14" s="1"/>
  <c r="N37" i="11"/>
  <c r="M41" i="14"/>
  <c r="M42" i="14" s="1"/>
  <c r="M43" i="14" s="1"/>
  <c r="N46" i="11"/>
  <c r="S46" i="11" s="1"/>
  <c r="L37" i="11"/>
  <c r="K41" i="14"/>
  <c r="K42" i="14" s="1"/>
  <c r="K37" i="11"/>
  <c r="J41" i="14"/>
  <c r="P21" i="11"/>
  <c r="O25" i="14"/>
  <c r="O26" i="14" s="1"/>
  <c r="O27" i="14" s="1"/>
  <c r="P30" i="11"/>
  <c r="S30" i="11" s="1"/>
  <c r="M21" i="11"/>
  <c r="L25" i="14"/>
  <c r="L26" i="14" s="1"/>
  <c r="L21" i="11"/>
  <c r="K25" i="14"/>
  <c r="K26" i="14" s="1"/>
  <c r="K27" i="14" s="1"/>
  <c r="K28" i="14" s="1"/>
  <c r="K27" i="11"/>
  <c r="O5" i="11"/>
  <c r="N9" i="14"/>
  <c r="N10" i="14" s="1"/>
  <c r="N11" i="14" s="1"/>
  <c r="N12" i="14" s="1"/>
  <c r="L14" i="11"/>
  <c r="S14" i="11" s="1"/>
  <c r="O53" i="11"/>
  <c r="N57" i="14"/>
  <c r="N58" i="14" s="1"/>
  <c r="N59" i="14" s="1"/>
  <c r="O27" i="11"/>
  <c r="L27" i="11"/>
  <c r="N5" i="11"/>
  <c r="M9" i="14"/>
  <c r="M10" i="14" s="1"/>
  <c r="N11" i="11"/>
  <c r="O11" i="11"/>
  <c r="L5" i="11"/>
  <c r="K9" i="14"/>
  <c r="K10" i="14" s="1"/>
  <c r="K11" i="14" s="1"/>
  <c r="P5" i="11"/>
  <c r="O9" i="14"/>
  <c r="O10" i="14" s="1"/>
  <c r="O11" i="14" s="1"/>
  <c r="O12" i="14" s="1"/>
  <c r="P53" i="11"/>
  <c r="O57" i="14"/>
  <c r="O58" i="14" s="1"/>
  <c r="O59" i="14" s="1"/>
  <c r="M37" i="11"/>
  <c r="L41" i="14"/>
  <c r="M43" i="11"/>
  <c r="O21" i="11"/>
  <c r="N25" i="14"/>
  <c r="K21" i="11"/>
  <c r="J25" i="14"/>
  <c r="K5" i="11"/>
  <c r="J9" i="14"/>
  <c r="J10" i="14" s="1"/>
  <c r="M11" i="11"/>
  <c r="N59" i="11"/>
  <c r="M59" i="11"/>
  <c r="K53" i="11"/>
  <c r="J57" i="14"/>
  <c r="P43" i="11"/>
  <c r="O43" i="11"/>
  <c r="L43" i="11"/>
  <c r="K43" i="11"/>
  <c r="N21" i="11"/>
  <c r="M25" i="14"/>
  <c r="M26" i="14" s="1"/>
  <c r="N27" i="11"/>
  <c r="M27" i="11"/>
  <c r="I26" i="14"/>
  <c r="I27" i="14" s="1"/>
  <c r="Q27" i="14" s="1"/>
  <c r="I53" i="11"/>
  <c r="H57" i="14"/>
  <c r="H58" i="14" s="1"/>
  <c r="I59" i="11"/>
  <c r="I37" i="11"/>
  <c r="H41" i="14"/>
  <c r="H42" i="14" s="1"/>
  <c r="H43" i="14" s="1"/>
  <c r="H44" i="14" s="1"/>
  <c r="J11" i="11"/>
  <c r="F14" i="11"/>
  <c r="H43" i="11"/>
  <c r="G43" i="14"/>
  <c r="G44" i="14" s="1"/>
  <c r="H11" i="11"/>
  <c r="J46" i="11"/>
  <c r="I5" i="11"/>
  <c r="H9" i="14"/>
  <c r="H10" i="14" s="1"/>
  <c r="G5" i="11"/>
  <c r="F9" i="14"/>
  <c r="F10" i="14" s="1"/>
  <c r="F11" i="14" s="1"/>
  <c r="G53" i="11"/>
  <c r="F57" i="14"/>
  <c r="F58" i="14" s="1"/>
  <c r="F59" i="14" s="1"/>
  <c r="G43" i="11"/>
  <c r="G37" i="11"/>
  <c r="F41" i="14"/>
  <c r="F42" i="14" s="1"/>
  <c r="F46" i="11"/>
  <c r="I11" i="11"/>
  <c r="J59" i="11"/>
  <c r="J53" i="11"/>
  <c r="I57" i="14"/>
  <c r="I58" i="14" s="1"/>
  <c r="G58" i="14"/>
  <c r="G59" i="14" s="1"/>
  <c r="F53" i="11"/>
  <c r="E57" i="14"/>
  <c r="J37" i="11"/>
  <c r="I41" i="14"/>
  <c r="F37" i="11"/>
  <c r="E41" i="14"/>
  <c r="J5" i="11"/>
  <c r="I9" i="14"/>
  <c r="G10" i="14"/>
  <c r="G11" i="14" s="1"/>
  <c r="G12" i="14" s="1"/>
  <c r="F5" i="11"/>
  <c r="E9" i="14"/>
  <c r="P62" i="11"/>
  <c r="O62" i="11"/>
  <c r="O15" i="11" s="1"/>
  <c r="M62" i="11"/>
  <c r="M47" i="11" s="1"/>
  <c r="L62" i="11"/>
  <c r="L47" i="11" s="1"/>
  <c r="K62" i="11"/>
  <c r="K47" i="11" s="1"/>
  <c r="N62" i="11"/>
  <c r="J62" i="11"/>
  <c r="J15" i="11" s="1"/>
  <c r="G62" i="11"/>
  <c r="I62" i="11"/>
  <c r="I47" i="11" s="1"/>
  <c r="H62" i="11"/>
  <c r="H15" i="11" s="1"/>
  <c r="F65" i="6"/>
  <c r="F26" i="6"/>
  <c r="F102" i="6"/>
  <c r="F104" i="6"/>
  <c r="F60" i="6"/>
  <c r="F100" i="6"/>
  <c r="F56" i="6"/>
  <c r="F64" i="6"/>
  <c r="S7" i="11"/>
  <c r="F23" i="6"/>
  <c r="F63" i="6"/>
  <c r="F106" i="6"/>
  <c r="F99" i="6"/>
  <c r="F66" i="6"/>
  <c r="F59" i="6"/>
  <c r="F20" i="6"/>
  <c r="F62" i="6"/>
  <c r="F105" i="6"/>
  <c r="J26" i="6"/>
  <c r="F61" i="6"/>
  <c r="S57" i="11"/>
  <c r="S44" i="11"/>
  <c r="S6" i="11"/>
  <c r="S45" i="11"/>
  <c r="S3" i="11"/>
  <c r="J7" i="12"/>
  <c r="J8" i="12" s="1"/>
  <c r="K8" i="11"/>
  <c r="M8" i="11"/>
  <c r="M4" i="10" s="1"/>
  <c r="L7" i="12"/>
  <c r="L8" i="12" s="1"/>
  <c r="P56" i="11"/>
  <c r="O31" i="12"/>
  <c r="O32" i="12" s="1"/>
  <c r="M56" i="11"/>
  <c r="L31" i="12"/>
  <c r="L32" i="12" s="1"/>
  <c r="K31" i="12"/>
  <c r="K32" i="12" s="1"/>
  <c r="L56" i="11"/>
  <c r="S61" i="11"/>
  <c r="P40" i="11"/>
  <c r="P8" i="10" s="1"/>
  <c r="O23" i="12"/>
  <c r="O24" i="12" s="1"/>
  <c r="M23" i="12"/>
  <c r="M24" i="12" s="1"/>
  <c r="N40" i="11"/>
  <c r="S38" i="11"/>
  <c r="P24" i="11"/>
  <c r="O15" i="12"/>
  <c r="O16" i="12" s="1"/>
  <c r="S19" i="11"/>
  <c r="S9" i="11"/>
  <c r="S10" i="11"/>
  <c r="M31" i="12"/>
  <c r="M32" i="12" s="1"/>
  <c r="N56" i="11"/>
  <c r="S51" i="11"/>
  <c r="N23" i="12"/>
  <c r="N24" i="12" s="1"/>
  <c r="O40" i="11"/>
  <c r="O8" i="10" s="1"/>
  <c r="L15" i="12"/>
  <c r="L16" i="12" s="1"/>
  <c r="M24" i="11"/>
  <c r="M6" i="10" s="1"/>
  <c r="K106" i="6"/>
  <c r="K7" i="12"/>
  <c r="K8" i="12" s="1"/>
  <c r="L8" i="11"/>
  <c r="P8" i="11"/>
  <c r="P4" i="10" s="1"/>
  <c r="O7" i="12"/>
  <c r="O8" i="12" s="1"/>
  <c r="S12" i="11"/>
  <c r="S52" i="11"/>
  <c r="S35" i="11"/>
  <c r="S20" i="11"/>
  <c r="N8" i="11"/>
  <c r="N4" i="10" s="1"/>
  <c r="M7" i="12"/>
  <c r="M8" i="12" s="1"/>
  <c r="S54" i="11"/>
  <c r="S22" i="11"/>
  <c r="O8" i="11"/>
  <c r="O4" i="10" s="1"/>
  <c r="N7" i="12"/>
  <c r="N8" i="12" s="1"/>
  <c r="S23" i="5"/>
  <c r="K11" i="11"/>
  <c r="S16" i="5"/>
  <c r="M4" i="11"/>
  <c r="S4" i="11" s="1"/>
  <c r="N31" i="12"/>
  <c r="N32" i="12" s="1"/>
  <c r="O56" i="11"/>
  <c r="S55" i="11"/>
  <c r="K56" i="11"/>
  <c r="J31" i="12"/>
  <c r="J32" i="12" s="1"/>
  <c r="M40" i="11"/>
  <c r="M8" i="10" s="1"/>
  <c r="L23" i="12"/>
  <c r="L24" i="12" s="1"/>
  <c r="K23" i="12"/>
  <c r="K24" i="12" s="1"/>
  <c r="L40" i="11"/>
  <c r="L8" i="10" s="1"/>
  <c r="S42" i="11"/>
  <c r="S39" i="11"/>
  <c r="O24" i="11"/>
  <c r="O6" i="10" s="1"/>
  <c r="N15" i="12"/>
  <c r="N16" i="12" s="1"/>
  <c r="S61" i="5"/>
  <c r="K25" i="11"/>
  <c r="S25" i="11" s="1"/>
  <c r="J15" i="12"/>
  <c r="J16" i="12" s="1"/>
  <c r="K24" i="11"/>
  <c r="S13" i="11"/>
  <c r="S58" i="11"/>
  <c r="S36" i="11"/>
  <c r="S41" i="11"/>
  <c r="M15" i="12"/>
  <c r="M16" i="12" s="1"/>
  <c r="N24" i="11"/>
  <c r="N6" i="10" s="1"/>
  <c r="S29" i="11"/>
  <c r="S26" i="11"/>
  <c r="J105" i="6"/>
  <c r="C61" i="11" s="1"/>
  <c r="L103" i="6"/>
  <c r="S60" i="11"/>
  <c r="K40" i="11"/>
  <c r="J23" i="12"/>
  <c r="J24" i="12" s="1"/>
  <c r="K15" i="12"/>
  <c r="K16" i="12" s="1"/>
  <c r="L24" i="11"/>
  <c r="L6" i="10" s="1"/>
  <c r="S23" i="11"/>
  <c r="S28" i="11"/>
  <c r="J56" i="11"/>
  <c r="I31" i="12"/>
  <c r="I32" i="12" s="1"/>
  <c r="Q144" i="4"/>
  <c r="I60" i="11"/>
  <c r="R60" i="11" s="1"/>
  <c r="Q138" i="4"/>
  <c r="G54" i="11"/>
  <c r="R54" i="11" s="1"/>
  <c r="F51" i="11"/>
  <c r="R51" i="11" s="1"/>
  <c r="Q135" i="4"/>
  <c r="F56" i="11"/>
  <c r="E31" i="12"/>
  <c r="E32" i="12" s="1"/>
  <c r="I23" i="12"/>
  <c r="I24" i="12" s="1"/>
  <c r="J40" i="11"/>
  <c r="Q96" i="4"/>
  <c r="I36" i="11"/>
  <c r="R36" i="11" s="1"/>
  <c r="Q97" i="4"/>
  <c r="H37" i="11"/>
  <c r="Q106" i="4"/>
  <c r="G46" i="11"/>
  <c r="F43" i="11"/>
  <c r="Q103" i="4"/>
  <c r="E23" i="12"/>
  <c r="E24" i="12" s="1"/>
  <c r="F40" i="11"/>
  <c r="J19" i="11"/>
  <c r="R19" i="11" s="1"/>
  <c r="M55" i="4"/>
  <c r="J26" i="11"/>
  <c r="M62" i="4"/>
  <c r="J21" i="11"/>
  <c r="R21" i="11" s="1"/>
  <c r="M57" i="4"/>
  <c r="Q20" i="4"/>
  <c r="H7" i="12"/>
  <c r="H8" i="12" s="1"/>
  <c r="I8" i="11"/>
  <c r="I4" i="10" s="1"/>
  <c r="J8" i="11"/>
  <c r="J4" i="10" s="1"/>
  <c r="I7" i="12"/>
  <c r="I8" i="12" s="1"/>
  <c r="Q17" i="4"/>
  <c r="H5" i="11"/>
  <c r="F11" i="11"/>
  <c r="Q23" i="4"/>
  <c r="F8" i="11"/>
  <c r="E7" i="12"/>
  <c r="E8" i="12" s="1"/>
  <c r="Q26" i="4"/>
  <c r="G14" i="11"/>
  <c r="Q136" i="4"/>
  <c r="I52" i="11"/>
  <c r="R52" i="11" s="1"/>
  <c r="Q145" i="4"/>
  <c r="H61" i="11"/>
  <c r="R61" i="11" s="1"/>
  <c r="Q142" i="4"/>
  <c r="G58" i="11"/>
  <c r="R58" i="11" s="1"/>
  <c r="Q139" i="4"/>
  <c r="F55" i="11"/>
  <c r="R55" i="11" s="1"/>
  <c r="Q100" i="4"/>
  <c r="H23" i="12"/>
  <c r="H24" i="12" s="1"/>
  <c r="I40" i="11"/>
  <c r="I8" i="10" s="1"/>
  <c r="Q101" i="4"/>
  <c r="H41" i="11"/>
  <c r="R41" i="11" s="1"/>
  <c r="Q98" i="4"/>
  <c r="G38" i="11"/>
  <c r="R38" i="11" s="1"/>
  <c r="F35" i="11"/>
  <c r="R35" i="11" s="1"/>
  <c r="Q95" i="4"/>
  <c r="J27" i="11"/>
  <c r="M63" i="4"/>
  <c r="J22" i="11"/>
  <c r="R22" i="11" s="1"/>
  <c r="M58" i="4"/>
  <c r="J28" i="11"/>
  <c r="M64" i="4"/>
  <c r="Q24" i="4"/>
  <c r="I12" i="11"/>
  <c r="R12" i="11" s="1"/>
  <c r="Q21" i="4"/>
  <c r="H9" i="11"/>
  <c r="R9" i="11" s="1"/>
  <c r="Q18" i="4"/>
  <c r="G6" i="11"/>
  <c r="R6" i="11" s="1"/>
  <c r="Q140" i="4"/>
  <c r="H31" i="12"/>
  <c r="H32" i="12" s="1"/>
  <c r="I56" i="11"/>
  <c r="Q137" i="4"/>
  <c r="H53" i="11"/>
  <c r="G31" i="12"/>
  <c r="G32" i="12" s="1"/>
  <c r="H56" i="11"/>
  <c r="Q143" i="4"/>
  <c r="F59" i="11"/>
  <c r="Q104" i="4"/>
  <c r="I44" i="11"/>
  <c r="R44" i="11" s="1"/>
  <c r="Q105" i="4"/>
  <c r="H45" i="11"/>
  <c r="R45" i="11" s="1"/>
  <c r="G23" i="12"/>
  <c r="G24" i="12" s="1"/>
  <c r="H40" i="11"/>
  <c r="H8" i="10" s="1"/>
  <c r="Q102" i="4"/>
  <c r="G42" i="11"/>
  <c r="R42" i="11" s="1"/>
  <c r="F39" i="11"/>
  <c r="R39" i="11" s="1"/>
  <c r="Q99" i="4"/>
  <c r="J23" i="11"/>
  <c r="R23" i="11" s="1"/>
  <c r="M59" i="4"/>
  <c r="J29" i="11"/>
  <c r="M65" i="4"/>
  <c r="J24" i="11"/>
  <c r="R24" i="11" s="1"/>
  <c r="I15" i="12"/>
  <c r="M60" i="4"/>
  <c r="Q16" i="4"/>
  <c r="I4" i="11"/>
  <c r="R4" i="11" s="1"/>
  <c r="Q25" i="4"/>
  <c r="H13" i="11"/>
  <c r="R13" i="11" s="1"/>
  <c r="H8" i="11"/>
  <c r="H4" i="10" s="1"/>
  <c r="G7" i="12"/>
  <c r="G8" i="12" s="1"/>
  <c r="F3" i="11"/>
  <c r="R3" i="11" s="1"/>
  <c r="Q15" i="4"/>
  <c r="Q22" i="4"/>
  <c r="G10" i="11"/>
  <c r="R10" i="11" s="1"/>
  <c r="F7" i="12"/>
  <c r="F8" i="12" s="1"/>
  <c r="G8" i="11"/>
  <c r="F31" i="12"/>
  <c r="F32" i="12" s="1"/>
  <c r="G56" i="11"/>
  <c r="F57" i="11"/>
  <c r="R57" i="11" s="1"/>
  <c r="Q141" i="4"/>
  <c r="F62" i="11"/>
  <c r="Q146" i="4"/>
  <c r="F23" i="12"/>
  <c r="F24" i="12" s="1"/>
  <c r="G40" i="11"/>
  <c r="J30" i="11"/>
  <c r="M66" i="4"/>
  <c r="J25" i="11"/>
  <c r="M61" i="4"/>
  <c r="J20" i="11"/>
  <c r="R20" i="11" s="1"/>
  <c r="M56" i="4"/>
  <c r="F7" i="11"/>
  <c r="R7" i="11" s="1"/>
  <c r="Q19" i="4"/>
  <c r="S64" i="5"/>
  <c r="S145" i="5"/>
  <c r="S99" i="5"/>
  <c r="S21" i="5"/>
  <c r="S25" i="5"/>
  <c r="S22" i="5"/>
  <c r="S26" i="5"/>
  <c r="S138" i="5"/>
  <c r="S144" i="5"/>
  <c r="S135" i="5"/>
  <c r="S143" i="5"/>
  <c r="S142" i="5"/>
  <c r="S101" i="5"/>
  <c r="S62" i="5"/>
  <c r="S60" i="5"/>
  <c r="S65" i="5"/>
  <c r="S57" i="5"/>
  <c r="S20" i="5"/>
  <c r="S140" i="5"/>
  <c r="S102" i="5"/>
  <c r="S58" i="5"/>
  <c r="S17" i="5"/>
  <c r="S24" i="5"/>
  <c r="S137" i="5"/>
  <c r="S136" i="5"/>
  <c r="S96" i="5"/>
  <c r="S104" i="5"/>
  <c r="S95" i="5"/>
  <c r="S103" i="5"/>
  <c r="S66" i="5"/>
  <c r="S59" i="5"/>
  <c r="S15" i="5"/>
  <c r="S139" i="5"/>
  <c r="S100" i="5"/>
  <c r="S55" i="5"/>
  <c r="S19" i="5"/>
  <c r="S18" i="5"/>
  <c r="S146" i="5"/>
  <c r="S141" i="5"/>
  <c r="S98" i="5"/>
  <c r="S106" i="5"/>
  <c r="S97" i="5"/>
  <c r="S105" i="5"/>
  <c r="S56" i="5"/>
  <c r="S63" i="5"/>
  <c r="I64" i="5"/>
  <c r="I60" i="5"/>
  <c r="I61" i="5"/>
  <c r="I62" i="5"/>
  <c r="I63" i="5"/>
  <c r="I55" i="5"/>
  <c r="I56" i="5"/>
  <c r="I65" i="5"/>
  <c r="I57" i="5"/>
  <c r="I66" i="5"/>
  <c r="I58" i="5"/>
  <c r="I59" i="5"/>
  <c r="L24" i="6"/>
  <c r="E12" i="11" s="1"/>
  <c r="J96" i="6"/>
  <c r="C52" i="11" s="1"/>
  <c r="K97" i="6"/>
  <c r="L98" i="6"/>
  <c r="E54" i="11" s="1"/>
  <c r="J100" i="6"/>
  <c r="K101" i="6"/>
  <c r="D57" i="11" s="1"/>
  <c r="L102" i="6"/>
  <c r="E58" i="11" s="1"/>
  <c r="J104" i="6"/>
  <c r="C60" i="11" s="1"/>
  <c r="K105" i="6"/>
  <c r="L106" i="6"/>
  <c r="J95" i="6"/>
  <c r="K96" i="6"/>
  <c r="D52" i="11" s="1"/>
  <c r="L97" i="6"/>
  <c r="J99" i="6"/>
  <c r="C55" i="11" s="1"/>
  <c r="K100" i="6"/>
  <c r="L101" i="6"/>
  <c r="E57" i="11" s="1"/>
  <c r="J103" i="6"/>
  <c r="C59" i="11" s="1"/>
  <c r="K104" i="6"/>
  <c r="D60" i="11" s="1"/>
  <c r="L105" i="6"/>
  <c r="E61" i="11" s="1"/>
  <c r="K95" i="6"/>
  <c r="D51" i="11" s="1"/>
  <c r="L96" i="6"/>
  <c r="E52" i="11" s="1"/>
  <c r="J98" i="6"/>
  <c r="C54" i="11" s="1"/>
  <c r="K99" i="6"/>
  <c r="D55" i="11" s="1"/>
  <c r="L100" i="6"/>
  <c r="J102" i="6"/>
  <c r="C58" i="11" s="1"/>
  <c r="K103" i="6"/>
  <c r="D59" i="11" s="1"/>
  <c r="L104" i="6"/>
  <c r="E60" i="11" s="1"/>
  <c r="J106" i="6"/>
  <c r="L95" i="6"/>
  <c r="E51" i="11" s="1"/>
  <c r="J97" i="6"/>
  <c r="K98" i="6"/>
  <c r="D54" i="11" s="1"/>
  <c r="L99" i="6"/>
  <c r="E55" i="11" s="1"/>
  <c r="J101" i="6"/>
  <c r="K102" i="6"/>
  <c r="D58" i="11" s="1"/>
  <c r="J64" i="6"/>
  <c r="C44" i="11" s="1"/>
  <c r="K65" i="6"/>
  <c r="D45" i="11" s="1"/>
  <c r="L66" i="6"/>
  <c r="E46" i="11" s="1"/>
  <c r="J55" i="6"/>
  <c r="C35" i="11" s="1"/>
  <c r="K56" i="6"/>
  <c r="D36" i="11" s="1"/>
  <c r="L57" i="6"/>
  <c r="J59" i="6"/>
  <c r="C39" i="11" s="1"/>
  <c r="K60" i="6"/>
  <c r="L61" i="6"/>
  <c r="E41" i="11" s="1"/>
  <c r="J63" i="6"/>
  <c r="K64" i="6"/>
  <c r="D44" i="11" s="1"/>
  <c r="L65" i="6"/>
  <c r="E45" i="11" s="1"/>
  <c r="F95" i="6"/>
  <c r="K23" i="6"/>
  <c r="D11" i="11" s="1"/>
  <c r="K55" i="6"/>
  <c r="D35" i="11" s="1"/>
  <c r="L56" i="6"/>
  <c r="E36" i="11" s="1"/>
  <c r="J58" i="6"/>
  <c r="C38" i="11" s="1"/>
  <c r="K59" i="6"/>
  <c r="D39" i="11" s="1"/>
  <c r="L60" i="6"/>
  <c r="J62" i="6"/>
  <c r="C42" i="11" s="1"/>
  <c r="K63" i="6"/>
  <c r="L64" i="6"/>
  <c r="E44" i="11" s="1"/>
  <c r="J66" i="6"/>
  <c r="C46" i="11" s="1"/>
  <c r="L55" i="6"/>
  <c r="E35" i="11" s="1"/>
  <c r="J57" i="6"/>
  <c r="K58" i="6"/>
  <c r="D38" i="11" s="1"/>
  <c r="L59" i="6"/>
  <c r="E39" i="11" s="1"/>
  <c r="J61" i="6"/>
  <c r="C41" i="11" s="1"/>
  <c r="K62" i="6"/>
  <c r="D42" i="11" s="1"/>
  <c r="L63" i="6"/>
  <c r="E43" i="11" s="1"/>
  <c r="J65" i="6"/>
  <c r="C45" i="11" s="1"/>
  <c r="K66" i="6"/>
  <c r="D46" i="11" s="1"/>
  <c r="J56" i="6"/>
  <c r="C36" i="11" s="1"/>
  <c r="K57" i="6"/>
  <c r="L58" i="6"/>
  <c r="E38" i="11" s="1"/>
  <c r="J60" i="6"/>
  <c r="K61" i="6"/>
  <c r="D41" i="11" s="1"/>
  <c r="L62" i="6"/>
  <c r="E42" i="11" s="1"/>
  <c r="F96" i="6"/>
  <c r="F97" i="6"/>
  <c r="F98" i="6"/>
  <c r="F58" i="6"/>
  <c r="F57" i="6"/>
  <c r="F55" i="6"/>
  <c r="J23" i="6"/>
  <c r="C11" i="11" s="1"/>
  <c r="J15" i="6"/>
  <c r="C3" i="11" s="1"/>
  <c r="L15" i="6"/>
  <c r="E3" i="11" s="1"/>
  <c r="J17" i="6"/>
  <c r="K18" i="6"/>
  <c r="D6" i="11" s="1"/>
  <c r="L19" i="6"/>
  <c r="E7" i="11" s="1"/>
  <c r="J21" i="6"/>
  <c r="C9" i="11" s="1"/>
  <c r="K22" i="6"/>
  <c r="D10" i="11" s="1"/>
  <c r="L23" i="6"/>
  <c r="J25" i="6"/>
  <c r="C13" i="11" s="1"/>
  <c r="K26" i="6"/>
  <c r="D14" i="11" s="1"/>
  <c r="J16" i="6"/>
  <c r="C4" i="11" s="1"/>
  <c r="K17" i="6"/>
  <c r="L18" i="6"/>
  <c r="E6" i="11" s="1"/>
  <c r="J20" i="6"/>
  <c r="K21" i="6"/>
  <c r="D9" i="11" s="1"/>
  <c r="L22" i="6"/>
  <c r="E10" i="11" s="1"/>
  <c r="J24" i="6"/>
  <c r="C12" i="11" s="1"/>
  <c r="K25" i="6"/>
  <c r="D13" i="11" s="1"/>
  <c r="L26" i="6"/>
  <c r="E14" i="11" s="1"/>
  <c r="K16" i="6"/>
  <c r="D4" i="11" s="1"/>
  <c r="L17" i="6"/>
  <c r="J19" i="6"/>
  <c r="C7" i="11" s="1"/>
  <c r="K20" i="6"/>
  <c r="L21" i="6"/>
  <c r="E9" i="11" s="1"/>
  <c r="K24" i="6"/>
  <c r="L25" i="6"/>
  <c r="F16" i="6"/>
  <c r="K15" i="6"/>
  <c r="D3" i="11" s="1"/>
  <c r="L16" i="6"/>
  <c r="E4" i="11" s="1"/>
  <c r="J18" i="6"/>
  <c r="C6" i="11" s="1"/>
  <c r="K19" i="6"/>
  <c r="D7" i="11" s="1"/>
  <c r="L20" i="6"/>
  <c r="J22" i="6"/>
  <c r="C10" i="11" s="1"/>
  <c r="F19" i="6"/>
  <c r="F22" i="6"/>
  <c r="F15" i="6"/>
  <c r="F18" i="6"/>
  <c r="F25" i="6"/>
  <c r="F17" i="6"/>
  <c r="F21" i="6"/>
  <c r="F24" i="6"/>
  <c r="M31" i="11" l="1"/>
  <c r="M15" i="11"/>
  <c r="P31" i="11"/>
  <c r="Q26" i="14"/>
  <c r="P6" i="10"/>
  <c r="L31" i="11"/>
  <c r="M10" i="10"/>
  <c r="M16" i="10" s="1"/>
  <c r="N10" i="10"/>
  <c r="N16" i="10" s="1"/>
  <c r="S53" i="11"/>
  <c r="L15" i="11"/>
  <c r="K43" i="14"/>
  <c r="K44" i="14" s="1"/>
  <c r="S37" i="11"/>
  <c r="S59" i="11"/>
  <c r="L11" i="14"/>
  <c r="L12" i="14" s="1"/>
  <c r="S43" i="11"/>
  <c r="S21" i="11"/>
  <c r="T21" i="11" s="1"/>
  <c r="P10" i="10"/>
  <c r="P15" i="10" s="1"/>
  <c r="P47" i="11"/>
  <c r="N47" i="11"/>
  <c r="S11" i="11"/>
  <c r="N8" i="10"/>
  <c r="L4" i="10"/>
  <c r="S5" i="11"/>
  <c r="L59" i="14"/>
  <c r="L60" i="14" s="1"/>
  <c r="N15" i="11"/>
  <c r="S27" i="11"/>
  <c r="M59" i="14"/>
  <c r="M60" i="14" s="1"/>
  <c r="L27" i="14"/>
  <c r="L28" i="14" s="1"/>
  <c r="N43" i="14"/>
  <c r="N44" i="14" s="1"/>
  <c r="S62" i="11"/>
  <c r="S31" i="11" s="1"/>
  <c r="M11" i="14"/>
  <c r="M12" i="14" s="1"/>
  <c r="O28" i="14"/>
  <c r="J11" i="14"/>
  <c r="R10" i="14"/>
  <c r="J42" i="14"/>
  <c r="R41" i="14"/>
  <c r="M44" i="14"/>
  <c r="N60" i="14"/>
  <c r="K12" i="14"/>
  <c r="K60" i="14"/>
  <c r="O60" i="14"/>
  <c r="N26" i="14"/>
  <c r="N27" i="14" s="1"/>
  <c r="N28" i="14" s="1"/>
  <c r="L42" i="14"/>
  <c r="L43" i="14" s="1"/>
  <c r="L44" i="14" s="1"/>
  <c r="K31" i="11"/>
  <c r="P15" i="11"/>
  <c r="M27" i="14"/>
  <c r="M28" i="14" s="1"/>
  <c r="J58" i="14"/>
  <c r="R57" i="14"/>
  <c r="V57" i="14" s="1"/>
  <c r="R9" i="14"/>
  <c r="J26" i="14"/>
  <c r="R25" i="14"/>
  <c r="S25" i="14" s="1"/>
  <c r="J10" i="10"/>
  <c r="J15" i="10" s="1"/>
  <c r="Q41" i="14"/>
  <c r="G8" i="10"/>
  <c r="R37" i="11"/>
  <c r="R53" i="11"/>
  <c r="R5" i="11"/>
  <c r="G60" i="14"/>
  <c r="G4" i="10"/>
  <c r="R11" i="11"/>
  <c r="J47" i="11"/>
  <c r="I42" i="14"/>
  <c r="I43" i="14" s="1"/>
  <c r="E58" i="14"/>
  <c r="Q58" i="14" s="1"/>
  <c r="U58" i="14" s="1"/>
  <c r="Q57" i="14"/>
  <c r="U57" i="14" s="1"/>
  <c r="I10" i="14"/>
  <c r="I11" i="14" s="1"/>
  <c r="I12" i="14" s="1"/>
  <c r="R59" i="11"/>
  <c r="I15" i="11"/>
  <c r="J8" i="10"/>
  <c r="Q9" i="14"/>
  <c r="H11" i="14"/>
  <c r="H12" i="14" s="1"/>
  <c r="E10" i="14"/>
  <c r="E42" i="14"/>
  <c r="R43" i="11"/>
  <c r="I28" i="14"/>
  <c r="Q28" i="14" s="1"/>
  <c r="I10" i="10"/>
  <c r="I17" i="10" s="1"/>
  <c r="F60" i="14"/>
  <c r="I59" i="14"/>
  <c r="I60" i="14" s="1"/>
  <c r="F43" i="14"/>
  <c r="F44" i="14" s="1"/>
  <c r="F12" i="14"/>
  <c r="H59" i="14"/>
  <c r="H60" i="14" s="1"/>
  <c r="E5" i="11"/>
  <c r="D9" i="14"/>
  <c r="D10" i="14" s="1"/>
  <c r="D11" i="14" s="1"/>
  <c r="D12" i="14" s="1"/>
  <c r="D37" i="11"/>
  <c r="C41" i="14"/>
  <c r="C42" i="14" s="1"/>
  <c r="C43" i="11"/>
  <c r="E37" i="11"/>
  <c r="D41" i="14"/>
  <c r="D42" i="14" s="1"/>
  <c r="D43" i="14" s="1"/>
  <c r="D44" i="14" s="1"/>
  <c r="D5" i="11"/>
  <c r="C9" i="14"/>
  <c r="C10" i="14" s="1"/>
  <c r="C11" i="14" s="1"/>
  <c r="C12" i="14" s="1"/>
  <c r="C37" i="11"/>
  <c r="B41" i="14"/>
  <c r="D43" i="11"/>
  <c r="D53" i="11"/>
  <c r="C57" i="14"/>
  <c r="C5" i="11"/>
  <c r="B9" i="14"/>
  <c r="C53" i="11"/>
  <c r="B57" i="14"/>
  <c r="E59" i="11"/>
  <c r="Q59" i="11" s="1"/>
  <c r="E53" i="11"/>
  <c r="D57" i="14"/>
  <c r="D58" i="14" s="1"/>
  <c r="C14" i="11"/>
  <c r="Q14" i="11" s="1"/>
  <c r="G10" i="10"/>
  <c r="R32" i="12"/>
  <c r="V32" i="12" s="1"/>
  <c r="K15" i="11"/>
  <c r="N31" i="11"/>
  <c r="O31" i="11"/>
  <c r="O10" i="10"/>
  <c r="O15" i="10" s="1"/>
  <c r="O47" i="11"/>
  <c r="L10" i="10"/>
  <c r="L17" i="10" s="1"/>
  <c r="R62" i="11"/>
  <c r="H10" i="10"/>
  <c r="H17" i="10" s="1"/>
  <c r="H47" i="11"/>
  <c r="Q32" i="12"/>
  <c r="U32" i="12" s="1"/>
  <c r="G15" i="11"/>
  <c r="G47" i="11"/>
  <c r="Q8" i="12"/>
  <c r="E62" i="11"/>
  <c r="E15" i="11" s="1"/>
  <c r="D62" i="11"/>
  <c r="D15" i="11" s="1"/>
  <c r="Q24" i="12"/>
  <c r="R24" i="12"/>
  <c r="R16" i="12"/>
  <c r="Q15" i="12"/>
  <c r="I16" i="12"/>
  <c r="Q16" i="12" s="1"/>
  <c r="R8" i="12"/>
  <c r="S15" i="11"/>
  <c r="T23" i="11"/>
  <c r="T20" i="11"/>
  <c r="T19" i="11"/>
  <c r="T22" i="11"/>
  <c r="R14" i="11"/>
  <c r="R46" i="11"/>
  <c r="J6" i="10"/>
  <c r="Q9" i="11"/>
  <c r="T9" i="11" s="1"/>
  <c r="Q58" i="11"/>
  <c r="T58" i="11" s="1"/>
  <c r="T10" i="10" s="1"/>
  <c r="Q10" i="11"/>
  <c r="T10" i="11" s="1"/>
  <c r="Q41" i="11"/>
  <c r="T41" i="11" s="1"/>
  <c r="Q6" i="11"/>
  <c r="T6" i="11" s="1"/>
  <c r="Q7" i="11"/>
  <c r="T7" i="11" s="1"/>
  <c r="C8" i="11"/>
  <c r="B7" i="12"/>
  <c r="B8" i="12" s="1"/>
  <c r="D23" i="12"/>
  <c r="D24" i="12" s="1"/>
  <c r="E40" i="11"/>
  <c r="E8" i="10" s="1"/>
  <c r="C56" i="11"/>
  <c r="B31" i="12"/>
  <c r="B32" i="12" s="1"/>
  <c r="R7" i="12"/>
  <c r="Q36" i="11"/>
  <c r="T36" i="11" s="1"/>
  <c r="Q38" i="11"/>
  <c r="T38" i="11" s="1"/>
  <c r="Q44" i="11"/>
  <c r="T44" i="11" s="1"/>
  <c r="M95" i="6"/>
  <c r="C51" i="11"/>
  <c r="Q51" i="11" s="1"/>
  <c r="T51" i="11" s="1"/>
  <c r="S8" i="11"/>
  <c r="S4" i="10" s="1"/>
  <c r="K4" i="10"/>
  <c r="Q4" i="11"/>
  <c r="T4" i="11" s="1"/>
  <c r="C23" i="12"/>
  <c r="C24" i="12" s="1"/>
  <c r="D40" i="11"/>
  <c r="D8" i="10" s="1"/>
  <c r="Q52" i="11"/>
  <c r="T52" i="11" s="1"/>
  <c r="Q39" i="11"/>
  <c r="T39" i="11" s="1"/>
  <c r="M101" i="6"/>
  <c r="C57" i="11"/>
  <c r="Q57" i="11" s="1"/>
  <c r="T57" i="11" s="1"/>
  <c r="M105" i="6"/>
  <c r="D61" i="11"/>
  <c r="Q61" i="11" s="1"/>
  <c r="T61" i="11" s="1"/>
  <c r="K10" i="10"/>
  <c r="S56" i="11"/>
  <c r="R15" i="12"/>
  <c r="R31" i="12"/>
  <c r="V31" i="12" s="1"/>
  <c r="M106" i="6"/>
  <c r="C62" i="11"/>
  <c r="C47" i="11" s="1"/>
  <c r="M25" i="6"/>
  <c r="E13" i="11"/>
  <c r="Q13" i="11" s="1"/>
  <c r="T13" i="11" s="1"/>
  <c r="Q45" i="11"/>
  <c r="T45" i="11" s="1"/>
  <c r="Q3" i="11"/>
  <c r="T3" i="11" s="1"/>
  <c r="D31" i="12"/>
  <c r="D32" i="12" s="1"/>
  <c r="E56" i="11"/>
  <c r="Q60" i="11"/>
  <c r="T60" i="11" s="1"/>
  <c r="M23" i="6"/>
  <c r="E11" i="11"/>
  <c r="Q11" i="11" s="1"/>
  <c r="C31" i="12"/>
  <c r="C32" i="12" s="1"/>
  <c r="D56" i="11"/>
  <c r="R23" i="12"/>
  <c r="Q46" i="11"/>
  <c r="M24" i="6"/>
  <c r="D12" i="11"/>
  <c r="Q12" i="11" s="1"/>
  <c r="T12" i="11" s="1"/>
  <c r="D7" i="12"/>
  <c r="D8" i="12" s="1"/>
  <c r="E8" i="11"/>
  <c r="E4" i="10" s="1"/>
  <c r="D8" i="11"/>
  <c r="D4" i="10" s="1"/>
  <c r="C7" i="12"/>
  <c r="C8" i="12" s="1"/>
  <c r="B23" i="12"/>
  <c r="B24" i="12" s="1"/>
  <c r="C40" i="11"/>
  <c r="Q42" i="11"/>
  <c r="T42" i="11" s="1"/>
  <c r="Q35" i="11"/>
  <c r="T35" i="11" s="1"/>
  <c r="Q54" i="11"/>
  <c r="T54" i="11" s="1"/>
  <c r="Q55" i="11"/>
  <c r="T55" i="11" s="1"/>
  <c r="K8" i="10"/>
  <c r="S40" i="11"/>
  <c r="S8" i="10" s="1"/>
  <c r="S24" i="11"/>
  <c r="S6" i="10" s="1"/>
  <c r="K6" i="10"/>
  <c r="F8" i="10"/>
  <c r="R40" i="11"/>
  <c r="F47" i="11"/>
  <c r="F10" i="10"/>
  <c r="R56" i="11"/>
  <c r="Q7" i="12"/>
  <c r="Q23" i="12"/>
  <c r="R8" i="11"/>
  <c r="F4" i="10"/>
  <c r="Q31" i="12"/>
  <c r="U31" i="12" s="1"/>
  <c r="F15" i="11"/>
  <c r="R25" i="11"/>
  <c r="T25" i="11" s="1"/>
  <c r="M98" i="6"/>
  <c r="M99" i="6"/>
  <c r="M96" i="6"/>
  <c r="M18" i="6"/>
  <c r="M102" i="6"/>
  <c r="M103" i="6"/>
  <c r="M100" i="6"/>
  <c r="M97" i="6"/>
  <c r="M104" i="6"/>
  <c r="M26" i="6"/>
  <c r="M66" i="6"/>
  <c r="M64" i="6"/>
  <c r="M59" i="6"/>
  <c r="M63" i="6"/>
  <c r="M57" i="6"/>
  <c r="M15" i="6"/>
  <c r="M58" i="6"/>
  <c r="M61" i="6"/>
  <c r="M56" i="6"/>
  <c r="M62" i="6"/>
  <c r="M65" i="6"/>
  <c r="M60" i="6"/>
  <c r="M55" i="6"/>
  <c r="M20" i="6"/>
  <c r="M19" i="6"/>
  <c r="M22" i="6"/>
  <c r="M17" i="6"/>
  <c r="M21" i="6"/>
  <c r="M16" i="6"/>
  <c r="M15" i="10" l="1"/>
  <c r="M17" i="10"/>
  <c r="P17" i="10"/>
  <c r="S10" i="10"/>
  <c r="S15" i="10" s="1"/>
  <c r="S47" i="11"/>
  <c r="P16" i="10"/>
  <c r="N15" i="10"/>
  <c r="N17" i="10"/>
  <c r="Q53" i="11"/>
  <c r="T53" i="11" s="1"/>
  <c r="D10" i="10"/>
  <c r="D15" i="10" s="1"/>
  <c r="Q37" i="11"/>
  <c r="E10" i="10"/>
  <c r="E17" i="10" s="1"/>
  <c r="Q43" i="11"/>
  <c r="T43" i="11" s="1"/>
  <c r="J17" i="10"/>
  <c r="G17" i="10"/>
  <c r="T11" i="11"/>
  <c r="J16" i="10"/>
  <c r="O16" i="10"/>
  <c r="P24" i="12"/>
  <c r="S24" i="12" s="1"/>
  <c r="D47" i="11"/>
  <c r="Q5" i="11"/>
  <c r="T5" i="11" s="1"/>
  <c r="C58" i="14"/>
  <c r="C59" i="14" s="1"/>
  <c r="C43" i="14"/>
  <c r="C44" i="14" s="1"/>
  <c r="J59" i="14"/>
  <c r="R59" i="14" s="1"/>
  <c r="V59" i="14" s="1"/>
  <c r="R58" i="14"/>
  <c r="V58" i="14" s="1"/>
  <c r="R26" i="14"/>
  <c r="S26" i="14" s="1"/>
  <c r="J27" i="14"/>
  <c r="R42" i="14"/>
  <c r="J43" i="14"/>
  <c r="J12" i="14"/>
  <c r="R12" i="14" s="1"/>
  <c r="R11" i="14"/>
  <c r="R47" i="11"/>
  <c r="O17" i="10"/>
  <c r="G15" i="10"/>
  <c r="T37" i="11"/>
  <c r="E59" i="14"/>
  <c r="Q59" i="14" s="1"/>
  <c r="U59" i="14" s="1"/>
  <c r="I44" i="14"/>
  <c r="T59" i="11"/>
  <c r="I15" i="10"/>
  <c r="E43" i="14"/>
  <c r="Q42" i="14"/>
  <c r="E11" i="14"/>
  <c r="Q10" i="14"/>
  <c r="P57" i="14"/>
  <c r="D59" i="14"/>
  <c r="D60" i="14" s="1"/>
  <c r="P9" i="14"/>
  <c r="S9" i="14" s="1"/>
  <c r="B42" i="14"/>
  <c r="P41" i="14"/>
  <c r="S41" i="14" s="1"/>
  <c r="B58" i="14"/>
  <c r="B10" i="14"/>
  <c r="L15" i="10"/>
  <c r="E47" i="11"/>
  <c r="R15" i="11"/>
  <c r="L16" i="10"/>
  <c r="H15" i="10"/>
  <c r="P32" i="12"/>
  <c r="S15" i="12"/>
  <c r="S16" i="12"/>
  <c r="P8" i="12"/>
  <c r="S8" i="12" s="1"/>
  <c r="T24" i="11"/>
  <c r="T46" i="11"/>
  <c r="K17" i="10"/>
  <c r="P23" i="12"/>
  <c r="S23" i="12" s="1"/>
  <c r="K16" i="10"/>
  <c r="F15" i="10"/>
  <c r="P7" i="12"/>
  <c r="S7" i="12" s="1"/>
  <c r="C8" i="10"/>
  <c r="Q40" i="11"/>
  <c r="Q8" i="10" s="1"/>
  <c r="Q62" i="11"/>
  <c r="Q15" i="11" s="1"/>
  <c r="C15" i="11"/>
  <c r="C4" i="10"/>
  <c r="Q8" i="11"/>
  <c r="Q4" i="10" s="1"/>
  <c r="K15" i="10"/>
  <c r="P31" i="12"/>
  <c r="T14" i="11"/>
  <c r="C10" i="10"/>
  <c r="Q56" i="11"/>
  <c r="R4" i="10"/>
  <c r="R8" i="10"/>
  <c r="F17" i="10"/>
  <c r="R10" i="10"/>
  <c r="R26" i="11"/>
  <c r="T26" i="11" s="1"/>
  <c r="D94" i="6"/>
  <c r="E94" i="6"/>
  <c r="C94" i="6"/>
  <c r="D93" i="6"/>
  <c r="E93" i="6"/>
  <c r="C93" i="6"/>
  <c r="D92" i="6"/>
  <c r="E92" i="6"/>
  <c r="C92" i="6"/>
  <c r="D91" i="6"/>
  <c r="E91" i="6"/>
  <c r="C91" i="6"/>
  <c r="D90" i="6"/>
  <c r="E90" i="6"/>
  <c r="C90" i="6"/>
  <c r="D89" i="6"/>
  <c r="E89" i="6"/>
  <c r="C89" i="6"/>
  <c r="D88" i="6"/>
  <c r="E88" i="6"/>
  <c r="C88" i="6"/>
  <c r="D87" i="6"/>
  <c r="E87" i="6"/>
  <c r="C87" i="6"/>
  <c r="D86" i="6"/>
  <c r="E86" i="6"/>
  <c r="C86" i="6"/>
  <c r="D85" i="6"/>
  <c r="E85" i="6"/>
  <c r="C85" i="6"/>
  <c r="D84" i="6"/>
  <c r="E84" i="6"/>
  <c r="C84" i="6"/>
  <c r="D83" i="6"/>
  <c r="E83" i="6"/>
  <c r="C83" i="6"/>
  <c r="E54" i="6"/>
  <c r="D54" i="6"/>
  <c r="C54" i="6"/>
  <c r="D53" i="6"/>
  <c r="E53" i="6"/>
  <c r="C53" i="6"/>
  <c r="D52" i="6"/>
  <c r="E52" i="6"/>
  <c r="C52" i="6"/>
  <c r="D51" i="6"/>
  <c r="E51" i="6"/>
  <c r="C51" i="6"/>
  <c r="D50" i="6"/>
  <c r="E50" i="6"/>
  <c r="C50" i="6"/>
  <c r="D49" i="6"/>
  <c r="E49" i="6"/>
  <c r="C49" i="6"/>
  <c r="D48" i="6"/>
  <c r="E48" i="6"/>
  <c r="C48" i="6"/>
  <c r="D47" i="6"/>
  <c r="E47" i="6"/>
  <c r="C47" i="6"/>
  <c r="D46" i="6"/>
  <c r="E46" i="6"/>
  <c r="C46" i="6"/>
  <c r="D45" i="6"/>
  <c r="E45" i="6"/>
  <c r="C45" i="6"/>
  <c r="D44" i="6"/>
  <c r="E44" i="6"/>
  <c r="C44" i="6"/>
  <c r="D43" i="6"/>
  <c r="E43" i="6"/>
  <c r="C43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4" i="6"/>
  <c r="D4" i="6"/>
  <c r="C4" i="6"/>
  <c r="E3" i="6"/>
  <c r="D3" i="6"/>
  <c r="C3" i="6"/>
  <c r="D134" i="5"/>
  <c r="E134" i="5"/>
  <c r="F134" i="5"/>
  <c r="G134" i="5"/>
  <c r="H134" i="5"/>
  <c r="C134" i="5"/>
  <c r="D133" i="5"/>
  <c r="E133" i="5"/>
  <c r="F133" i="5"/>
  <c r="G133" i="5"/>
  <c r="H133" i="5"/>
  <c r="C133" i="5"/>
  <c r="D132" i="5"/>
  <c r="E132" i="5"/>
  <c r="F132" i="5"/>
  <c r="G132" i="5"/>
  <c r="H132" i="5"/>
  <c r="C132" i="5"/>
  <c r="D131" i="5"/>
  <c r="E131" i="5"/>
  <c r="F131" i="5"/>
  <c r="G131" i="5"/>
  <c r="H131" i="5"/>
  <c r="C131" i="5"/>
  <c r="D130" i="5"/>
  <c r="E130" i="5"/>
  <c r="F130" i="5"/>
  <c r="G130" i="5"/>
  <c r="H130" i="5"/>
  <c r="C130" i="5"/>
  <c r="D129" i="5"/>
  <c r="E129" i="5"/>
  <c r="F129" i="5"/>
  <c r="G129" i="5"/>
  <c r="H129" i="5"/>
  <c r="C129" i="5"/>
  <c r="D128" i="5"/>
  <c r="E128" i="5"/>
  <c r="F128" i="5"/>
  <c r="G128" i="5"/>
  <c r="H128" i="5"/>
  <c r="C128" i="5"/>
  <c r="D127" i="5"/>
  <c r="E127" i="5"/>
  <c r="F127" i="5"/>
  <c r="G127" i="5"/>
  <c r="H127" i="5"/>
  <c r="C127" i="5"/>
  <c r="D126" i="5"/>
  <c r="E126" i="5"/>
  <c r="F126" i="5"/>
  <c r="G126" i="5"/>
  <c r="H126" i="5"/>
  <c r="C126" i="5"/>
  <c r="D125" i="5"/>
  <c r="E125" i="5"/>
  <c r="F125" i="5"/>
  <c r="G125" i="5"/>
  <c r="H125" i="5"/>
  <c r="C125" i="5"/>
  <c r="D124" i="5"/>
  <c r="E124" i="5"/>
  <c r="F124" i="5"/>
  <c r="G124" i="5"/>
  <c r="H124" i="5"/>
  <c r="C124" i="5"/>
  <c r="D123" i="5"/>
  <c r="E123" i="5"/>
  <c r="F123" i="5"/>
  <c r="G123" i="5"/>
  <c r="H123" i="5"/>
  <c r="C123" i="5"/>
  <c r="D94" i="5"/>
  <c r="E94" i="5"/>
  <c r="F94" i="5"/>
  <c r="G94" i="5"/>
  <c r="H94" i="5"/>
  <c r="C94" i="5"/>
  <c r="D93" i="5"/>
  <c r="E93" i="5"/>
  <c r="F93" i="5"/>
  <c r="G93" i="5"/>
  <c r="H93" i="5"/>
  <c r="C93" i="5"/>
  <c r="D92" i="5"/>
  <c r="E92" i="5"/>
  <c r="F92" i="5"/>
  <c r="G92" i="5"/>
  <c r="H92" i="5"/>
  <c r="C92" i="5"/>
  <c r="D91" i="5"/>
  <c r="E91" i="5"/>
  <c r="F91" i="5"/>
  <c r="G91" i="5"/>
  <c r="H91" i="5"/>
  <c r="C91" i="5"/>
  <c r="D90" i="5"/>
  <c r="E90" i="5"/>
  <c r="F90" i="5"/>
  <c r="G90" i="5"/>
  <c r="H90" i="5"/>
  <c r="C90" i="5"/>
  <c r="D89" i="5"/>
  <c r="E89" i="5"/>
  <c r="F89" i="5"/>
  <c r="G89" i="5"/>
  <c r="H89" i="5"/>
  <c r="C89" i="5"/>
  <c r="D88" i="5"/>
  <c r="E88" i="5"/>
  <c r="F88" i="5"/>
  <c r="G88" i="5"/>
  <c r="H88" i="5"/>
  <c r="C88" i="5"/>
  <c r="D87" i="5"/>
  <c r="E87" i="5"/>
  <c r="F87" i="5"/>
  <c r="G87" i="5"/>
  <c r="H87" i="5"/>
  <c r="C87" i="5"/>
  <c r="D86" i="5"/>
  <c r="E86" i="5"/>
  <c r="F86" i="5"/>
  <c r="G86" i="5"/>
  <c r="H86" i="5"/>
  <c r="C86" i="5"/>
  <c r="D85" i="5"/>
  <c r="E85" i="5"/>
  <c r="F85" i="5"/>
  <c r="G85" i="5"/>
  <c r="H85" i="5"/>
  <c r="C85" i="5"/>
  <c r="D84" i="5"/>
  <c r="E84" i="5"/>
  <c r="F84" i="5"/>
  <c r="G84" i="5"/>
  <c r="H84" i="5"/>
  <c r="C84" i="5"/>
  <c r="D83" i="5"/>
  <c r="E83" i="5"/>
  <c r="F83" i="5"/>
  <c r="G83" i="5"/>
  <c r="H83" i="5"/>
  <c r="C83" i="5"/>
  <c r="D54" i="5"/>
  <c r="E54" i="5"/>
  <c r="F54" i="5"/>
  <c r="G54" i="5"/>
  <c r="H54" i="5"/>
  <c r="C54" i="5"/>
  <c r="D53" i="5"/>
  <c r="E53" i="5"/>
  <c r="F53" i="5"/>
  <c r="G53" i="5"/>
  <c r="H53" i="5"/>
  <c r="C53" i="5"/>
  <c r="D52" i="5"/>
  <c r="E52" i="5"/>
  <c r="F52" i="5"/>
  <c r="G52" i="5"/>
  <c r="H52" i="5"/>
  <c r="C52" i="5"/>
  <c r="D51" i="5"/>
  <c r="E51" i="5"/>
  <c r="F51" i="5"/>
  <c r="G51" i="5"/>
  <c r="H51" i="5"/>
  <c r="C51" i="5"/>
  <c r="D50" i="5"/>
  <c r="E50" i="5"/>
  <c r="F50" i="5"/>
  <c r="G50" i="5"/>
  <c r="H50" i="5"/>
  <c r="C50" i="5"/>
  <c r="D49" i="5"/>
  <c r="E49" i="5"/>
  <c r="F49" i="5"/>
  <c r="G49" i="5"/>
  <c r="H49" i="5"/>
  <c r="C49" i="5"/>
  <c r="D48" i="5"/>
  <c r="E48" i="5"/>
  <c r="F48" i="5"/>
  <c r="G48" i="5"/>
  <c r="H48" i="5"/>
  <c r="C48" i="5"/>
  <c r="D47" i="5"/>
  <c r="E47" i="5"/>
  <c r="F47" i="5"/>
  <c r="G47" i="5"/>
  <c r="H47" i="5"/>
  <c r="C47" i="5"/>
  <c r="D46" i="5"/>
  <c r="E46" i="5"/>
  <c r="F46" i="5"/>
  <c r="G46" i="5"/>
  <c r="H46" i="5"/>
  <c r="C46" i="5"/>
  <c r="D45" i="5"/>
  <c r="E45" i="5"/>
  <c r="F45" i="5"/>
  <c r="G45" i="5"/>
  <c r="H45" i="5"/>
  <c r="C45" i="5"/>
  <c r="D44" i="5"/>
  <c r="E44" i="5"/>
  <c r="F44" i="5"/>
  <c r="G44" i="5"/>
  <c r="H44" i="5"/>
  <c r="C44" i="5"/>
  <c r="H43" i="5"/>
  <c r="D43" i="5"/>
  <c r="E43" i="5"/>
  <c r="F43" i="5"/>
  <c r="G43" i="5"/>
  <c r="C43" i="5"/>
  <c r="D14" i="5"/>
  <c r="E14" i="5"/>
  <c r="F14" i="5"/>
  <c r="G14" i="5"/>
  <c r="H14" i="5"/>
  <c r="C14" i="5"/>
  <c r="D13" i="5"/>
  <c r="E13" i="5"/>
  <c r="F13" i="5"/>
  <c r="G13" i="5"/>
  <c r="H13" i="5"/>
  <c r="C13" i="5"/>
  <c r="D12" i="5"/>
  <c r="E12" i="5"/>
  <c r="F12" i="5"/>
  <c r="G12" i="5"/>
  <c r="H12" i="5"/>
  <c r="C12" i="5"/>
  <c r="D11" i="5"/>
  <c r="E11" i="5"/>
  <c r="F11" i="5"/>
  <c r="G11" i="5"/>
  <c r="H11" i="5"/>
  <c r="C11" i="5"/>
  <c r="D10" i="5"/>
  <c r="E10" i="5"/>
  <c r="F10" i="5"/>
  <c r="G10" i="5"/>
  <c r="H10" i="5"/>
  <c r="C10" i="5"/>
  <c r="D9" i="5"/>
  <c r="E9" i="5"/>
  <c r="F9" i="5"/>
  <c r="G9" i="5"/>
  <c r="H9" i="5"/>
  <c r="C9" i="5"/>
  <c r="D8" i="5"/>
  <c r="E8" i="5"/>
  <c r="F8" i="5"/>
  <c r="G8" i="5"/>
  <c r="H8" i="5"/>
  <c r="C8" i="5"/>
  <c r="D7" i="5"/>
  <c r="E7" i="5"/>
  <c r="F7" i="5"/>
  <c r="G7" i="5"/>
  <c r="H7" i="5"/>
  <c r="C7" i="5"/>
  <c r="D6" i="5"/>
  <c r="E6" i="5"/>
  <c r="F6" i="5"/>
  <c r="G6" i="5"/>
  <c r="H6" i="5"/>
  <c r="C6" i="5"/>
  <c r="D5" i="5"/>
  <c r="E5" i="5"/>
  <c r="F5" i="5"/>
  <c r="G5" i="5"/>
  <c r="H5" i="5"/>
  <c r="C5" i="5"/>
  <c r="D4" i="5"/>
  <c r="E4" i="5"/>
  <c r="F4" i="5"/>
  <c r="G4" i="5"/>
  <c r="H4" i="5"/>
  <c r="C4" i="5"/>
  <c r="D3" i="5"/>
  <c r="E3" i="5"/>
  <c r="F3" i="5"/>
  <c r="G3" i="5"/>
  <c r="H3" i="5"/>
  <c r="C3" i="5"/>
  <c r="D134" i="4"/>
  <c r="E134" i="4"/>
  <c r="F134" i="4"/>
  <c r="G134" i="4"/>
  <c r="C134" i="4"/>
  <c r="D133" i="4"/>
  <c r="E133" i="4"/>
  <c r="F133" i="4"/>
  <c r="G133" i="4"/>
  <c r="C133" i="4"/>
  <c r="D132" i="4"/>
  <c r="E132" i="4"/>
  <c r="F132" i="4"/>
  <c r="G132" i="4"/>
  <c r="C132" i="4"/>
  <c r="D131" i="4"/>
  <c r="E131" i="4"/>
  <c r="F131" i="4"/>
  <c r="G131" i="4"/>
  <c r="C131" i="4"/>
  <c r="D130" i="4"/>
  <c r="E130" i="4"/>
  <c r="F130" i="4"/>
  <c r="G130" i="4"/>
  <c r="C130" i="4"/>
  <c r="G129" i="4"/>
  <c r="D129" i="4"/>
  <c r="E129" i="4"/>
  <c r="F129" i="4"/>
  <c r="C129" i="4"/>
  <c r="D128" i="4"/>
  <c r="E128" i="4"/>
  <c r="F128" i="4"/>
  <c r="G128" i="4"/>
  <c r="C128" i="4"/>
  <c r="D127" i="4"/>
  <c r="E127" i="4"/>
  <c r="F127" i="4"/>
  <c r="G127" i="4"/>
  <c r="C127" i="4"/>
  <c r="D126" i="4"/>
  <c r="E126" i="4"/>
  <c r="F126" i="4"/>
  <c r="G126" i="4"/>
  <c r="C126" i="4"/>
  <c r="D125" i="4"/>
  <c r="E125" i="4"/>
  <c r="F125" i="4"/>
  <c r="G125" i="4"/>
  <c r="C125" i="4"/>
  <c r="D124" i="4"/>
  <c r="E124" i="4"/>
  <c r="F124" i="4"/>
  <c r="G124" i="4"/>
  <c r="C124" i="4"/>
  <c r="D123" i="4"/>
  <c r="E123" i="4"/>
  <c r="F123" i="4"/>
  <c r="G123" i="4"/>
  <c r="C123" i="4"/>
  <c r="D94" i="4"/>
  <c r="E94" i="4"/>
  <c r="F94" i="4"/>
  <c r="G94" i="4"/>
  <c r="C94" i="4"/>
  <c r="D93" i="4"/>
  <c r="E93" i="4"/>
  <c r="F93" i="4"/>
  <c r="G93" i="4"/>
  <c r="C93" i="4"/>
  <c r="D92" i="4"/>
  <c r="E92" i="4"/>
  <c r="F92" i="4"/>
  <c r="G92" i="4"/>
  <c r="C92" i="4"/>
  <c r="D91" i="4"/>
  <c r="E91" i="4"/>
  <c r="F91" i="4"/>
  <c r="G91" i="4"/>
  <c r="C91" i="4"/>
  <c r="D90" i="4"/>
  <c r="E90" i="4"/>
  <c r="F90" i="4"/>
  <c r="G90" i="4"/>
  <c r="C90" i="4"/>
  <c r="D89" i="4"/>
  <c r="E89" i="4"/>
  <c r="F89" i="4"/>
  <c r="G89" i="4"/>
  <c r="C89" i="4"/>
  <c r="D88" i="4"/>
  <c r="E88" i="4"/>
  <c r="F88" i="4"/>
  <c r="G88" i="4"/>
  <c r="C88" i="4"/>
  <c r="D87" i="4"/>
  <c r="E87" i="4"/>
  <c r="F87" i="4"/>
  <c r="G87" i="4"/>
  <c r="C87" i="4"/>
  <c r="D86" i="4"/>
  <c r="E86" i="4"/>
  <c r="F86" i="4"/>
  <c r="G86" i="4"/>
  <c r="C86" i="4"/>
  <c r="D85" i="4"/>
  <c r="E85" i="4"/>
  <c r="F85" i="4"/>
  <c r="G85" i="4"/>
  <c r="C85" i="4"/>
  <c r="D84" i="4"/>
  <c r="E84" i="4"/>
  <c r="F84" i="4"/>
  <c r="G84" i="4"/>
  <c r="C84" i="4"/>
  <c r="D83" i="4"/>
  <c r="E83" i="4"/>
  <c r="F83" i="4"/>
  <c r="G83" i="4"/>
  <c r="C83" i="4"/>
  <c r="C51" i="4"/>
  <c r="C54" i="4"/>
  <c r="D54" i="4" s="1"/>
  <c r="C53" i="4"/>
  <c r="D53" i="4" s="1"/>
  <c r="C52" i="4"/>
  <c r="D52" i="4" s="1"/>
  <c r="C50" i="4"/>
  <c r="D50" i="4" s="1"/>
  <c r="C49" i="4"/>
  <c r="D49" i="4" s="1"/>
  <c r="C48" i="4"/>
  <c r="D48" i="4" s="1"/>
  <c r="C47" i="4"/>
  <c r="D47" i="4" s="1"/>
  <c r="C46" i="4"/>
  <c r="D46" i="4" s="1"/>
  <c r="C45" i="4"/>
  <c r="D45" i="4" s="1"/>
  <c r="C44" i="4"/>
  <c r="D44" i="4" s="1"/>
  <c r="C43" i="4"/>
  <c r="D14" i="4"/>
  <c r="E14" i="4"/>
  <c r="F14" i="4"/>
  <c r="G14" i="4"/>
  <c r="C14" i="4"/>
  <c r="D13" i="4"/>
  <c r="E13" i="4"/>
  <c r="F13" i="4"/>
  <c r="G13" i="4"/>
  <c r="C13" i="4"/>
  <c r="D12" i="4"/>
  <c r="E12" i="4"/>
  <c r="F12" i="4"/>
  <c r="G12" i="4"/>
  <c r="C12" i="4"/>
  <c r="D11" i="4"/>
  <c r="E11" i="4"/>
  <c r="F11" i="4"/>
  <c r="G11" i="4"/>
  <c r="C11" i="4"/>
  <c r="D10" i="4"/>
  <c r="E10" i="4"/>
  <c r="F10" i="4"/>
  <c r="G10" i="4"/>
  <c r="C10" i="4"/>
  <c r="D9" i="4"/>
  <c r="E9" i="4"/>
  <c r="F9" i="4"/>
  <c r="G9" i="4"/>
  <c r="C9" i="4"/>
  <c r="D8" i="4"/>
  <c r="E8" i="4"/>
  <c r="F8" i="4"/>
  <c r="G8" i="4"/>
  <c r="C8" i="4"/>
  <c r="D7" i="4"/>
  <c r="E7" i="4"/>
  <c r="F7" i="4"/>
  <c r="G7" i="4"/>
  <c r="C7" i="4"/>
  <c r="D6" i="4"/>
  <c r="E6" i="4"/>
  <c r="F6" i="4"/>
  <c r="G6" i="4"/>
  <c r="C6" i="4"/>
  <c r="D5" i="4"/>
  <c r="E5" i="4"/>
  <c r="F5" i="4"/>
  <c r="G5" i="4"/>
  <c r="C5" i="4"/>
  <c r="D4" i="4"/>
  <c r="E4" i="4"/>
  <c r="F4" i="4"/>
  <c r="G4" i="4"/>
  <c r="C4" i="4"/>
  <c r="D3" i="4"/>
  <c r="E3" i="4"/>
  <c r="F3" i="4"/>
  <c r="G3" i="4"/>
  <c r="C3" i="4"/>
  <c r="S16" i="10" l="1"/>
  <c r="D17" i="10"/>
  <c r="S17" i="10"/>
  <c r="E15" i="10"/>
  <c r="E60" i="14"/>
  <c r="Q60" i="14" s="1"/>
  <c r="U60" i="14" s="1"/>
  <c r="J60" i="14"/>
  <c r="R60" i="14" s="1"/>
  <c r="V60" i="14" s="1"/>
  <c r="C60" i="14"/>
  <c r="J44" i="14"/>
  <c r="R44" i="14" s="1"/>
  <c r="R43" i="14"/>
  <c r="J28" i="14"/>
  <c r="R28" i="14" s="1"/>
  <c r="S28" i="14" s="1"/>
  <c r="R27" i="14"/>
  <c r="S27" i="14" s="1"/>
  <c r="Q11" i="14"/>
  <c r="E12" i="14"/>
  <c r="Q12" i="14" s="1"/>
  <c r="Q43" i="14"/>
  <c r="E44" i="14"/>
  <c r="Q44" i="14" s="1"/>
  <c r="B11" i="14"/>
  <c r="P11" i="14" s="1"/>
  <c r="P10" i="14"/>
  <c r="S10" i="14" s="1"/>
  <c r="B59" i="14"/>
  <c r="P59" i="14" s="1"/>
  <c r="P58" i="14"/>
  <c r="P42" i="14"/>
  <c r="S42" i="14" s="1"/>
  <c r="B43" i="14"/>
  <c r="T57" i="14"/>
  <c r="S57" i="14"/>
  <c r="W57" i="14" s="1"/>
  <c r="S31" i="12"/>
  <c r="W31" i="12" s="1"/>
  <c r="T31" i="12"/>
  <c r="S32" i="12"/>
  <c r="W32" i="12" s="1"/>
  <c r="T32" i="12"/>
  <c r="AA153" i="5"/>
  <c r="O153" i="7" s="1"/>
  <c r="AA152" i="5"/>
  <c r="O152" i="7" s="1"/>
  <c r="AA158" i="5"/>
  <c r="O158" i="7" s="1"/>
  <c r="AA151" i="5"/>
  <c r="O151" i="7" s="1"/>
  <c r="AA150" i="5"/>
  <c r="O150" i="7" s="1"/>
  <c r="AA149" i="5"/>
  <c r="O149" i="7" s="1"/>
  <c r="AA157" i="5"/>
  <c r="O157" i="7" s="1"/>
  <c r="AA148" i="5"/>
  <c r="O148" i="7" s="1"/>
  <c r="AA156" i="5"/>
  <c r="O156" i="7" s="1"/>
  <c r="AA147" i="5"/>
  <c r="O147" i="7" s="1"/>
  <c r="AA155" i="5"/>
  <c r="O155" i="7" s="1"/>
  <c r="AA154" i="5"/>
  <c r="O154" i="7" s="1"/>
  <c r="Z148" i="5"/>
  <c r="N148" i="7" s="1"/>
  <c r="Z156" i="5"/>
  <c r="N156" i="7" s="1"/>
  <c r="Z147" i="5"/>
  <c r="N147" i="7" s="1"/>
  <c r="Z155" i="5"/>
  <c r="N155" i="7" s="1"/>
  <c r="Z154" i="5"/>
  <c r="N154" i="7" s="1"/>
  <c r="Z153" i="5"/>
  <c r="N153" i="7" s="1"/>
  <c r="Z152" i="5"/>
  <c r="N152" i="7" s="1"/>
  <c r="Z151" i="5"/>
  <c r="N151" i="7" s="1"/>
  <c r="Z150" i="5"/>
  <c r="N150" i="7" s="1"/>
  <c r="Z158" i="5"/>
  <c r="N158" i="7" s="1"/>
  <c r="Z149" i="5"/>
  <c r="N149" i="7" s="1"/>
  <c r="Z157" i="5"/>
  <c r="N157" i="7" s="1"/>
  <c r="W151" i="5"/>
  <c r="W150" i="5"/>
  <c r="W149" i="5"/>
  <c r="W157" i="5"/>
  <c r="W148" i="5"/>
  <c r="W156" i="5"/>
  <c r="W147" i="5"/>
  <c r="W155" i="5"/>
  <c r="W154" i="5"/>
  <c r="W158" i="5"/>
  <c r="W153" i="5"/>
  <c r="W152" i="5"/>
  <c r="Y153" i="5"/>
  <c r="M153" i="7" s="1"/>
  <c r="Y152" i="5"/>
  <c r="M152" i="7" s="1"/>
  <c r="Y151" i="5"/>
  <c r="M151" i="7" s="1"/>
  <c r="Y150" i="5"/>
  <c r="M150" i="7" s="1"/>
  <c r="Y158" i="5"/>
  <c r="M158" i="7" s="1"/>
  <c r="Y147" i="5"/>
  <c r="M147" i="7" s="1"/>
  <c r="Y149" i="5"/>
  <c r="M149" i="7" s="1"/>
  <c r="Y157" i="5"/>
  <c r="M157" i="7" s="1"/>
  <c r="Y148" i="5"/>
  <c r="M148" i="7" s="1"/>
  <c r="Y156" i="5"/>
  <c r="M156" i="7" s="1"/>
  <c r="Y155" i="5"/>
  <c r="M155" i="7" s="1"/>
  <c r="Y154" i="5"/>
  <c r="M154" i="7" s="1"/>
  <c r="AB150" i="5"/>
  <c r="P150" i="7" s="1"/>
  <c r="AB158" i="5"/>
  <c r="P158" i="7" s="1"/>
  <c r="AB149" i="5"/>
  <c r="P149" i="7" s="1"/>
  <c r="AB157" i="5"/>
  <c r="P157" i="7" s="1"/>
  <c r="AB148" i="5"/>
  <c r="P148" i="7" s="1"/>
  <c r="AB156" i="5"/>
  <c r="P156" i="7" s="1"/>
  <c r="AB147" i="5"/>
  <c r="P147" i="7" s="1"/>
  <c r="AB155" i="5"/>
  <c r="P155" i="7" s="1"/>
  <c r="AB154" i="5"/>
  <c r="P154" i="7" s="1"/>
  <c r="AB153" i="5"/>
  <c r="P153" i="7" s="1"/>
  <c r="AB152" i="5"/>
  <c r="P152" i="7" s="1"/>
  <c r="AB151" i="5"/>
  <c r="P151" i="7" s="1"/>
  <c r="X148" i="5"/>
  <c r="L148" i="7" s="1"/>
  <c r="X156" i="5"/>
  <c r="L156" i="7" s="1"/>
  <c r="X147" i="5"/>
  <c r="L147" i="7" s="1"/>
  <c r="X155" i="5"/>
  <c r="L155" i="7" s="1"/>
  <c r="X154" i="5"/>
  <c r="L154" i="7" s="1"/>
  <c r="X153" i="5"/>
  <c r="L153" i="7" s="1"/>
  <c r="X152" i="5"/>
  <c r="L152" i="7" s="1"/>
  <c r="X151" i="5"/>
  <c r="L151" i="7" s="1"/>
  <c r="X150" i="5"/>
  <c r="L150" i="7" s="1"/>
  <c r="X158" i="5"/>
  <c r="L158" i="7" s="1"/>
  <c r="X149" i="5"/>
  <c r="L149" i="7" s="1"/>
  <c r="X157" i="5"/>
  <c r="L157" i="7" s="1"/>
  <c r="Q10" i="10"/>
  <c r="Q15" i="10" s="1"/>
  <c r="Q110" i="6"/>
  <c r="Q116" i="6"/>
  <c r="Q111" i="6"/>
  <c r="Q112" i="6"/>
  <c r="Q113" i="6"/>
  <c r="Q117" i="6"/>
  <c r="Q109" i="6"/>
  <c r="Q114" i="6"/>
  <c r="Q118" i="6"/>
  <c r="Q115" i="6"/>
  <c r="Q107" i="6"/>
  <c r="Q108" i="6"/>
  <c r="S107" i="6"/>
  <c r="E147" i="7" s="1"/>
  <c r="S115" i="6"/>
  <c r="E155" i="7" s="1"/>
  <c r="S112" i="6"/>
  <c r="E152" i="7" s="1"/>
  <c r="S117" i="6"/>
  <c r="E157" i="7" s="1"/>
  <c r="S109" i="6"/>
  <c r="E149" i="7" s="1"/>
  <c r="S116" i="6"/>
  <c r="E156" i="7" s="1"/>
  <c r="S114" i="6"/>
  <c r="E154" i="7" s="1"/>
  <c r="S111" i="6"/>
  <c r="E151" i="7" s="1"/>
  <c r="S118" i="6"/>
  <c r="E158" i="7" s="1"/>
  <c r="S108" i="6"/>
  <c r="E148" i="7" s="1"/>
  <c r="S113" i="6"/>
  <c r="E153" i="7" s="1"/>
  <c r="S110" i="6"/>
  <c r="E150" i="7" s="1"/>
  <c r="R114" i="6"/>
  <c r="D154" i="7" s="1"/>
  <c r="R118" i="6"/>
  <c r="D158" i="7" s="1"/>
  <c r="R108" i="6"/>
  <c r="D148" i="7" s="1"/>
  <c r="R115" i="6"/>
  <c r="D155" i="7" s="1"/>
  <c r="R109" i="6"/>
  <c r="D149" i="7" s="1"/>
  <c r="R112" i="6"/>
  <c r="D152" i="7" s="1"/>
  <c r="R111" i="6"/>
  <c r="D151" i="7" s="1"/>
  <c r="R116" i="6"/>
  <c r="D156" i="7" s="1"/>
  <c r="R107" i="6"/>
  <c r="D147" i="7" s="1"/>
  <c r="R113" i="6"/>
  <c r="D153" i="7" s="1"/>
  <c r="R117" i="6"/>
  <c r="D157" i="7" s="1"/>
  <c r="R110" i="6"/>
  <c r="D150" i="7" s="1"/>
  <c r="W117" i="5"/>
  <c r="K117" i="7" s="1"/>
  <c r="W115" i="5"/>
  <c r="K115" i="7" s="1"/>
  <c r="W113" i="5"/>
  <c r="K113" i="7" s="1"/>
  <c r="W111" i="5"/>
  <c r="K111" i="7" s="1"/>
  <c r="W109" i="5"/>
  <c r="K109" i="7" s="1"/>
  <c r="W107" i="5"/>
  <c r="K107" i="7" s="1"/>
  <c r="W118" i="5"/>
  <c r="K118" i="7" s="1"/>
  <c r="W116" i="5"/>
  <c r="K116" i="7" s="1"/>
  <c r="W114" i="5"/>
  <c r="K114" i="7" s="1"/>
  <c r="W112" i="5"/>
  <c r="K112" i="7" s="1"/>
  <c r="W110" i="5"/>
  <c r="K110" i="7" s="1"/>
  <c r="W108" i="5"/>
  <c r="K108" i="7" s="1"/>
  <c r="AB117" i="5"/>
  <c r="P117" i="7" s="1"/>
  <c r="AB115" i="5"/>
  <c r="P115" i="7" s="1"/>
  <c r="AB113" i="5"/>
  <c r="P113" i="7" s="1"/>
  <c r="AB111" i="5"/>
  <c r="P111" i="7" s="1"/>
  <c r="AB109" i="5"/>
  <c r="P109" i="7" s="1"/>
  <c r="AB107" i="5"/>
  <c r="P107" i="7" s="1"/>
  <c r="AB118" i="5"/>
  <c r="P118" i="7" s="1"/>
  <c r="AB116" i="5"/>
  <c r="P116" i="7" s="1"/>
  <c r="AB114" i="5"/>
  <c r="P114" i="7" s="1"/>
  <c r="AB112" i="5"/>
  <c r="P112" i="7" s="1"/>
  <c r="AB110" i="5"/>
  <c r="P110" i="7" s="1"/>
  <c r="AB108" i="5"/>
  <c r="P108" i="7" s="1"/>
  <c r="AA117" i="5"/>
  <c r="O117" i="7" s="1"/>
  <c r="AA115" i="5"/>
  <c r="O115" i="7" s="1"/>
  <c r="AA113" i="5"/>
  <c r="O113" i="7" s="1"/>
  <c r="AA111" i="5"/>
  <c r="O111" i="7" s="1"/>
  <c r="AA109" i="5"/>
  <c r="O109" i="7" s="1"/>
  <c r="AA107" i="5"/>
  <c r="O107" i="7" s="1"/>
  <c r="AA118" i="5"/>
  <c r="O118" i="7" s="1"/>
  <c r="AA116" i="5"/>
  <c r="O116" i="7" s="1"/>
  <c r="AA114" i="5"/>
  <c r="O114" i="7" s="1"/>
  <c r="AA112" i="5"/>
  <c r="O112" i="7" s="1"/>
  <c r="AA110" i="5"/>
  <c r="O110" i="7" s="1"/>
  <c r="AA108" i="5"/>
  <c r="O108" i="7" s="1"/>
  <c r="Z118" i="5"/>
  <c r="N118" i="7" s="1"/>
  <c r="Z116" i="5"/>
  <c r="N116" i="7" s="1"/>
  <c r="Z114" i="5"/>
  <c r="N114" i="7" s="1"/>
  <c r="Z112" i="5"/>
  <c r="N112" i="7" s="1"/>
  <c r="Z110" i="5"/>
  <c r="N110" i="7" s="1"/>
  <c r="Z108" i="5"/>
  <c r="N108" i="7" s="1"/>
  <c r="Z117" i="5"/>
  <c r="N117" i="7" s="1"/>
  <c r="Z115" i="5"/>
  <c r="N115" i="7" s="1"/>
  <c r="Z113" i="5"/>
  <c r="N113" i="7" s="1"/>
  <c r="Z111" i="5"/>
  <c r="N111" i="7" s="1"/>
  <c r="Z109" i="5"/>
  <c r="N109" i="7" s="1"/>
  <c r="Z107" i="5"/>
  <c r="N107" i="7" s="1"/>
  <c r="Y118" i="5"/>
  <c r="M118" i="7" s="1"/>
  <c r="Y116" i="5"/>
  <c r="M116" i="7" s="1"/>
  <c r="Y114" i="5"/>
  <c r="M114" i="7" s="1"/>
  <c r="Y112" i="5"/>
  <c r="M112" i="7" s="1"/>
  <c r="Y110" i="5"/>
  <c r="M110" i="7" s="1"/>
  <c r="Y108" i="5"/>
  <c r="M108" i="7" s="1"/>
  <c r="Y117" i="5"/>
  <c r="M117" i="7" s="1"/>
  <c r="Y115" i="5"/>
  <c r="M115" i="7" s="1"/>
  <c r="Y113" i="5"/>
  <c r="M113" i="7" s="1"/>
  <c r="Y111" i="5"/>
  <c r="M111" i="7" s="1"/>
  <c r="Y109" i="5"/>
  <c r="M109" i="7" s="1"/>
  <c r="Y107" i="5"/>
  <c r="M107" i="7" s="1"/>
  <c r="X117" i="5"/>
  <c r="L117" i="7" s="1"/>
  <c r="X115" i="5"/>
  <c r="L115" i="7" s="1"/>
  <c r="X113" i="5"/>
  <c r="L113" i="7" s="1"/>
  <c r="X111" i="5"/>
  <c r="L111" i="7" s="1"/>
  <c r="X109" i="5"/>
  <c r="L109" i="7" s="1"/>
  <c r="X107" i="5"/>
  <c r="L107" i="7" s="1"/>
  <c r="X118" i="5"/>
  <c r="L118" i="7" s="1"/>
  <c r="X116" i="5"/>
  <c r="L116" i="7" s="1"/>
  <c r="X114" i="5"/>
  <c r="L114" i="7" s="1"/>
  <c r="X112" i="5"/>
  <c r="L112" i="7" s="1"/>
  <c r="X110" i="5"/>
  <c r="L110" i="7" s="1"/>
  <c r="X108" i="5"/>
  <c r="L108" i="7" s="1"/>
  <c r="Y78" i="5"/>
  <c r="M78" i="7" s="1"/>
  <c r="Y76" i="5"/>
  <c r="M76" i="7" s="1"/>
  <c r="Y74" i="5"/>
  <c r="M74" i="7" s="1"/>
  <c r="Y72" i="5"/>
  <c r="M72" i="7" s="1"/>
  <c r="Y70" i="5"/>
  <c r="M70" i="7" s="1"/>
  <c r="Y68" i="5"/>
  <c r="M68" i="7" s="1"/>
  <c r="Y77" i="5"/>
  <c r="M77" i="7" s="1"/>
  <c r="Y75" i="5"/>
  <c r="M75" i="7" s="1"/>
  <c r="Y73" i="5"/>
  <c r="M73" i="7" s="1"/>
  <c r="Y71" i="5"/>
  <c r="M71" i="7" s="1"/>
  <c r="Y69" i="5"/>
  <c r="M69" i="7" s="1"/>
  <c r="Y67" i="5"/>
  <c r="M67" i="7" s="1"/>
  <c r="W77" i="5"/>
  <c r="K77" i="7" s="1"/>
  <c r="W75" i="5"/>
  <c r="K75" i="7" s="1"/>
  <c r="W73" i="5"/>
  <c r="K73" i="7" s="1"/>
  <c r="W71" i="5"/>
  <c r="K71" i="7" s="1"/>
  <c r="W69" i="5"/>
  <c r="K69" i="7" s="1"/>
  <c r="W67" i="5"/>
  <c r="K67" i="7" s="1"/>
  <c r="W78" i="5"/>
  <c r="K78" i="7" s="1"/>
  <c r="W76" i="5"/>
  <c r="K76" i="7" s="1"/>
  <c r="W74" i="5"/>
  <c r="K74" i="7" s="1"/>
  <c r="W72" i="5"/>
  <c r="K72" i="7" s="1"/>
  <c r="W70" i="5"/>
  <c r="K70" i="7" s="1"/>
  <c r="W68" i="5"/>
  <c r="K68" i="7" s="1"/>
  <c r="X77" i="5"/>
  <c r="L77" i="7" s="1"/>
  <c r="X75" i="5"/>
  <c r="L75" i="7" s="1"/>
  <c r="X73" i="5"/>
  <c r="L73" i="7" s="1"/>
  <c r="X71" i="5"/>
  <c r="L71" i="7" s="1"/>
  <c r="X69" i="5"/>
  <c r="L69" i="7" s="1"/>
  <c r="X67" i="5"/>
  <c r="L67" i="7" s="1"/>
  <c r="X78" i="5"/>
  <c r="L78" i="7" s="1"/>
  <c r="X76" i="5"/>
  <c r="L76" i="7" s="1"/>
  <c r="X74" i="5"/>
  <c r="L74" i="7" s="1"/>
  <c r="X72" i="5"/>
  <c r="L72" i="7" s="1"/>
  <c r="X70" i="5"/>
  <c r="L70" i="7" s="1"/>
  <c r="X68" i="5"/>
  <c r="L68" i="7" s="1"/>
  <c r="AA77" i="5"/>
  <c r="O77" i="7" s="1"/>
  <c r="AA75" i="5"/>
  <c r="O75" i="7" s="1"/>
  <c r="AA73" i="5"/>
  <c r="O73" i="7" s="1"/>
  <c r="AA71" i="5"/>
  <c r="O71" i="7" s="1"/>
  <c r="AA69" i="5"/>
  <c r="O69" i="7" s="1"/>
  <c r="AA67" i="5"/>
  <c r="O67" i="7" s="1"/>
  <c r="AA78" i="5"/>
  <c r="O78" i="7" s="1"/>
  <c r="AA76" i="5"/>
  <c r="O76" i="7" s="1"/>
  <c r="AA74" i="5"/>
  <c r="O74" i="7" s="1"/>
  <c r="AA72" i="5"/>
  <c r="O72" i="7" s="1"/>
  <c r="AA70" i="5"/>
  <c r="O70" i="7" s="1"/>
  <c r="AA68" i="5"/>
  <c r="O68" i="7" s="1"/>
  <c r="AB77" i="5"/>
  <c r="P77" i="7" s="1"/>
  <c r="AB75" i="5"/>
  <c r="P75" i="7" s="1"/>
  <c r="AB73" i="5"/>
  <c r="P73" i="7" s="1"/>
  <c r="AB71" i="5"/>
  <c r="P71" i="7" s="1"/>
  <c r="AB69" i="5"/>
  <c r="P69" i="7" s="1"/>
  <c r="AB67" i="5"/>
  <c r="P67" i="7" s="1"/>
  <c r="AB78" i="5"/>
  <c r="P78" i="7" s="1"/>
  <c r="AB76" i="5"/>
  <c r="P76" i="7" s="1"/>
  <c r="AB74" i="5"/>
  <c r="P74" i="7" s="1"/>
  <c r="AB72" i="5"/>
  <c r="P72" i="7" s="1"/>
  <c r="AB70" i="5"/>
  <c r="P70" i="7" s="1"/>
  <c r="AB68" i="5"/>
  <c r="P68" i="7" s="1"/>
  <c r="Z78" i="5"/>
  <c r="N78" i="7" s="1"/>
  <c r="Z76" i="5"/>
  <c r="N76" i="7" s="1"/>
  <c r="Z74" i="5"/>
  <c r="N74" i="7" s="1"/>
  <c r="Z72" i="5"/>
  <c r="N72" i="7" s="1"/>
  <c r="Z70" i="5"/>
  <c r="N70" i="7" s="1"/>
  <c r="Z68" i="5"/>
  <c r="N68" i="7" s="1"/>
  <c r="Z77" i="5"/>
  <c r="N77" i="7" s="1"/>
  <c r="Z75" i="5"/>
  <c r="N75" i="7" s="1"/>
  <c r="Z73" i="5"/>
  <c r="N73" i="7" s="1"/>
  <c r="Z71" i="5"/>
  <c r="N71" i="7" s="1"/>
  <c r="Z69" i="5"/>
  <c r="N69" i="7" s="1"/>
  <c r="Z67" i="5"/>
  <c r="N67" i="7" s="1"/>
  <c r="W38" i="5"/>
  <c r="K38" i="7" s="1"/>
  <c r="W34" i="5"/>
  <c r="K34" i="7" s="1"/>
  <c r="W30" i="5"/>
  <c r="K30" i="7" s="1"/>
  <c r="W35" i="5"/>
  <c r="K35" i="7" s="1"/>
  <c r="W31" i="5"/>
  <c r="K31" i="7" s="1"/>
  <c r="W27" i="5"/>
  <c r="K27" i="7" s="1"/>
  <c r="W36" i="5"/>
  <c r="K36" i="7" s="1"/>
  <c r="W32" i="5"/>
  <c r="K32" i="7" s="1"/>
  <c r="W28" i="5"/>
  <c r="K28" i="7" s="1"/>
  <c r="W37" i="5"/>
  <c r="K37" i="7" s="1"/>
  <c r="W33" i="5"/>
  <c r="K33" i="7" s="1"/>
  <c r="W29" i="5"/>
  <c r="K29" i="7" s="1"/>
  <c r="AB35" i="5"/>
  <c r="P35" i="7" s="1"/>
  <c r="AB31" i="5"/>
  <c r="P31" i="7" s="1"/>
  <c r="AB36" i="5"/>
  <c r="P36" i="7" s="1"/>
  <c r="AB32" i="5"/>
  <c r="P32" i="7" s="1"/>
  <c r="AB28" i="5"/>
  <c r="P28" i="7" s="1"/>
  <c r="AB37" i="5"/>
  <c r="P37" i="7" s="1"/>
  <c r="AB33" i="5"/>
  <c r="P33" i="7" s="1"/>
  <c r="AB29" i="5"/>
  <c r="P29" i="7" s="1"/>
  <c r="AB38" i="5"/>
  <c r="P38" i="7" s="1"/>
  <c r="AB34" i="5"/>
  <c r="P34" i="7" s="1"/>
  <c r="AB30" i="5"/>
  <c r="P30" i="7" s="1"/>
  <c r="AB27" i="5"/>
  <c r="P27" i="7" s="1"/>
  <c r="AA38" i="5"/>
  <c r="O38" i="7" s="1"/>
  <c r="AA34" i="5"/>
  <c r="O34" i="7" s="1"/>
  <c r="AA30" i="5"/>
  <c r="O30" i="7" s="1"/>
  <c r="AA35" i="5"/>
  <c r="O35" i="7" s="1"/>
  <c r="AA31" i="5"/>
  <c r="O31" i="7" s="1"/>
  <c r="AA27" i="5"/>
  <c r="O27" i="7" s="1"/>
  <c r="AA36" i="5"/>
  <c r="O36" i="7" s="1"/>
  <c r="AA32" i="5"/>
  <c r="O32" i="7" s="1"/>
  <c r="AA28" i="5"/>
  <c r="O28" i="7" s="1"/>
  <c r="AA37" i="5"/>
  <c r="O37" i="7" s="1"/>
  <c r="AA33" i="5"/>
  <c r="O33" i="7" s="1"/>
  <c r="AA29" i="5"/>
  <c r="O29" i="7" s="1"/>
  <c r="Z37" i="5"/>
  <c r="N37" i="7" s="1"/>
  <c r="Z33" i="5"/>
  <c r="N33" i="7" s="1"/>
  <c r="Z29" i="5"/>
  <c r="N29" i="7" s="1"/>
  <c r="Z38" i="5"/>
  <c r="N38" i="7" s="1"/>
  <c r="Z34" i="5"/>
  <c r="N34" i="7" s="1"/>
  <c r="Z30" i="5"/>
  <c r="N30" i="7" s="1"/>
  <c r="Z35" i="5"/>
  <c r="N35" i="7" s="1"/>
  <c r="Z31" i="5"/>
  <c r="N31" i="7" s="1"/>
  <c r="Z27" i="5"/>
  <c r="N27" i="7" s="1"/>
  <c r="Z36" i="5"/>
  <c r="N36" i="7" s="1"/>
  <c r="Z32" i="5"/>
  <c r="N32" i="7" s="1"/>
  <c r="Z28" i="5"/>
  <c r="N28" i="7" s="1"/>
  <c r="Y36" i="5"/>
  <c r="M36" i="7" s="1"/>
  <c r="Y32" i="5"/>
  <c r="M32" i="7" s="1"/>
  <c r="Y37" i="5"/>
  <c r="M37" i="7" s="1"/>
  <c r="Y33" i="5"/>
  <c r="M33" i="7" s="1"/>
  <c r="Y29" i="5"/>
  <c r="M29" i="7" s="1"/>
  <c r="Y38" i="5"/>
  <c r="M38" i="7" s="1"/>
  <c r="Y34" i="5"/>
  <c r="M34" i="7" s="1"/>
  <c r="Y30" i="5"/>
  <c r="M30" i="7" s="1"/>
  <c r="Y28" i="5"/>
  <c r="M28" i="7" s="1"/>
  <c r="Y35" i="5"/>
  <c r="M35" i="7" s="1"/>
  <c r="Y31" i="5"/>
  <c r="M31" i="7" s="1"/>
  <c r="Y27" i="5"/>
  <c r="M27" i="7" s="1"/>
  <c r="X35" i="5"/>
  <c r="L35" i="7" s="1"/>
  <c r="X31" i="5"/>
  <c r="L31" i="7" s="1"/>
  <c r="X36" i="5"/>
  <c r="L36" i="7" s="1"/>
  <c r="X32" i="5"/>
  <c r="L32" i="7" s="1"/>
  <c r="X28" i="5"/>
  <c r="L28" i="7" s="1"/>
  <c r="X37" i="5"/>
  <c r="L37" i="7" s="1"/>
  <c r="X33" i="5"/>
  <c r="L33" i="7" s="1"/>
  <c r="X29" i="5"/>
  <c r="L29" i="7" s="1"/>
  <c r="X38" i="5"/>
  <c r="L38" i="7" s="1"/>
  <c r="X34" i="5"/>
  <c r="L34" i="7" s="1"/>
  <c r="X30" i="5"/>
  <c r="L30" i="7" s="1"/>
  <c r="X27" i="5"/>
  <c r="L27" i="7" s="1"/>
  <c r="W157" i="4"/>
  <c r="H157" i="7" s="1"/>
  <c r="W155" i="4"/>
  <c r="H155" i="7" s="1"/>
  <c r="W153" i="4"/>
  <c r="H153" i="7" s="1"/>
  <c r="W151" i="4"/>
  <c r="H151" i="7" s="1"/>
  <c r="W149" i="4"/>
  <c r="H149" i="7" s="1"/>
  <c r="W147" i="4"/>
  <c r="H147" i="7" s="1"/>
  <c r="W158" i="4"/>
  <c r="H158" i="7" s="1"/>
  <c r="W156" i="4"/>
  <c r="H156" i="7" s="1"/>
  <c r="W154" i="4"/>
  <c r="H154" i="7" s="1"/>
  <c r="W152" i="4"/>
  <c r="H152" i="7" s="1"/>
  <c r="W150" i="4"/>
  <c r="H150" i="7" s="1"/>
  <c r="W148" i="4"/>
  <c r="H148" i="7" s="1"/>
  <c r="U158" i="4"/>
  <c r="F158" i="7" s="1"/>
  <c r="U156" i="4"/>
  <c r="F156" i="7" s="1"/>
  <c r="U154" i="4"/>
  <c r="F154" i="7" s="1"/>
  <c r="U152" i="4"/>
  <c r="F152" i="7" s="1"/>
  <c r="U150" i="4"/>
  <c r="F150" i="7" s="1"/>
  <c r="U148" i="4"/>
  <c r="F148" i="7" s="1"/>
  <c r="U157" i="4"/>
  <c r="F157" i="7" s="1"/>
  <c r="U155" i="4"/>
  <c r="F155" i="7" s="1"/>
  <c r="U153" i="4"/>
  <c r="F153" i="7" s="1"/>
  <c r="U151" i="4"/>
  <c r="F151" i="7" s="1"/>
  <c r="U149" i="4"/>
  <c r="F149" i="7" s="1"/>
  <c r="U147" i="4"/>
  <c r="F147" i="7" s="1"/>
  <c r="V158" i="4"/>
  <c r="G158" i="7" s="1"/>
  <c r="V156" i="4"/>
  <c r="G156" i="7" s="1"/>
  <c r="V154" i="4"/>
  <c r="G154" i="7" s="1"/>
  <c r="V152" i="4"/>
  <c r="G152" i="7" s="1"/>
  <c r="V150" i="4"/>
  <c r="G150" i="7" s="1"/>
  <c r="V148" i="4"/>
  <c r="G148" i="7" s="1"/>
  <c r="V157" i="4"/>
  <c r="G157" i="7" s="1"/>
  <c r="V155" i="4"/>
  <c r="G155" i="7" s="1"/>
  <c r="V153" i="4"/>
  <c r="G153" i="7" s="1"/>
  <c r="V151" i="4"/>
  <c r="G151" i="7" s="1"/>
  <c r="V149" i="4"/>
  <c r="G149" i="7" s="1"/>
  <c r="V147" i="4"/>
  <c r="G147" i="7" s="1"/>
  <c r="Y158" i="4"/>
  <c r="J158" i="7" s="1"/>
  <c r="Y156" i="4"/>
  <c r="J156" i="7" s="1"/>
  <c r="Y154" i="4"/>
  <c r="J154" i="7" s="1"/>
  <c r="Y152" i="4"/>
  <c r="J152" i="7" s="1"/>
  <c r="Y150" i="4"/>
  <c r="J150" i="7" s="1"/>
  <c r="Y148" i="4"/>
  <c r="J148" i="7" s="1"/>
  <c r="Y157" i="4"/>
  <c r="J157" i="7" s="1"/>
  <c r="Y155" i="4"/>
  <c r="J155" i="7" s="1"/>
  <c r="Y153" i="4"/>
  <c r="J153" i="7" s="1"/>
  <c r="Y151" i="4"/>
  <c r="J151" i="7" s="1"/>
  <c r="Y149" i="4"/>
  <c r="J149" i="7" s="1"/>
  <c r="Y147" i="4"/>
  <c r="J147" i="7" s="1"/>
  <c r="X157" i="4"/>
  <c r="I157" i="7" s="1"/>
  <c r="X155" i="4"/>
  <c r="I155" i="7" s="1"/>
  <c r="X153" i="4"/>
  <c r="I153" i="7" s="1"/>
  <c r="X151" i="4"/>
  <c r="I151" i="7" s="1"/>
  <c r="X149" i="4"/>
  <c r="I149" i="7" s="1"/>
  <c r="X147" i="4"/>
  <c r="I147" i="7" s="1"/>
  <c r="X158" i="4"/>
  <c r="I158" i="7" s="1"/>
  <c r="X156" i="4"/>
  <c r="I156" i="7" s="1"/>
  <c r="X154" i="4"/>
  <c r="I154" i="7" s="1"/>
  <c r="X152" i="4"/>
  <c r="I152" i="7" s="1"/>
  <c r="X150" i="4"/>
  <c r="I150" i="7" s="1"/>
  <c r="X148" i="4"/>
  <c r="I148" i="7" s="1"/>
  <c r="W117" i="4"/>
  <c r="H117" i="7" s="1"/>
  <c r="W115" i="4"/>
  <c r="H115" i="7" s="1"/>
  <c r="W113" i="4"/>
  <c r="H113" i="7" s="1"/>
  <c r="W111" i="4"/>
  <c r="H111" i="7" s="1"/>
  <c r="W109" i="4"/>
  <c r="H109" i="7" s="1"/>
  <c r="W107" i="4"/>
  <c r="H107" i="7" s="1"/>
  <c r="W118" i="4"/>
  <c r="H118" i="7" s="1"/>
  <c r="W116" i="4"/>
  <c r="H116" i="7" s="1"/>
  <c r="W114" i="4"/>
  <c r="H114" i="7" s="1"/>
  <c r="W112" i="4"/>
  <c r="H112" i="7" s="1"/>
  <c r="W110" i="4"/>
  <c r="H110" i="7" s="1"/>
  <c r="W108" i="4"/>
  <c r="H108" i="7" s="1"/>
  <c r="U118" i="4"/>
  <c r="F118" i="7" s="1"/>
  <c r="U116" i="4"/>
  <c r="F116" i="7" s="1"/>
  <c r="U114" i="4"/>
  <c r="F114" i="7" s="1"/>
  <c r="U112" i="4"/>
  <c r="F112" i="7" s="1"/>
  <c r="U110" i="4"/>
  <c r="F110" i="7" s="1"/>
  <c r="U108" i="4"/>
  <c r="F108" i="7" s="1"/>
  <c r="U117" i="4"/>
  <c r="F117" i="7" s="1"/>
  <c r="U115" i="4"/>
  <c r="F115" i="7" s="1"/>
  <c r="U113" i="4"/>
  <c r="F113" i="7" s="1"/>
  <c r="U111" i="4"/>
  <c r="F111" i="7" s="1"/>
  <c r="U109" i="4"/>
  <c r="F109" i="7" s="1"/>
  <c r="U107" i="4"/>
  <c r="F107" i="7" s="1"/>
  <c r="V118" i="4"/>
  <c r="G118" i="7" s="1"/>
  <c r="V116" i="4"/>
  <c r="G116" i="7" s="1"/>
  <c r="V114" i="4"/>
  <c r="G114" i="7" s="1"/>
  <c r="V112" i="4"/>
  <c r="G112" i="7" s="1"/>
  <c r="V110" i="4"/>
  <c r="G110" i="7" s="1"/>
  <c r="V108" i="4"/>
  <c r="G108" i="7" s="1"/>
  <c r="V117" i="4"/>
  <c r="G117" i="7" s="1"/>
  <c r="V115" i="4"/>
  <c r="G115" i="7" s="1"/>
  <c r="V113" i="4"/>
  <c r="G113" i="7" s="1"/>
  <c r="V111" i="4"/>
  <c r="G111" i="7" s="1"/>
  <c r="V109" i="4"/>
  <c r="G109" i="7" s="1"/>
  <c r="V107" i="4"/>
  <c r="G107" i="7" s="1"/>
  <c r="Y118" i="4"/>
  <c r="J118" i="7" s="1"/>
  <c r="Y116" i="4"/>
  <c r="J116" i="7" s="1"/>
  <c r="Y114" i="4"/>
  <c r="J114" i="7" s="1"/>
  <c r="Y112" i="4"/>
  <c r="J112" i="7" s="1"/>
  <c r="Y110" i="4"/>
  <c r="J110" i="7" s="1"/>
  <c r="Y108" i="4"/>
  <c r="J108" i="7" s="1"/>
  <c r="Y117" i="4"/>
  <c r="J117" i="7" s="1"/>
  <c r="Y115" i="4"/>
  <c r="J115" i="7" s="1"/>
  <c r="Y113" i="4"/>
  <c r="J113" i="7" s="1"/>
  <c r="Y111" i="4"/>
  <c r="J111" i="7" s="1"/>
  <c r="Y109" i="4"/>
  <c r="J109" i="7" s="1"/>
  <c r="Y107" i="4"/>
  <c r="J107" i="7" s="1"/>
  <c r="X117" i="4"/>
  <c r="I117" i="7" s="1"/>
  <c r="X115" i="4"/>
  <c r="I115" i="7" s="1"/>
  <c r="X113" i="4"/>
  <c r="I113" i="7" s="1"/>
  <c r="X111" i="4"/>
  <c r="I111" i="7" s="1"/>
  <c r="X109" i="4"/>
  <c r="I109" i="7" s="1"/>
  <c r="X107" i="4"/>
  <c r="I107" i="7" s="1"/>
  <c r="X118" i="4"/>
  <c r="I118" i="7" s="1"/>
  <c r="X116" i="4"/>
  <c r="I116" i="7" s="1"/>
  <c r="X114" i="4"/>
  <c r="I114" i="7" s="1"/>
  <c r="X112" i="4"/>
  <c r="I112" i="7" s="1"/>
  <c r="X110" i="4"/>
  <c r="I110" i="7" s="1"/>
  <c r="X108" i="4"/>
  <c r="I108" i="7" s="1"/>
  <c r="U77" i="4"/>
  <c r="U75" i="4"/>
  <c r="U73" i="4"/>
  <c r="U71" i="4"/>
  <c r="U69" i="4"/>
  <c r="U67" i="4"/>
  <c r="U78" i="4"/>
  <c r="U76" i="4"/>
  <c r="U74" i="4"/>
  <c r="U72" i="4"/>
  <c r="U70" i="4"/>
  <c r="U68" i="4"/>
  <c r="W37" i="4"/>
  <c r="H37" i="7" s="1"/>
  <c r="W35" i="4"/>
  <c r="H35" i="7" s="1"/>
  <c r="W33" i="4"/>
  <c r="H33" i="7" s="1"/>
  <c r="W31" i="4"/>
  <c r="H31" i="7" s="1"/>
  <c r="W29" i="4"/>
  <c r="H29" i="7" s="1"/>
  <c r="W27" i="4"/>
  <c r="H27" i="7" s="1"/>
  <c r="W30" i="4"/>
  <c r="H30" i="7" s="1"/>
  <c r="W28" i="4"/>
  <c r="H28" i="7" s="1"/>
  <c r="W38" i="4"/>
  <c r="H38" i="7" s="1"/>
  <c r="W36" i="4"/>
  <c r="H36" i="7" s="1"/>
  <c r="W34" i="4"/>
  <c r="H34" i="7" s="1"/>
  <c r="W32" i="4"/>
  <c r="H32" i="7" s="1"/>
  <c r="V38" i="4"/>
  <c r="G38" i="7" s="1"/>
  <c r="V36" i="4"/>
  <c r="G36" i="7" s="1"/>
  <c r="V34" i="4"/>
  <c r="G34" i="7" s="1"/>
  <c r="V32" i="4"/>
  <c r="G32" i="7" s="1"/>
  <c r="V30" i="4"/>
  <c r="G30" i="7" s="1"/>
  <c r="V28" i="4"/>
  <c r="G28" i="7" s="1"/>
  <c r="V37" i="4"/>
  <c r="G37" i="7" s="1"/>
  <c r="V35" i="4"/>
  <c r="G35" i="7" s="1"/>
  <c r="V33" i="4"/>
  <c r="G33" i="7" s="1"/>
  <c r="V31" i="4"/>
  <c r="G31" i="7" s="1"/>
  <c r="V29" i="4"/>
  <c r="G29" i="7" s="1"/>
  <c r="V27" i="4"/>
  <c r="G27" i="7" s="1"/>
  <c r="U38" i="4"/>
  <c r="F38" i="7" s="1"/>
  <c r="U36" i="4"/>
  <c r="F36" i="7" s="1"/>
  <c r="U34" i="4"/>
  <c r="F34" i="7" s="1"/>
  <c r="U32" i="4"/>
  <c r="F32" i="7" s="1"/>
  <c r="U30" i="4"/>
  <c r="F30" i="7" s="1"/>
  <c r="U28" i="4"/>
  <c r="F28" i="7" s="1"/>
  <c r="U31" i="4"/>
  <c r="F31" i="7" s="1"/>
  <c r="U29" i="4"/>
  <c r="F29" i="7" s="1"/>
  <c r="U27" i="4"/>
  <c r="F27" i="7" s="1"/>
  <c r="U37" i="4"/>
  <c r="F37" i="7" s="1"/>
  <c r="U35" i="4"/>
  <c r="F35" i="7" s="1"/>
  <c r="U33" i="4"/>
  <c r="F33" i="7" s="1"/>
  <c r="Y38" i="4"/>
  <c r="J38" i="7" s="1"/>
  <c r="Y36" i="4"/>
  <c r="J36" i="7" s="1"/>
  <c r="Y34" i="4"/>
  <c r="J34" i="7" s="1"/>
  <c r="Y32" i="4"/>
  <c r="J32" i="7" s="1"/>
  <c r="Y30" i="4"/>
  <c r="J30" i="7" s="1"/>
  <c r="Y28" i="4"/>
  <c r="J28" i="7" s="1"/>
  <c r="Y37" i="4"/>
  <c r="J37" i="7" s="1"/>
  <c r="Y35" i="4"/>
  <c r="J35" i="7" s="1"/>
  <c r="Y33" i="4"/>
  <c r="J33" i="7" s="1"/>
  <c r="Y31" i="4"/>
  <c r="J31" i="7" s="1"/>
  <c r="Y29" i="4"/>
  <c r="J29" i="7" s="1"/>
  <c r="Y27" i="4"/>
  <c r="J27" i="7" s="1"/>
  <c r="X37" i="4"/>
  <c r="I37" i="7" s="1"/>
  <c r="X35" i="4"/>
  <c r="I35" i="7" s="1"/>
  <c r="X33" i="4"/>
  <c r="I33" i="7" s="1"/>
  <c r="X31" i="4"/>
  <c r="I31" i="7" s="1"/>
  <c r="X29" i="4"/>
  <c r="I29" i="7" s="1"/>
  <c r="X27" i="4"/>
  <c r="I27" i="7" s="1"/>
  <c r="X38" i="4"/>
  <c r="I38" i="7" s="1"/>
  <c r="X36" i="4"/>
  <c r="I36" i="7" s="1"/>
  <c r="X34" i="4"/>
  <c r="I34" i="7" s="1"/>
  <c r="X32" i="4"/>
  <c r="I32" i="7" s="1"/>
  <c r="X30" i="4"/>
  <c r="I30" i="7" s="1"/>
  <c r="X28" i="4"/>
  <c r="I28" i="7" s="1"/>
  <c r="Q78" i="6"/>
  <c r="C118" i="7" s="1"/>
  <c r="Q77" i="6"/>
  <c r="C117" i="7" s="1"/>
  <c r="Q76" i="6"/>
  <c r="C116" i="7" s="1"/>
  <c r="Q75" i="6"/>
  <c r="C115" i="7" s="1"/>
  <c r="Q74" i="6"/>
  <c r="C114" i="7" s="1"/>
  <c r="Q73" i="6"/>
  <c r="C113" i="7" s="1"/>
  <c r="Q72" i="6"/>
  <c r="C112" i="7" s="1"/>
  <c r="Q71" i="6"/>
  <c r="C111" i="7" s="1"/>
  <c r="Q70" i="6"/>
  <c r="C110" i="7" s="1"/>
  <c r="Q69" i="6"/>
  <c r="C109" i="7" s="1"/>
  <c r="Q68" i="6"/>
  <c r="C108" i="7" s="1"/>
  <c r="Q67" i="6"/>
  <c r="C107" i="7" s="1"/>
  <c r="S78" i="6"/>
  <c r="E118" i="7" s="1"/>
  <c r="S77" i="6"/>
  <c r="E117" i="7" s="1"/>
  <c r="S76" i="6"/>
  <c r="E116" i="7" s="1"/>
  <c r="S75" i="6"/>
  <c r="E115" i="7" s="1"/>
  <c r="S74" i="6"/>
  <c r="E114" i="7" s="1"/>
  <c r="S73" i="6"/>
  <c r="E113" i="7" s="1"/>
  <c r="S72" i="6"/>
  <c r="E112" i="7" s="1"/>
  <c r="S71" i="6"/>
  <c r="E111" i="7" s="1"/>
  <c r="S70" i="6"/>
  <c r="E110" i="7" s="1"/>
  <c r="S69" i="6"/>
  <c r="E109" i="7" s="1"/>
  <c r="S68" i="6"/>
  <c r="E108" i="7" s="1"/>
  <c r="S67" i="6"/>
  <c r="E107" i="7" s="1"/>
  <c r="R78" i="6"/>
  <c r="D118" i="7" s="1"/>
  <c r="R77" i="6"/>
  <c r="D117" i="7" s="1"/>
  <c r="R76" i="6"/>
  <c r="D116" i="7" s="1"/>
  <c r="R75" i="6"/>
  <c r="D115" i="7" s="1"/>
  <c r="R74" i="6"/>
  <c r="D114" i="7" s="1"/>
  <c r="R73" i="6"/>
  <c r="D113" i="7" s="1"/>
  <c r="R72" i="6"/>
  <c r="D112" i="7" s="1"/>
  <c r="R71" i="6"/>
  <c r="D111" i="7" s="1"/>
  <c r="R70" i="6"/>
  <c r="D110" i="7" s="1"/>
  <c r="R69" i="6"/>
  <c r="D109" i="7" s="1"/>
  <c r="R68" i="6"/>
  <c r="D108" i="7" s="1"/>
  <c r="R67" i="6"/>
  <c r="D107" i="7" s="1"/>
  <c r="Q32" i="6"/>
  <c r="C32" i="7" s="1"/>
  <c r="Q31" i="6"/>
  <c r="C31" i="7" s="1"/>
  <c r="Q30" i="6"/>
  <c r="C30" i="7" s="1"/>
  <c r="Q29" i="6"/>
  <c r="C29" i="7" s="1"/>
  <c r="Q28" i="6"/>
  <c r="C28" i="7" s="1"/>
  <c r="Q27" i="6"/>
  <c r="C27" i="7" s="1"/>
  <c r="Q38" i="6"/>
  <c r="C38" i="7" s="1"/>
  <c r="Q37" i="6"/>
  <c r="C37" i="7" s="1"/>
  <c r="Q36" i="6"/>
  <c r="C36" i="7" s="1"/>
  <c r="Q35" i="6"/>
  <c r="C35" i="7" s="1"/>
  <c r="Q34" i="6"/>
  <c r="C34" i="7" s="1"/>
  <c r="Q33" i="6"/>
  <c r="C33" i="7" s="1"/>
  <c r="R32" i="6"/>
  <c r="D32" i="7" s="1"/>
  <c r="R31" i="6"/>
  <c r="D31" i="7" s="1"/>
  <c r="R30" i="6"/>
  <c r="D30" i="7" s="1"/>
  <c r="R29" i="6"/>
  <c r="D29" i="7" s="1"/>
  <c r="R28" i="6"/>
  <c r="D28" i="7" s="1"/>
  <c r="R27" i="6"/>
  <c r="D27" i="7" s="1"/>
  <c r="R38" i="6"/>
  <c r="D38" i="7" s="1"/>
  <c r="R37" i="6"/>
  <c r="D37" i="7" s="1"/>
  <c r="R36" i="6"/>
  <c r="D36" i="7" s="1"/>
  <c r="R35" i="6"/>
  <c r="D35" i="7" s="1"/>
  <c r="R34" i="6"/>
  <c r="D34" i="7" s="1"/>
  <c r="R33" i="6"/>
  <c r="D33" i="7" s="1"/>
  <c r="S32" i="6"/>
  <c r="E32" i="7" s="1"/>
  <c r="S31" i="6"/>
  <c r="E31" i="7" s="1"/>
  <c r="S30" i="6"/>
  <c r="E30" i="7" s="1"/>
  <c r="S29" i="6"/>
  <c r="E29" i="7" s="1"/>
  <c r="S28" i="6"/>
  <c r="E28" i="7" s="1"/>
  <c r="S27" i="6"/>
  <c r="E27" i="7" s="1"/>
  <c r="S38" i="6"/>
  <c r="E38" i="7" s="1"/>
  <c r="S37" i="6"/>
  <c r="E37" i="7" s="1"/>
  <c r="S36" i="6"/>
  <c r="E36" i="7" s="1"/>
  <c r="S35" i="6"/>
  <c r="E35" i="7" s="1"/>
  <c r="S34" i="6"/>
  <c r="E34" i="7" s="1"/>
  <c r="S33" i="6"/>
  <c r="E33" i="7" s="1"/>
  <c r="T56" i="11"/>
  <c r="T40" i="11"/>
  <c r="T8" i="10" s="1"/>
  <c r="C15" i="10"/>
  <c r="T8" i="11"/>
  <c r="T4" i="10" s="1"/>
  <c r="Q31" i="11"/>
  <c r="T62" i="11"/>
  <c r="T47" i="11" s="1"/>
  <c r="C17" i="10"/>
  <c r="Q47" i="11"/>
  <c r="U6" i="4"/>
  <c r="U10" i="4"/>
  <c r="U14" i="4"/>
  <c r="U7" i="4"/>
  <c r="U11" i="4"/>
  <c r="U15" i="4"/>
  <c r="U4" i="4"/>
  <c r="F4" i="7" s="1"/>
  <c r="U8" i="4"/>
  <c r="F8" i="7" s="1"/>
  <c r="U12" i="4"/>
  <c r="F12" i="7" s="1"/>
  <c r="U17" i="4"/>
  <c r="F17" i="7" s="1"/>
  <c r="U21" i="4"/>
  <c r="F21" i="7" s="1"/>
  <c r="U25" i="4"/>
  <c r="F25" i="7" s="1"/>
  <c r="L14" i="4"/>
  <c r="L10" i="4"/>
  <c r="L6" i="4"/>
  <c r="L13" i="4"/>
  <c r="L9" i="4"/>
  <c r="U5" i="4"/>
  <c r="F5" i="7" s="1"/>
  <c r="U18" i="4"/>
  <c r="U22" i="4"/>
  <c r="U26" i="4"/>
  <c r="L5" i="4"/>
  <c r="E5" i="14" s="1"/>
  <c r="U9" i="4"/>
  <c r="F9" i="7" s="1"/>
  <c r="U19" i="4"/>
  <c r="U23" i="4"/>
  <c r="U3" i="4"/>
  <c r="U20" i="4"/>
  <c r="F20" i="7" s="1"/>
  <c r="L7" i="4"/>
  <c r="L8" i="4"/>
  <c r="L3" i="4"/>
  <c r="U16" i="4"/>
  <c r="F16" i="7" s="1"/>
  <c r="L12" i="4"/>
  <c r="U13" i="4"/>
  <c r="F13" i="7" s="1"/>
  <c r="U24" i="4"/>
  <c r="L11" i="4"/>
  <c r="L4" i="4"/>
  <c r="V5" i="4"/>
  <c r="G5" i="7" s="1"/>
  <c r="V9" i="4"/>
  <c r="G9" i="7" s="1"/>
  <c r="V13" i="4"/>
  <c r="G13" i="7" s="1"/>
  <c r="V6" i="4"/>
  <c r="G6" i="7" s="1"/>
  <c r="V10" i="4"/>
  <c r="G10" i="7" s="1"/>
  <c r="V14" i="4"/>
  <c r="G14" i="7" s="1"/>
  <c r="G4" i="9" s="1"/>
  <c r="V7" i="4"/>
  <c r="G7" i="7" s="1"/>
  <c r="V4" i="4"/>
  <c r="G4" i="7" s="1"/>
  <c r="V15" i="4"/>
  <c r="G15" i="7" s="1"/>
  <c r="V16" i="4"/>
  <c r="G16" i="7" s="1"/>
  <c r="V20" i="4"/>
  <c r="G20" i="7" s="1"/>
  <c r="V24" i="4"/>
  <c r="G24" i="7" s="1"/>
  <c r="M13" i="4"/>
  <c r="M9" i="4"/>
  <c r="M5" i="4"/>
  <c r="F5" i="14" s="1"/>
  <c r="M4" i="4"/>
  <c r="V8" i="4"/>
  <c r="G8" i="7" s="1"/>
  <c r="V12" i="4"/>
  <c r="G12" i="7" s="1"/>
  <c r="V17" i="4"/>
  <c r="G17" i="7" s="1"/>
  <c r="V21" i="4"/>
  <c r="G21" i="7" s="1"/>
  <c r="V25" i="4"/>
  <c r="G25" i="7" s="1"/>
  <c r="V3" i="4"/>
  <c r="G3" i="7" s="1"/>
  <c r="M12" i="4"/>
  <c r="M8" i="4"/>
  <c r="F5" i="12" s="1"/>
  <c r="V11" i="4"/>
  <c r="G11" i="7" s="1"/>
  <c r="V18" i="4"/>
  <c r="G18" i="7" s="1"/>
  <c r="V22" i="4"/>
  <c r="G22" i="7" s="1"/>
  <c r="V26" i="4"/>
  <c r="G26" i="7" s="1"/>
  <c r="V23" i="4"/>
  <c r="G23" i="7" s="1"/>
  <c r="M10" i="4"/>
  <c r="M11" i="4"/>
  <c r="M3" i="4"/>
  <c r="M14" i="4"/>
  <c r="M6" i="4"/>
  <c r="V19" i="4"/>
  <c r="G19" i="7" s="1"/>
  <c r="M7" i="4"/>
  <c r="D43" i="4"/>
  <c r="U46" i="4"/>
  <c r="U50" i="4"/>
  <c r="U54" i="4"/>
  <c r="U58" i="4"/>
  <c r="U62" i="4"/>
  <c r="U66" i="4"/>
  <c r="U47" i="4"/>
  <c r="U51" i="4"/>
  <c r="U55" i="4"/>
  <c r="U59" i="4"/>
  <c r="U63" i="4"/>
  <c r="U43" i="4"/>
  <c r="U44" i="4"/>
  <c r="U48" i="4"/>
  <c r="U52" i="4"/>
  <c r="U56" i="4"/>
  <c r="U60" i="4"/>
  <c r="U64" i="4"/>
  <c r="U53" i="4"/>
  <c r="L54" i="4"/>
  <c r="L50" i="4"/>
  <c r="M50" i="4" s="1"/>
  <c r="L46" i="4"/>
  <c r="M46" i="4" s="1"/>
  <c r="U57" i="4"/>
  <c r="L53" i="4"/>
  <c r="M53" i="4" s="1"/>
  <c r="L49" i="4"/>
  <c r="M49" i="4" s="1"/>
  <c r="L45" i="4"/>
  <c r="U45" i="4"/>
  <c r="U61" i="4"/>
  <c r="L52" i="4"/>
  <c r="M52" i="4" s="1"/>
  <c r="L48" i="4"/>
  <c r="L44" i="4"/>
  <c r="M44" i="4" s="1"/>
  <c r="U49" i="4"/>
  <c r="L51" i="4"/>
  <c r="L47" i="4"/>
  <c r="M47" i="4" s="1"/>
  <c r="L43" i="4"/>
  <c r="M43" i="4" s="1"/>
  <c r="U65" i="4"/>
  <c r="U86" i="4"/>
  <c r="F86" i="7" s="1"/>
  <c r="U90" i="4"/>
  <c r="F90" i="7" s="1"/>
  <c r="U94" i="4"/>
  <c r="F94" i="7" s="1"/>
  <c r="U98" i="4"/>
  <c r="F98" i="7" s="1"/>
  <c r="U102" i="4"/>
  <c r="F102" i="7" s="1"/>
  <c r="U106" i="4"/>
  <c r="F106" i="7" s="1"/>
  <c r="U87" i="4"/>
  <c r="U91" i="4"/>
  <c r="U95" i="4"/>
  <c r="U99" i="4"/>
  <c r="U103" i="4"/>
  <c r="U83" i="4"/>
  <c r="F83" i="7" s="1"/>
  <c r="U84" i="4"/>
  <c r="F84" i="7" s="1"/>
  <c r="U88" i="4"/>
  <c r="F88" i="7" s="1"/>
  <c r="U92" i="4"/>
  <c r="F92" i="7" s="1"/>
  <c r="U96" i="4"/>
  <c r="F96" i="7" s="1"/>
  <c r="U100" i="4"/>
  <c r="F100" i="7" s="1"/>
  <c r="U104" i="4"/>
  <c r="F104" i="7" s="1"/>
  <c r="U97" i="4"/>
  <c r="F97" i="7" s="1"/>
  <c r="L94" i="4"/>
  <c r="L90" i="4"/>
  <c r="L86" i="4"/>
  <c r="U85" i="4"/>
  <c r="F85" i="7" s="1"/>
  <c r="U101" i="4"/>
  <c r="F101" i="7" s="1"/>
  <c r="L93" i="4"/>
  <c r="L89" i="4"/>
  <c r="L85" i="4"/>
  <c r="E37" i="14" s="1"/>
  <c r="U89" i="4"/>
  <c r="F89" i="7" s="1"/>
  <c r="U105" i="4"/>
  <c r="F105" i="7" s="1"/>
  <c r="L92" i="4"/>
  <c r="L88" i="4"/>
  <c r="E21" i="12" s="1"/>
  <c r="L84" i="4"/>
  <c r="L83" i="4"/>
  <c r="L91" i="4"/>
  <c r="U93" i="4"/>
  <c r="F93" i="7" s="1"/>
  <c r="L87" i="4"/>
  <c r="V85" i="4"/>
  <c r="G85" i="7" s="1"/>
  <c r="V89" i="4"/>
  <c r="G89" i="7" s="1"/>
  <c r="V93" i="4"/>
  <c r="G93" i="7" s="1"/>
  <c r="V97" i="4"/>
  <c r="G97" i="7" s="1"/>
  <c r="V101" i="4"/>
  <c r="G101" i="7" s="1"/>
  <c r="V105" i="4"/>
  <c r="G105" i="7" s="1"/>
  <c r="V83" i="4"/>
  <c r="V86" i="4"/>
  <c r="V90" i="4"/>
  <c r="V94" i="4"/>
  <c r="V98" i="4"/>
  <c r="V102" i="4"/>
  <c r="V106" i="4"/>
  <c r="V87" i="4"/>
  <c r="G87" i="7" s="1"/>
  <c r="V91" i="4"/>
  <c r="G91" i="7" s="1"/>
  <c r="V95" i="4"/>
  <c r="G95" i="7" s="1"/>
  <c r="V99" i="4"/>
  <c r="G99" i="7" s="1"/>
  <c r="V103" i="4"/>
  <c r="G103" i="7" s="1"/>
  <c r="V84" i="4"/>
  <c r="G84" i="7" s="1"/>
  <c r="V100" i="4"/>
  <c r="G100" i="7" s="1"/>
  <c r="M93" i="4"/>
  <c r="M89" i="4"/>
  <c r="M85" i="4"/>
  <c r="F37" i="14" s="1"/>
  <c r="V88" i="4"/>
  <c r="G88" i="7" s="1"/>
  <c r="V104" i="4"/>
  <c r="G104" i="7" s="1"/>
  <c r="M92" i="4"/>
  <c r="M88" i="4"/>
  <c r="M84" i="4"/>
  <c r="V92" i="4"/>
  <c r="G92" i="7" s="1"/>
  <c r="M91" i="4"/>
  <c r="M87" i="4"/>
  <c r="M83" i="4"/>
  <c r="V96" i="4"/>
  <c r="G96" i="7" s="1"/>
  <c r="M86" i="4"/>
  <c r="M94" i="4"/>
  <c r="M90" i="4"/>
  <c r="U126" i="4"/>
  <c r="F126" i="7" s="1"/>
  <c r="U130" i="4"/>
  <c r="F130" i="7" s="1"/>
  <c r="U134" i="4"/>
  <c r="F134" i="7" s="1"/>
  <c r="U138" i="4"/>
  <c r="F138" i="7" s="1"/>
  <c r="U142" i="4"/>
  <c r="F142" i="7" s="1"/>
  <c r="U146" i="4"/>
  <c r="F146" i="7" s="1"/>
  <c r="U127" i="4"/>
  <c r="U131" i="4"/>
  <c r="U135" i="4"/>
  <c r="U139" i="4"/>
  <c r="U143" i="4"/>
  <c r="U123" i="4"/>
  <c r="F123" i="7" s="1"/>
  <c r="U124" i="4"/>
  <c r="F124" i="7" s="1"/>
  <c r="U128" i="4"/>
  <c r="F128" i="7" s="1"/>
  <c r="U132" i="4"/>
  <c r="F132" i="7" s="1"/>
  <c r="U136" i="4"/>
  <c r="F136" i="7" s="1"/>
  <c r="U140" i="4"/>
  <c r="F140" i="7" s="1"/>
  <c r="U144" i="4"/>
  <c r="F144" i="7" s="1"/>
  <c r="U129" i="4"/>
  <c r="F129" i="7" s="1"/>
  <c r="U145" i="4"/>
  <c r="F145" i="7" s="1"/>
  <c r="L134" i="4"/>
  <c r="L130" i="4"/>
  <c r="L126" i="4"/>
  <c r="U133" i="4"/>
  <c r="F133" i="7" s="1"/>
  <c r="L133" i="4"/>
  <c r="L129" i="4"/>
  <c r="L125" i="4"/>
  <c r="E53" i="14" s="1"/>
  <c r="U137" i="4"/>
  <c r="F137" i="7" s="1"/>
  <c r="L132" i="4"/>
  <c r="L128" i="4"/>
  <c r="E29" i="12" s="1"/>
  <c r="L124" i="4"/>
  <c r="L131" i="4"/>
  <c r="L127" i="4"/>
  <c r="U141" i="4"/>
  <c r="F141" i="7" s="1"/>
  <c r="L123" i="4"/>
  <c r="U125" i="4"/>
  <c r="F125" i="7" s="1"/>
  <c r="V125" i="4"/>
  <c r="G125" i="7" s="1"/>
  <c r="V129" i="4"/>
  <c r="G129" i="7" s="1"/>
  <c r="V133" i="4"/>
  <c r="G133" i="7" s="1"/>
  <c r="V137" i="4"/>
  <c r="G137" i="7" s="1"/>
  <c r="V141" i="4"/>
  <c r="G141" i="7" s="1"/>
  <c r="V145" i="4"/>
  <c r="G145" i="7" s="1"/>
  <c r="V123" i="4"/>
  <c r="V126" i="4"/>
  <c r="V130" i="4"/>
  <c r="V134" i="4"/>
  <c r="V138" i="4"/>
  <c r="V142" i="4"/>
  <c r="V146" i="4"/>
  <c r="V127" i="4"/>
  <c r="G127" i="7" s="1"/>
  <c r="V131" i="4"/>
  <c r="G131" i="7" s="1"/>
  <c r="V135" i="4"/>
  <c r="G135" i="7" s="1"/>
  <c r="V139" i="4"/>
  <c r="G139" i="7" s="1"/>
  <c r="V143" i="4"/>
  <c r="G143" i="7" s="1"/>
  <c r="V132" i="4"/>
  <c r="G132" i="7" s="1"/>
  <c r="M133" i="4"/>
  <c r="M129" i="4"/>
  <c r="M125" i="4"/>
  <c r="F53" i="14" s="1"/>
  <c r="V136" i="4"/>
  <c r="M132" i="4"/>
  <c r="M128" i="4"/>
  <c r="M124" i="4"/>
  <c r="V124" i="4"/>
  <c r="G124" i="7" s="1"/>
  <c r="V140" i="4"/>
  <c r="M131" i="4"/>
  <c r="M127" i="4"/>
  <c r="M123" i="4"/>
  <c r="M134" i="4"/>
  <c r="V128" i="4"/>
  <c r="G128" i="7" s="1"/>
  <c r="M126" i="4"/>
  <c r="V144" i="4"/>
  <c r="M130" i="4"/>
  <c r="Y6" i="4"/>
  <c r="J6" i="7" s="1"/>
  <c r="Y10" i="4"/>
  <c r="J10" i="7" s="1"/>
  <c r="Y14" i="4"/>
  <c r="J14" i="7" s="1"/>
  <c r="J4" i="9" s="1"/>
  <c r="Y7" i="4"/>
  <c r="J7" i="7" s="1"/>
  <c r="Y11" i="4"/>
  <c r="J11" i="7" s="1"/>
  <c r="Y4" i="4"/>
  <c r="J4" i="7" s="1"/>
  <c r="Y8" i="4"/>
  <c r="J8" i="7" s="1"/>
  <c r="Y17" i="4"/>
  <c r="J17" i="7" s="1"/>
  <c r="Y21" i="4"/>
  <c r="J21" i="7" s="1"/>
  <c r="Y25" i="4"/>
  <c r="J25" i="7" s="1"/>
  <c r="P14" i="4"/>
  <c r="P10" i="4"/>
  <c r="P6" i="4"/>
  <c r="P5" i="4"/>
  <c r="I5" i="14" s="1"/>
  <c r="Y13" i="4"/>
  <c r="J13" i="7" s="1"/>
  <c r="Y18" i="4"/>
  <c r="J18" i="7" s="1"/>
  <c r="Y22" i="4"/>
  <c r="J22" i="7" s="1"/>
  <c r="Y26" i="4"/>
  <c r="J26" i="7" s="1"/>
  <c r="P13" i="4"/>
  <c r="P9" i="4"/>
  <c r="Y5" i="4"/>
  <c r="J5" i="7" s="1"/>
  <c r="Y12" i="4"/>
  <c r="J12" i="7" s="1"/>
  <c r="Y15" i="4"/>
  <c r="J15" i="7" s="1"/>
  <c r="Y19" i="4"/>
  <c r="J19" i="7" s="1"/>
  <c r="Y23" i="4"/>
  <c r="J23" i="7" s="1"/>
  <c r="Y3" i="4"/>
  <c r="J3" i="7" s="1"/>
  <c r="Y16" i="4"/>
  <c r="J16" i="7" s="1"/>
  <c r="P11" i="4"/>
  <c r="P3" i="4"/>
  <c r="P12" i="4"/>
  <c r="P4" i="4"/>
  <c r="Y24" i="4"/>
  <c r="J24" i="7" s="1"/>
  <c r="P7" i="4"/>
  <c r="Y9" i="4"/>
  <c r="J9" i="7" s="1"/>
  <c r="P8" i="4"/>
  <c r="Y20" i="4"/>
  <c r="J20" i="7" s="1"/>
  <c r="Y86" i="4"/>
  <c r="J86" i="7" s="1"/>
  <c r="Y90" i="4"/>
  <c r="J90" i="7" s="1"/>
  <c r="Y94" i="4"/>
  <c r="J94" i="7" s="1"/>
  <c r="J8" i="9" s="1"/>
  <c r="Y98" i="4"/>
  <c r="J98" i="7" s="1"/>
  <c r="Y102" i="4"/>
  <c r="J102" i="7" s="1"/>
  <c r="Y106" i="4"/>
  <c r="J106" i="7" s="1"/>
  <c r="Y87" i="4"/>
  <c r="J87" i="7" s="1"/>
  <c r="Y91" i="4"/>
  <c r="J91" i="7" s="1"/>
  <c r="Y95" i="4"/>
  <c r="J95" i="7" s="1"/>
  <c r="Y99" i="4"/>
  <c r="J99" i="7" s="1"/>
  <c r="Y103" i="4"/>
  <c r="J103" i="7" s="1"/>
  <c r="Y83" i="4"/>
  <c r="J83" i="7" s="1"/>
  <c r="Y84" i="4"/>
  <c r="J84" i="7" s="1"/>
  <c r="Y88" i="4"/>
  <c r="J88" i="7" s="1"/>
  <c r="Y92" i="4"/>
  <c r="J92" i="7" s="1"/>
  <c r="Y96" i="4"/>
  <c r="J96" i="7" s="1"/>
  <c r="Y100" i="4"/>
  <c r="J100" i="7" s="1"/>
  <c r="Y104" i="4"/>
  <c r="J104" i="7" s="1"/>
  <c r="Y93" i="4"/>
  <c r="J93" i="7" s="1"/>
  <c r="P94" i="4"/>
  <c r="P90" i="4"/>
  <c r="P86" i="4"/>
  <c r="Y97" i="4"/>
  <c r="J97" i="7" s="1"/>
  <c r="P93" i="4"/>
  <c r="P89" i="4"/>
  <c r="P85" i="4"/>
  <c r="I37" i="14" s="1"/>
  <c r="Y85" i="4"/>
  <c r="J85" i="7" s="1"/>
  <c r="Y101" i="4"/>
  <c r="J101" i="7" s="1"/>
  <c r="P92" i="4"/>
  <c r="P88" i="4"/>
  <c r="I21" i="12" s="1"/>
  <c r="P84" i="4"/>
  <c r="P91" i="4"/>
  <c r="P87" i="4"/>
  <c r="Y105" i="4"/>
  <c r="J105" i="7" s="1"/>
  <c r="Y89" i="4"/>
  <c r="J89" i="7" s="1"/>
  <c r="P83" i="4"/>
  <c r="Y126" i="4"/>
  <c r="J126" i="7" s="1"/>
  <c r="Y130" i="4"/>
  <c r="J130" i="7" s="1"/>
  <c r="Y134" i="4"/>
  <c r="J134" i="7" s="1"/>
  <c r="J10" i="9" s="1"/>
  <c r="Y138" i="4"/>
  <c r="J138" i="7" s="1"/>
  <c r="Y142" i="4"/>
  <c r="J142" i="7" s="1"/>
  <c r="Y146" i="4"/>
  <c r="J146" i="7" s="1"/>
  <c r="Y127" i="4"/>
  <c r="J127" i="7" s="1"/>
  <c r="Y131" i="4"/>
  <c r="J131" i="7" s="1"/>
  <c r="Y135" i="4"/>
  <c r="J135" i="7" s="1"/>
  <c r="Y139" i="4"/>
  <c r="J139" i="7" s="1"/>
  <c r="Y143" i="4"/>
  <c r="J143" i="7" s="1"/>
  <c r="Y123" i="4"/>
  <c r="J123" i="7" s="1"/>
  <c r="Y124" i="4"/>
  <c r="J124" i="7" s="1"/>
  <c r="Y128" i="4"/>
  <c r="J128" i="7" s="1"/>
  <c r="Y132" i="4"/>
  <c r="J132" i="7" s="1"/>
  <c r="Y136" i="4"/>
  <c r="J136" i="7" s="1"/>
  <c r="Y140" i="4"/>
  <c r="J140" i="7" s="1"/>
  <c r="Y144" i="4"/>
  <c r="J144" i="7" s="1"/>
  <c r="Y125" i="4"/>
  <c r="J125" i="7" s="1"/>
  <c r="Y141" i="4"/>
  <c r="J141" i="7" s="1"/>
  <c r="P134" i="4"/>
  <c r="P130" i="4"/>
  <c r="P126" i="4"/>
  <c r="Y129" i="4"/>
  <c r="J129" i="7" s="1"/>
  <c r="Y145" i="4"/>
  <c r="J145" i="7" s="1"/>
  <c r="P133" i="4"/>
  <c r="P129" i="4"/>
  <c r="P125" i="4"/>
  <c r="I53" i="14" s="1"/>
  <c r="Y133" i="4"/>
  <c r="J133" i="7" s="1"/>
  <c r="P132" i="4"/>
  <c r="P128" i="4"/>
  <c r="I29" i="12" s="1"/>
  <c r="P124" i="4"/>
  <c r="P127" i="4"/>
  <c r="P123" i="4"/>
  <c r="Y137" i="4"/>
  <c r="J137" i="7" s="1"/>
  <c r="P131" i="4"/>
  <c r="R17" i="10"/>
  <c r="X7" i="4"/>
  <c r="I7" i="7" s="1"/>
  <c r="X11" i="4"/>
  <c r="I11" i="7" s="1"/>
  <c r="X15" i="4"/>
  <c r="I15" i="7" s="1"/>
  <c r="X4" i="4"/>
  <c r="X8" i="4"/>
  <c r="X12" i="4"/>
  <c r="X5" i="4"/>
  <c r="I5" i="7" s="1"/>
  <c r="X9" i="4"/>
  <c r="I9" i="7" s="1"/>
  <c r="X13" i="4"/>
  <c r="I13" i="7" s="1"/>
  <c r="X18" i="4"/>
  <c r="I18" i="7" s="1"/>
  <c r="X22" i="4"/>
  <c r="I22" i="7" s="1"/>
  <c r="X26" i="4"/>
  <c r="I26" i="7" s="1"/>
  <c r="O11" i="4"/>
  <c r="O7" i="4"/>
  <c r="O3" i="4"/>
  <c r="O10" i="4"/>
  <c r="X10" i="4"/>
  <c r="I10" i="7" s="1"/>
  <c r="X19" i="4"/>
  <c r="I19" i="7" s="1"/>
  <c r="X23" i="4"/>
  <c r="I23" i="7" s="1"/>
  <c r="O14" i="4"/>
  <c r="O6" i="4"/>
  <c r="X16" i="4"/>
  <c r="X20" i="4"/>
  <c r="X24" i="4"/>
  <c r="I24" i="7" s="1"/>
  <c r="O8" i="4"/>
  <c r="O9" i="4"/>
  <c r="X14" i="4"/>
  <c r="I14" i="7" s="1"/>
  <c r="I4" i="9" s="1"/>
  <c r="O12" i="4"/>
  <c r="O4" i="4"/>
  <c r="O5" i="4"/>
  <c r="H5" i="14" s="1"/>
  <c r="X17" i="4"/>
  <c r="I17" i="7" s="1"/>
  <c r="X3" i="4"/>
  <c r="I3" i="7" s="1"/>
  <c r="X6" i="4"/>
  <c r="I6" i="7" s="1"/>
  <c r="X21" i="4"/>
  <c r="I21" i="7" s="1"/>
  <c r="X25" i="4"/>
  <c r="I25" i="7" s="1"/>
  <c r="O13" i="4"/>
  <c r="X87" i="4"/>
  <c r="I87" i="7" s="1"/>
  <c r="X91" i="4"/>
  <c r="I91" i="7" s="1"/>
  <c r="X95" i="4"/>
  <c r="I95" i="7" s="1"/>
  <c r="X99" i="4"/>
  <c r="I99" i="7" s="1"/>
  <c r="X103" i="4"/>
  <c r="I103" i="7" s="1"/>
  <c r="X84" i="4"/>
  <c r="X88" i="4"/>
  <c r="X92" i="4"/>
  <c r="X96" i="4"/>
  <c r="X100" i="4"/>
  <c r="X104" i="4"/>
  <c r="X85" i="4"/>
  <c r="I85" i="7" s="1"/>
  <c r="X89" i="4"/>
  <c r="I89" i="7" s="1"/>
  <c r="X93" i="4"/>
  <c r="I93" i="7" s="1"/>
  <c r="X97" i="4"/>
  <c r="I97" i="7" s="1"/>
  <c r="X101" i="4"/>
  <c r="I101" i="7" s="1"/>
  <c r="X105" i="4"/>
  <c r="I105" i="7" s="1"/>
  <c r="X83" i="4"/>
  <c r="I83" i="7" s="1"/>
  <c r="X90" i="4"/>
  <c r="I90" i="7" s="1"/>
  <c r="X106" i="4"/>
  <c r="I106" i="7" s="1"/>
  <c r="O91" i="4"/>
  <c r="O87" i="4"/>
  <c r="O83" i="4"/>
  <c r="X94" i="4"/>
  <c r="I94" i="7" s="1"/>
  <c r="I8" i="9" s="1"/>
  <c r="O94" i="4"/>
  <c r="O90" i="4"/>
  <c r="O86" i="4"/>
  <c r="X98" i="4"/>
  <c r="I98" i="7" s="1"/>
  <c r="O93" i="4"/>
  <c r="O89" i="4"/>
  <c r="O85" i="4"/>
  <c r="H37" i="14" s="1"/>
  <c r="O92" i="4"/>
  <c r="O88" i="4"/>
  <c r="H21" i="12" s="1"/>
  <c r="X102" i="4"/>
  <c r="I102" i="7" s="1"/>
  <c r="O84" i="4"/>
  <c r="X86" i="4"/>
  <c r="I86" i="7" s="1"/>
  <c r="X127" i="4"/>
  <c r="I127" i="7" s="1"/>
  <c r="X131" i="4"/>
  <c r="I131" i="7" s="1"/>
  <c r="X135" i="4"/>
  <c r="I135" i="7" s="1"/>
  <c r="X139" i="4"/>
  <c r="I139" i="7" s="1"/>
  <c r="X143" i="4"/>
  <c r="I143" i="7" s="1"/>
  <c r="X124" i="4"/>
  <c r="X128" i="4"/>
  <c r="X132" i="4"/>
  <c r="X136" i="4"/>
  <c r="I136" i="7" s="1"/>
  <c r="X140" i="4"/>
  <c r="I140" i="7" s="1"/>
  <c r="X144" i="4"/>
  <c r="I144" i="7" s="1"/>
  <c r="X125" i="4"/>
  <c r="I125" i="7" s="1"/>
  <c r="X129" i="4"/>
  <c r="I129" i="7" s="1"/>
  <c r="X133" i="4"/>
  <c r="I133" i="7" s="1"/>
  <c r="X137" i="4"/>
  <c r="I137" i="7" s="1"/>
  <c r="X141" i="4"/>
  <c r="I141" i="7" s="1"/>
  <c r="X145" i="4"/>
  <c r="I145" i="7" s="1"/>
  <c r="X123" i="4"/>
  <c r="I123" i="7" s="1"/>
  <c r="X138" i="4"/>
  <c r="I138" i="7" s="1"/>
  <c r="O131" i="4"/>
  <c r="O127" i="4"/>
  <c r="O123" i="4"/>
  <c r="X126" i="4"/>
  <c r="I126" i="7" s="1"/>
  <c r="X142" i="4"/>
  <c r="I142" i="7" s="1"/>
  <c r="O134" i="4"/>
  <c r="O130" i="4"/>
  <c r="O126" i="4"/>
  <c r="X130" i="4"/>
  <c r="I130" i="7" s="1"/>
  <c r="X146" i="4"/>
  <c r="I146" i="7" s="1"/>
  <c r="O133" i="4"/>
  <c r="O129" i="4"/>
  <c r="O125" i="4"/>
  <c r="H53" i="14" s="1"/>
  <c r="X134" i="4"/>
  <c r="I134" i="7" s="1"/>
  <c r="I10" i="9" s="1"/>
  <c r="O124" i="4"/>
  <c r="O132" i="4"/>
  <c r="O128" i="4"/>
  <c r="H29" i="12" s="1"/>
  <c r="W4" i="4"/>
  <c r="H4" i="7" s="1"/>
  <c r="W8" i="4"/>
  <c r="H8" i="7" s="1"/>
  <c r="W12" i="4"/>
  <c r="H12" i="7" s="1"/>
  <c r="W5" i="4"/>
  <c r="W9" i="4"/>
  <c r="W13" i="4"/>
  <c r="W6" i="4"/>
  <c r="H6" i="7" s="1"/>
  <c r="W7" i="4"/>
  <c r="H7" i="7" s="1"/>
  <c r="W10" i="4"/>
  <c r="H10" i="7" s="1"/>
  <c r="W19" i="4"/>
  <c r="H19" i="7" s="1"/>
  <c r="W23" i="4"/>
  <c r="H23" i="7" s="1"/>
  <c r="W3" i="4"/>
  <c r="H3" i="7" s="1"/>
  <c r="N12" i="4"/>
  <c r="N8" i="4"/>
  <c r="N4" i="4"/>
  <c r="N7" i="4"/>
  <c r="W15" i="4"/>
  <c r="H15" i="7" s="1"/>
  <c r="W16" i="4"/>
  <c r="H16" i="7" s="1"/>
  <c r="W20" i="4"/>
  <c r="H20" i="7" s="1"/>
  <c r="W24" i="4"/>
  <c r="H24" i="7" s="1"/>
  <c r="N11" i="4"/>
  <c r="N3" i="4"/>
  <c r="W14" i="4"/>
  <c r="H14" i="7" s="1"/>
  <c r="H4" i="9" s="1"/>
  <c r="W17" i="4"/>
  <c r="W21" i="4"/>
  <c r="W25" i="4"/>
  <c r="W11" i="4"/>
  <c r="H11" i="7" s="1"/>
  <c r="W26" i="4"/>
  <c r="H26" i="7" s="1"/>
  <c r="N13" i="4"/>
  <c r="N5" i="4"/>
  <c r="G5" i="14" s="1"/>
  <c r="N14" i="4"/>
  <c r="N6" i="4"/>
  <c r="W18" i="4"/>
  <c r="H18" i="7" s="1"/>
  <c r="N9" i="4"/>
  <c r="W22" i="4"/>
  <c r="H22" i="7" s="1"/>
  <c r="N10" i="4"/>
  <c r="W84" i="4"/>
  <c r="H84" i="7" s="1"/>
  <c r="W88" i="4"/>
  <c r="H88" i="7" s="1"/>
  <c r="W92" i="4"/>
  <c r="H92" i="7" s="1"/>
  <c r="W96" i="4"/>
  <c r="H96" i="7" s="1"/>
  <c r="W100" i="4"/>
  <c r="H100" i="7" s="1"/>
  <c r="W104" i="4"/>
  <c r="H104" i="7" s="1"/>
  <c r="W85" i="4"/>
  <c r="W89" i="4"/>
  <c r="W93" i="4"/>
  <c r="W97" i="4"/>
  <c r="W101" i="4"/>
  <c r="W105" i="4"/>
  <c r="W86" i="4"/>
  <c r="H86" i="7" s="1"/>
  <c r="W90" i="4"/>
  <c r="H90" i="7" s="1"/>
  <c r="W94" i="4"/>
  <c r="H94" i="7" s="1"/>
  <c r="H8" i="9" s="1"/>
  <c r="W98" i="4"/>
  <c r="H98" i="7" s="1"/>
  <c r="W102" i="4"/>
  <c r="H102" i="7" s="1"/>
  <c r="W106" i="4"/>
  <c r="H106" i="7" s="1"/>
  <c r="W87" i="4"/>
  <c r="H87" i="7" s="1"/>
  <c r="W103" i="4"/>
  <c r="H103" i="7" s="1"/>
  <c r="N92" i="4"/>
  <c r="N88" i="4"/>
  <c r="N84" i="4"/>
  <c r="W91" i="4"/>
  <c r="H91" i="7" s="1"/>
  <c r="W83" i="4"/>
  <c r="H83" i="7" s="1"/>
  <c r="N91" i="4"/>
  <c r="N87" i="4"/>
  <c r="N83" i="4"/>
  <c r="W95" i="4"/>
  <c r="H95" i="7" s="1"/>
  <c r="N94" i="4"/>
  <c r="N90" i="4"/>
  <c r="N86" i="4"/>
  <c r="N89" i="4"/>
  <c r="N85" i="4"/>
  <c r="G37" i="14" s="1"/>
  <c r="N93" i="4"/>
  <c r="W99" i="4"/>
  <c r="H99" i="7" s="1"/>
  <c r="W124" i="4"/>
  <c r="H124" i="7" s="1"/>
  <c r="W128" i="4"/>
  <c r="H128" i="7" s="1"/>
  <c r="W132" i="4"/>
  <c r="H132" i="7" s="1"/>
  <c r="W136" i="4"/>
  <c r="H136" i="7" s="1"/>
  <c r="W140" i="4"/>
  <c r="H140" i="7" s="1"/>
  <c r="W144" i="4"/>
  <c r="H144" i="7" s="1"/>
  <c r="W125" i="4"/>
  <c r="W129" i="4"/>
  <c r="W133" i="4"/>
  <c r="W137" i="4"/>
  <c r="W141" i="4"/>
  <c r="W145" i="4"/>
  <c r="W126" i="4"/>
  <c r="H126" i="7" s="1"/>
  <c r="W130" i="4"/>
  <c r="H130" i="7" s="1"/>
  <c r="W134" i="4"/>
  <c r="H134" i="7" s="1"/>
  <c r="H10" i="9" s="1"/>
  <c r="W138" i="4"/>
  <c r="H138" i="7" s="1"/>
  <c r="W142" i="4"/>
  <c r="H142" i="7" s="1"/>
  <c r="W146" i="4"/>
  <c r="H146" i="7" s="1"/>
  <c r="W135" i="4"/>
  <c r="H135" i="7" s="1"/>
  <c r="N132" i="4"/>
  <c r="N128" i="4"/>
  <c r="G29" i="12" s="1"/>
  <c r="N124" i="4"/>
  <c r="W139" i="4"/>
  <c r="H139" i="7" s="1"/>
  <c r="N131" i="4"/>
  <c r="N127" i="4"/>
  <c r="N123" i="4"/>
  <c r="W127" i="4"/>
  <c r="H127" i="7" s="1"/>
  <c r="W143" i="4"/>
  <c r="H143" i="7" s="1"/>
  <c r="N134" i="4"/>
  <c r="N130" i="4"/>
  <c r="N126" i="4"/>
  <c r="W123" i="4"/>
  <c r="H123" i="7" s="1"/>
  <c r="N133" i="4"/>
  <c r="N129" i="4"/>
  <c r="W131" i="4"/>
  <c r="H131" i="7" s="1"/>
  <c r="N125" i="4"/>
  <c r="G53" i="14" s="1"/>
  <c r="R15" i="10"/>
  <c r="R27" i="11"/>
  <c r="T27" i="11" s="1"/>
  <c r="AB4" i="5"/>
  <c r="P4" i="7" s="1"/>
  <c r="AB6" i="5"/>
  <c r="P6" i="7" s="1"/>
  <c r="AB8" i="5"/>
  <c r="P8" i="7" s="1"/>
  <c r="AB10" i="5"/>
  <c r="P10" i="7" s="1"/>
  <c r="AB12" i="5"/>
  <c r="P12" i="7" s="1"/>
  <c r="AB14" i="5"/>
  <c r="P14" i="7" s="1"/>
  <c r="AB16" i="5"/>
  <c r="P16" i="7" s="1"/>
  <c r="AB18" i="5"/>
  <c r="P18" i="7" s="1"/>
  <c r="AB20" i="5"/>
  <c r="P20" i="7" s="1"/>
  <c r="AB22" i="5"/>
  <c r="P22" i="7" s="1"/>
  <c r="AB24" i="5"/>
  <c r="P24" i="7" s="1"/>
  <c r="AB26" i="5"/>
  <c r="AB3" i="5"/>
  <c r="P3" i="7" s="1"/>
  <c r="AB7" i="5"/>
  <c r="P7" i="7" s="1"/>
  <c r="AB11" i="5"/>
  <c r="P11" i="7" s="1"/>
  <c r="AB15" i="5"/>
  <c r="P15" i="7" s="1"/>
  <c r="AB19" i="5"/>
  <c r="P19" i="7" s="1"/>
  <c r="AB23" i="5"/>
  <c r="P23" i="7" s="1"/>
  <c r="R7" i="5"/>
  <c r="R3" i="5"/>
  <c r="AB13" i="5"/>
  <c r="P13" i="7" s="1"/>
  <c r="AB21" i="5"/>
  <c r="P21" i="7" s="1"/>
  <c r="AB25" i="5"/>
  <c r="P25" i="7" s="1"/>
  <c r="R13" i="5"/>
  <c r="R11" i="5"/>
  <c r="R9" i="5"/>
  <c r="R5" i="5"/>
  <c r="O5" i="14" s="1"/>
  <c r="AB5" i="5"/>
  <c r="P5" i="7" s="1"/>
  <c r="AB9" i="5"/>
  <c r="P9" i="7" s="1"/>
  <c r="AB17" i="5"/>
  <c r="P17" i="7" s="1"/>
  <c r="R8" i="5"/>
  <c r="R10" i="5"/>
  <c r="R12" i="5"/>
  <c r="R4" i="5"/>
  <c r="R14" i="5"/>
  <c r="R6" i="5"/>
  <c r="W5" i="5"/>
  <c r="K5" i="7" s="1"/>
  <c r="W7" i="5"/>
  <c r="K7" i="7" s="1"/>
  <c r="W9" i="5"/>
  <c r="K9" i="7" s="1"/>
  <c r="W11" i="5"/>
  <c r="K11" i="7" s="1"/>
  <c r="W13" i="5"/>
  <c r="K13" i="7" s="1"/>
  <c r="W15" i="5"/>
  <c r="K15" i="7" s="1"/>
  <c r="W17" i="5"/>
  <c r="K17" i="7" s="1"/>
  <c r="W19" i="5"/>
  <c r="K19" i="7" s="1"/>
  <c r="W21" i="5"/>
  <c r="K21" i="7" s="1"/>
  <c r="W23" i="5"/>
  <c r="K23" i="7" s="1"/>
  <c r="W25" i="5"/>
  <c r="K25" i="7" s="1"/>
  <c r="W3" i="5"/>
  <c r="K3" i="7" s="1"/>
  <c r="M14" i="5"/>
  <c r="M12" i="5"/>
  <c r="M10" i="5"/>
  <c r="M8" i="5"/>
  <c r="J5" i="12" s="1"/>
  <c r="M6" i="5"/>
  <c r="M4" i="5"/>
  <c r="M13" i="5"/>
  <c r="M7" i="5"/>
  <c r="M5" i="5"/>
  <c r="J5" i="14" s="1"/>
  <c r="W6" i="5"/>
  <c r="K6" i="7" s="1"/>
  <c r="W14" i="5"/>
  <c r="K14" i="7" s="1"/>
  <c r="W22" i="5"/>
  <c r="K22" i="7" s="1"/>
  <c r="W26" i="5"/>
  <c r="W4" i="5"/>
  <c r="W8" i="5"/>
  <c r="W12" i="5"/>
  <c r="W16" i="5"/>
  <c r="W20" i="5"/>
  <c r="W24" i="5"/>
  <c r="M11" i="5"/>
  <c r="M9" i="5"/>
  <c r="M3" i="5"/>
  <c r="W10" i="5"/>
  <c r="K10" i="7" s="1"/>
  <c r="W18" i="5"/>
  <c r="K18" i="7" s="1"/>
  <c r="Y3" i="5"/>
  <c r="Y4" i="5"/>
  <c r="M4" i="7" s="1"/>
  <c r="Y6" i="5"/>
  <c r="M6" i="7" s="1"/>
  <c r="Y8" i="5"/>
  <c r="M8" i="7" s="1"/>
  <c r="Y10" i="5"/>
  <c r="M10" i="7" s="1"/>
  <c r="Y12" i="5"/>
  <c r="M12" i="7" s="1"/>
  <c r="Y14" i="5"/>
  <c r="M14" i="7" s="1"/>
  <c r="Y16" i="5"/>
  <c r="M16" i="7" s="1"/>
  <c r="Y18" i="5"/>
  <c r="M18" i="7" s="1"/>
  <c r="Y20" i="5"/>
  <c r="M20" i="7" s="1"/>
  <c r="Y22" i="5"/>
  <c r="M22" i="7" s="1"/>
  <c r="Y24" i="5"/>
  <c r="M24" i="7" s="1"/>
  <c r="Y26" i="5"/>
  <c r="O13" i="5"/>
  <c r="O11" i="5"/>
  <c r="O9" i="5"/>
  <c r="O7" i="5"/>
  <c r="O5" i="5"/>
  <c r="L5" i="14" s="1"/>
  <c r="O3" i="5"/>
  <c r="O14" i="5"/>
  <c r="O10" i="5"/>
  <c r="O8" i="5"/>
  <c r="L5" i="12" s="1"/>
  <c r="O6" i="5"/>
  <c r="Y11" i="5"/>
  <c r="M11" i="7" s="1"/>
  <c r="Y19" i="5"/>
  <c r="M19" i="7" s="1"/>
  <c r="Y5" i="5"/>
  <c r="M5" i="7" s="1"/>
  <c r="Y9" i="5"/>
  <c r="M9" i="7" s="1"/>
  <c r="Y13" i="5"/>
  <c r="M13" i="7" s="1"/>
  <c r="Y17" i="5"/>
  <c r="M17" i="7" s="1"/>
  <c r="Y21" i="5"/>
  <c r="M21" i="7" s="1"/>
  <c r="Y25" i="5"/>
  <c r="M25" i="7" s="1"/>
  <c r="O12" i="5"/>
  <c r="O4" i="5"/>
  <c r="Y7" i="5"/>
  <c r="M7" i="7" s="1"/>
  <c r="Y15" i="5"/>
  <c r="M15" i="7" s="1"/>
  <c r="Y23" i="5"/>
  <c r="M23" i="7" s="1"/>
  <c r="W44" i="5"/>
  <c r="K44" i="7" s="1"/>
  <c r="W45" i="5"/>
  <c r="K45" i="7" s="1"/>
  <c r="W47" i="5"/>
  <c r="W49" i="5"/>
  <c r="K49" i="7" s="1"/>
  <c r="W51" i="5"/>
  <c r="W53" i="5"/>
  <c r="K53" i="7" s="1"/>
  <c r="W46" i="5"/>
  <c r="K46" i="7" s="1"/>
  <c r="W50" i="5"/>
  <c r="K50" i="7" s="1"/>
  <c r="W55" i="5"/>
  <c r="W57" i="5"/>
  <c r="K57" i="7" s="1"/>
  <c r="W59" i="5"/>
  <c r="W61" i="5"/>
  <c r="K61" i="7" s="1"/>
  <c r="W63" i="5"/>
  <c r="W65" i="5"/>
  <c r="K65" i="7" s="1"/>
  <c r="W48" i="5"/>
  <c r="K48" i="7" s="1"/>
  <c r="W43" i="5"/>
  <c r="K43" i="7" s="1"/>
  <c r="M54" i="5"/>
  <c r="M52" i="5"/>
  <c r="M50" i="5"/>
  <c r="M48" i="5"/>
  <c r="M46" i="5"/>
  <c r="M44" i="5"/>
  <c r="W52" i="5"/>
  <c r="K52" i="7" s="1"/>
  <c r="M51" i="5"/>
  <c r="M49" i="5"/>
  <c r="M45" i="5"/>
  <c r="J21" i="14" s="1"/>
  <c r="W58" i="5"/>
  <c r="K58" i="7" s="1"/>
  <c r="W66" i="5"/>
  <c r="W56" i="5"/>
  <c r="K56" i="7" s="1"/>
  <c r="W60" i="5"/>
  <c r="K60" i="7" s="1"/>
  <c r="W64" i="5"/>
  <c r="K64" i="7" s="1"/>
  <c r="M53" i="5"/>
  <c r="M47" i="5"/>
  <c r="M43" i="5"/>
  <c r="W54" i="5"/>
  <c r="K54" i="7" s="1"/>
  <c r="W62" i="5"/>
  <c r="K62" i="7" s="1"/>
  <c r="X44" i="5"/>
  <c r="L44" i="7" s="1"/>
  <c r="X46" i="5"/>
  <c r="L46" i="7" s="1"/>
  <c r="X48" i="5"/>
  <c r="L48" i="7" s="1"/>
  <c r="X50" i="5"/>
  <c r="L50" i="7" s="1"/>
  <c r="X52" i="5"/>
  <c r="L52" i="7" s="1"/>
  <c r="X54" i="5"/>
  <c r="L54" i="7" s="1"/>
  <c r="X56" i="5"/>
  <c r="L56" i="7" s="1"/>
  <c r="X58" i="5"/>
  <c r="L58" i="7" s="1"/>
  <c r="X60" i="5"/>
  <c r="L60" i="7" s="1"/>
  <c r="X62" i="5"/>
  <c r="L62" i="7" s="1"/>
  <c r="X64" i="5"/>
  <c r="L64" i="7" s="1"/>
  <c r="X66" i="5"/>
  <c r="X45" i="5"/>
  <c r="X49" i="5"/>
  <c r="X43" i="5"/>
  <c r="L43" i="7" s="1"/>
  <c r="X53" i="5"/>
  <c r="X57" i="5"/>
  <c r="X61" i="5"/>
  <c r="X65" i="5"/>
  <c r="N49" i="5"/>
  <c r="N43" i="5"/>
  <c r="X55" i="5"/>
  <c r="L55" i="7" s="1"/>
  <c r="X59" i="5"/>
  <c r="L59" i="7" s="1"/>
  <c r="X63" i="5"/>
  <c r="L63" i="7" s="1"/>
  <c r="X47" i="5"/>
  <c r="L47" i="7" s="1"/>
  <c r="N50" i="5"/>
  <c r="N46" i="5"/>
  <c r="X51" i="5"/>
  <c r="L51" i="7" s="1"/>
  <c r="N53" i="5"/>
  <c r="N51" i="5"/>
  <c r="N47" i="5"/>
  <c r="N45" i="5"/>
  <c r="K21" i="14" s="1"/>
  <c r="N54" i="5"/>
  <c r="N52" i="5"/>
  <c r="N48" i="5"/>
  <c r="N44" i="5"/>
  <c r="W84" i="5"/>
  <c r="K84" i="7" s="1"/>
  <c r="W86" i="5"/>
  <c r="K86" i="7" s="1"/>
  <c r="W88" i="5"/>
  <c r="K88" i="7" s="1"/>
  <c r="W90" i="5"/>
  <c r="K90" i="7" s="1"/>
  <c r="W92" i="5"/>
  <c r="W94" i="5"/>
  <c r="K94" i="7" s="1"/>
  <c r="W96" i="5"/>
  <c r="W98" i="5"/>
  <c r="K98" i="7" s="1"/>
  <c r="W100" i="5"/>
  <c r="W102" i="5"/>
  <c r="K102" i="7" s="1"/>
  <c r="W104" i="5"/>
  <c r="W106" i="5"/>
  <c r="W85" i="5"/>
  <c r="K85" i="7" s="1"/>
  <c r="W87" i="5"/>
  <c r="W89" i="5"/>
  <c r="K89" i="7" s="1"/>
  <c r="W91" i="5"/>
  <c r="W93" i="5"/>
  <c r="K93" i="7" s="1"/>
  <c r="W95" i="5"/>
  <c r="W97" i="5"/>
  <c r="K97" i="7" s="1"/>
  <c r="W99" i="5"/>
  <c r="W101" i="5"/>
  <c r="K101" i="7" s="1"/>
  <c r="W103" i="5"/>
  <c r="W105" i="5"/>
  <c r="K105" i="7" s="1"/>
  <c r="M94" i="5"/>
  <c r="M92" i="5"/>
  <c r="M90" i="5"/>
  <c r="M88" i="5"/>
  <c r="J21" i="12" s="1"/>
  <c r="M86" i="5"/>
  <c r="M84" i="5"/>
  <c r="M93" i="5"/>
  <c r="M85" i="5"/>
  <c r="J37" i="14" s="1"/>
  <c r="M91" i="5"/>
  <c r="M87" i="5"/>
  <c r="M83" i="5"/>
  <c r="W83" i="5"/>
  <c r="K83" i="7" s="1"/>
  <c r="M89" i="5"/>
  <c r="Y85" i="5"/>
  <c r="M85" i="7" s="1"/>
  <c r="Y87" i="5"/>
  <c r="M87" i="7" s="1"/>
  <c r="Y89" i="5"/>
  <c r="M89" i="7" s="1"/>
  <c r="Y91" i="5"/>
  <c r="M91" i="7" s="1"/>
  <c r="Y93" i="5"/>
  <c r="M93" i="7" s="1"/>
  <c r="Y95" i="5"/>
  <c r="M95" i="7" s="1"/>
  <c r="Y97" i="5"/>
  <c r="M97" i="7" s="1"/>
  <c r="Y99" i="5"/>
  <c r="M99" i="7" s="1"/>
  <c r="Y101" i="5"/>
  <c r="M101" i="7" s="1"/>
  <c r="Y103" i="5"/>
  <c r="M103" i="7" s="1"/>
  <c r="Y105" i="5"/>
  <c r="M105" i="7" s="1"/>
  <c r="Y83" i="5"/>
  <c r="Y84" i="5"/>
  <c r="M84" i="7" s="1"/>
  <c r="Y86" i="5"/>
  <c r="M86" i="7" s="1"/>
  <c r="Y88" i="5"/>
  <c r="M88" i="7" s="1"/>
  <c r="Y90" i="5"/>
  <c r="M90" i="7" s="1"/>
  <c r="Y92" i="5"/>
  <c r="M92" i="7" s="1"/>
  <c r="Y94" i="5"/>
  <c r="M94" i="7" s="1"/>
  <c r="Y96" i="5"/>
  <c r="M96" i="7" s="1"/>
  <c r="Y98" i="5"/>
  <c r="M98" i="7" s="1"/>
  <c r="Y100" i="5"/>
  <c r="M100" i="7" s="1"/>
  <c r="Y102" i="5"/>
  <c r="M102" i="7" s="1"/>
  <c r="Y104" i="5"/>
  <c r="M104" i="7" s="1"/>
  <c r="Y106" i="5"/>
  <c r="O93" i="5"/>
  <c r="O91" i="5"/>
  <c r="O89" i="5"/>
  <c r="O87" i="5"/>
  <c r="O85" i="5"/>
  <c r="L37" i="14" s="1"/>
  <c r="O83" i="5"/>
  <c r="O88" i="5"/>
  <c r="L21" i="12" s="1"/>
  <c r="O90" i="5"/>
  <c r="O92" i="5"/>
  <c r="O84" i="5"/>
  <c r="O94" i="5"/>
  <c r="O86" i="5"/>
  <c r="W124" i="5"/>
  <c r="K124" i="7" s="1"/>
  <c r="W126" i="5"/>
  <c r="K126" i="7" s="1"/>
  <c r="W128" i="5"/>
  <c r="K128" i="7" s="1"/>
  <c r="W130" i="5"/>
  <c r="K130" i="7" s="1"/>
  <c r="W132" i="5"/>
  <c r="K132" i="7" s="1"/>
  <c r="W134" i="5"/>
  <c r="K134" i="7" s="1"/>
  <c r="W136" i="5"/>
  <c r="K136" i="7" s="1"/>
  <c r="W138" i="5"/>
  <c r="K138" i="7" s="1"/>
  <c r="W140" i="5"/>
  <c r="K140" i="7" s="1"/>
  <c r="W142" i="5"/>
  <c r="K142" i="7" s="1"/>
  <c r="W144" i="5"/>
  <c r="K144" i="7" s="1"/>
  <c r="W146" i="5"/>
  <c r="K146" i="7" s="1"/>
  <c r="W125" i="5"/>
  <c r="K125" i="7" s="1"/>
  <c r="W127" i="5"/>
  <c r="W129" i="5"/>
  <c r="K129" i="7" s="1"/>
  <c r="W131" i="5"/>
  <c r="W133" i="5"/>
  <c r="K133" i="7" s="1"/>
  <c r="W135" i="5"/>
  <c r="W137" i="5"/>
  <c r="K137" i="7" s="1"/>
  <c r="W139" i="5"/>
  <c r="W141" i="5"/>
  <c r="K141" i="7" s="1"/>
  <c r="W143" i="5"/>
  <c r="W145" i="5"/>
  <c r="K145" i="7" s="1"/>
  <c r="M133" i="5"/>
  <c r="M131" i="5"/>
  <c r="M129" i="5"/>
  <c r="M127" i="5"/>
  <c r="M125" i="5"/>
  <c r="J53" i="14" s="1"/>
  <c r="M123" i="5"/>
  <c r="M130" i="5"/>
  <c r="M126" i="5"/>
  <c r="W123" i="5"/>
  <c r="K123" i="7" s="1"/>
  <c r="M132" i="5"/>
  <c r="M128" i="5"/>
  <c r="M124" i="5"/>
  <c r="M134" i="5"/>
  <c r="Y125" i="5"/>
  <c r="M125" i="7" s="1"/>
  <c r="Y127" i="5"/>
  <c r="M127" i="7" s="1"/>
  <c r="Y129" i="5"/>
  <c r="M129" i="7" s="1"/>
  <c r="Y131" i="5"/>
  <c r="M131" i="7" s="1"/>
  <c r="Y133" i="5"/>
  <c r="M133" i="7" s="1"/>
  <c r="Y135" i="5"/>
  <c r="M135" i="7" s="1"/>
  <c r="Y137" i="5"/>
  <c r="M137" i="7" s="1"/>
  <c r="Y139" i="5"/>
  <c r="M139" i="7" s="1"/>
  <c r="Y141" i="5"/>
  <c r="M141" i="7" s="1"/>
  <c r="Y143" i="5"/>
  <c r="M143" i="7" s="1"/>
  <c r="Y145" i="5"/>
  <c r="M145" i="7" s="1"/>
  <c r="Y123" i="5"/>
  <c r="Y124" i="5"/>
  <c r="M124" i="7" s="1"/>
  <c r="Y126" i="5"/>
  <c r="M126" i="7" s="1"/>
  <c r="Y128" i="5"/>
  <c r="M128" i="7" s="1"/>
  <c r="Y130" i="5"/>
  <c r="M130" i="7" s="1"/>
  <c r="Y132" i="5"/>
  <c r="M132" i="7" s="1"/>
  <c r="Y134" i="5"/>
  <c r="M134" i="7" s="1"/>
  <c r="Y136" i="5"/>
  <c r="M136" i="7" s="1"/>
  <c r="Y138" i="5"/>
  <c r="M138" i="7" s="1"/>
  <c r="Y140" i="5"/>
  <c r="M140" i="7" s="1"/>
  <c r="Y142" i="5"/>
  <c r="M142" i="7" s="1"/>
  <c r="Y144" i="5"/>
  <c r="M144" i="7" s="1"/>
  <c r="Y146" i="5"/>
  <c r="M146" i="7" s="1"/>
  <c r="O134" i="5"/>
  <c r="O132" i="5"/>
  <c r="O130" i="5"/>
  <c r="O128" i="5"/>
  <c r="L29" i="12" s="1"/>
  <c r="O126" i="5"/>
  <c r="O124" i="5"/>
  <c r="O133" i="5"/>
  <c r="O129" i="5"/>
  <c r="O125" i="5"/>
  <c r="L53" i="14" s="1"/>
  <c r="O131" i="5"/>
  <c r="O127" i="5"/>
  <c r="O123" i="5"/>
  <c r="AA44" i="5"/>
  <c r="O44" i="7" s="1"/>
  <c r="AA45" i="5"/>
  <c r="O45" i="7" s="1"/>
  <c r="AA47" i="5"/>
  <c r="O47" i="7" s="1"/>
  <c r="AA49" i="5"/>
  <c r="O49" i="7" s="1"/>
  <c r="AA51" i="5"/>
  <c r="O51" i="7" s="1"/>
  <c r="AA48" i="5"/>
  <c r="O48" i="7" s="1"/>
  <c r="AA52" i="5"/>
  <c r="O52" i="7" s="1"/>
  <c r="AA53" i="5"/>
  <c r="O53" i="7" s="1"/>
  <c r="AA55" i="5"/>
  <c r="O55" i="7" s="1"/>
  <c r="AA57" i="5"/>
  <c r="O57" i="7" s="1"/>
  <c r="AA59" i="5"/>
  <c r="O59" i="7" s="1"/>
  <c r="AA61" i="5"/>
  <c r="O61" i="7" s="1"/>
  <c r="AA63" i="5"/>
  <c r="O63" i="7" s="1"/>
  <c r="AA65" i="5"/>
  <c r="O65" i="7" s="1"/>
  <c r="AA50" i="5"/>
  <c r="O50" i="7" s="1"/>
  <c r="Q54" i="5"/>
  <c r="Q52" i="5"/>
  <c r="Q50" i="5"/>
  <c r="Q48" i="5"/>
  <c r="Q46" i="5"/>
  <c r="Q44" i="5"/>
  <c r="AA46" i="5"/>
  <c r="O46" i="7" s="1"/>
  <c r="Q53" i="5"/>
  <c r="Q49" i="5"/>
  <c r="Q47" i="5"/>
  <c r="Q43" i="5"/>
  <c r="AA60" i="5"/>
  <c r="O60" i="7" s="1"/>
  <c r="AA54" i="5"/>
  <c r="O54" i="7" s="1"/>
  <c r="AA58" i="5"/>
  <c r="O58" i="7" s="1"/>
  <c r="AA62" i="5"/>
  <c r="O62" i="7" s="1"/>
  <c r="AA66" i="5"/>
  <c r="AA43" i="5"/>
  <c r="O43" i="7" s="1"/>
  <c r="Q51" i="5"/>
  <c r="Q45" i="5"/>
  <c r="N21" i="14" s="1"/>
  <c r="AA56" i="5"/>
  <c r="O56" i="7" s="1"/>
  <c r="AA64" i="5"/>
  <c r="O64" i="7" s="1"/>
  <c r="AB44" i="5"/>
  <c r="P44" i="7" s="1"/>
  <c r="AB46" i="5"/>
  <c r="P46" i="7" s="1"/>
  <c r="AB48" i="5"/>
  <c r="P48" i="7" s="1"/>
  <c r="AB50" i="5"/>
  <c r="P50" i="7" s="1"/>
  <c r="AB54" i="5"/>
  <c r="P54" i="7" s="1"/>
  <c r="AB56" i="5"/>
  <c r="P56" i="7" s="1"/>
  <c r="AB58" i="5"/>
  <c r="P58" i="7" s="1"/>
  <c r="AB60" i="5"/>
  <c r="P60" i="7" s="1"/>
  <c r="AB62" i="5"/>
  <c r="P62" i="7" s="1"/>
  <c r="AB64" i="5"/>
  <c r="P64" i="7" s="1"/>
  <c r="AB66" i="5"/>
  <c r="AB47" i="5"/>
  <c r="P47" i="7" s="1"/>
  <c r="AB51" i="5"/>
  <c r="P51" i="7" s="1"/>
  <c r="AB52" i="5"/>
  <c r="P52" i="7" s="1"/>
  <c r="AB43" i="5"/>
  <c r="P43" i="7" s="1"/>
  <c r="AB55" i="5"/>
  <c r="P55" i="7" s="1"/>
  <c r="AB59" i="5"/>
  <c r="P59" i="7" s="1"/>
  <c r="AB63" i="5"/>
  <c r="P63" i="7" s="1"/>
  <c r="R51" i="5"/>
  <c r="R47" i="5"/>
  <c r="R45" i="5"/>
  <c r="O21" i="14" s="1"/>
  <c r="AB53" i="5"/>
  <c r="P53" i="7" s="1"/>
  <c r="AB57" i="5"/>
  <c r="P57" i="7" s="1"/>
  <c r="AB65" i="5"/>
  <c r="P65" i="7" s="1"/>
  <c r="R54" i="5"/>
  <c r="R48" i="5"/>
  <c r="R44" i="5"/>
  <c r="AB45" i="5"/>
  <c r="P45" i="7" s="1"/>
  <c r="R53" i="5"/>
  <c r="R49" i="5"/>
  <c r="R43" i="5"/>
  <c r="AB61" i="5"/>
  <c r="P61" i="7" s="1"/>
  <c r="AB49" i="5"/>
  <c r="P49" i="7" s="1"/>
  <c r="R52" i="5"/>
  <c r="R50" i="5"/>
  <c r="R46" i="5"/>
  <c r="AB84" i="5"/>
  <c r="P84" i="7" s="1"/>
  <c r="AB86" i="5"/>
  <c r="P86" i="7" s="1"/>
  <c r="AB88" i="5"/>
  <c r="P88" i="7" s="1"/>
  <c r="AB90" i="5"/>
  <c r="P90" i="7" s="1"/>
  <c r="AB92" i="5"/>
  <c r="P92" i="7" s="1"/>
  <c r="AB94" i="5"/>
  <c r="P94" i="7" s="1"/>
  <c r="AB96" i="5"/>
  <c r="P96" i="7" s="1"/>
  <c r="AB98" i="5"/>
  <c r="P98" i="7" s="1"/>
  <c r="AB100" i="5"/>
  <c r="P100" i="7" s="1"/>
  <c r="AB102" i="5"/>
  <c r="P102" i="7" s="1"/>
  <c r="AB104" i="5"/>
  <c r="P104" i="7" s="1"/>
  <c r="AB106" i="5"/>
  <c r="AB83" i="5"/>
  <c r="P83" i="7" s="1"/>
  <c r="AB89" i="5"/>
  <c r="P89" i="7" s="1"/>
  <c r="AB97" i="5"/>
  <c r="P97" i="7" s="1"/>
  <c r="AB105" i="5"/>
  <c r="P105" i="7" s="1"/>
  <c r="R94" i="5"/>
  <c r="R92" i="5"/>
  <c r="R90" i="5"/>
  <c r="R88" i="5"/>
  <c r="R86" i="5"/>
  <c r="R84" i="5"/>
  <c r="AB87" i="5"/>
  <c r="P87" i="7" s="1"/>
  <c r="AB95" i="5"/>
  <c r="P95" i="7" s="1"/>
  <c r="AB103" i="5"/>
  <c r="P103" i="7" s="1"/>
  <c r="AB93" i="5"/>
  <c r="P93" i="7" s="1"/>
  <c r="R93" i="5"/>
  <c r="R89" i="5"/>
  <c r="R85" i="5"/>
  <c r="O37" i="14" s="1"/>
  <c r="AB85" i="5"/>
  <c r="P85" i="7" s="1"/>
  <c r="AB101" i="5"/>
  <c r="P101" i="7" s="1"/>
  <c r="R91" i="5"/>
  <c r="R87" i="5"/>
  <c r="R83" i="5"/>
  <c r="AB91" i="5"/>
  <c r="P91" i="7" s="1"/>
  <c r="AB99" i="5"/>
  <c r="P99" i="7" s="1"/>
  <c r="X84" i="5"/>
  <c r="L84" i="7" s="1"/>
  <c r="X86" i="5"/>
  <c r="L86" i="7" s="1"/>
  <c r="X88" i="5"/>
  <c r="L88" i="7" s="1"/>
  <c r="X90" i="5"/>
  <c r="L90" i="7" s="1"/>
  <c r="X92" i="5"/>
  <c r="L92" i="7" s="1"/>
  <c r="X94" i="5"/>
  <c r="L94" i="7" s="1"/>
  <c r="X96" i="5"/>
  <c r="L96" i="7" s="1"/>
  <c r="X98" i="5"/>
  <c r="L98" i="7" s="1"/>
  <c r="X100" i="5"/>
  <c r="L100" i="7" s="1"/>
  <c r="X102" i="5"/>
  <c r="L102" i="7" s="1"/>
  <c r="X104" i="5"/>
  <c r="L104" i="7" s="1"/>
  <c r="X106" i="5"/>
  <c r="X83" i="5"/>
  <c r="L83" i="7" s="1"/>
  <c r="X87" i="5"/>
  <c r="L87" i="7" s="1"/>
  <c r="X95" i="5"/>
  <c r="L95" i="7" s="1"/>
  <c r="X103" i="5"/>
  <c r="L103" i="7" s="1"/>
  <c r="N94" i="5"/>
  <c r="N92" i="5"/>
  <c r="N90" i="5"/>
  <c r="N88" i="5"/>
  <c r="N86" i="5"/>
  <c r="N84" i="5"/>
  <c r="X85" i="5"/>
  <c r="X93" i="5"/>
  <c r="X101" i="5"/>
  <c r="X99" i="5"/>
  <c r="L99" i="7" s="1"/>
  <c r="N91" i="5"/>
  <c r="N87" i="5"/>
  <c r="N83" i="5"/>
  <c r="X91" i="5"/>
  <c r="L91" i="7" s="1"/>
  <c r="N85" i="5"/>
  <c r="K37" i="14" s="1"/>
  <c r="X89" i="5"/>
  <c r="X105" i="5"/>
  <c r="N93" i="5"/>
  <c r="N89" i="5"/>
  <c r="X97" i="5"/>
  <c r="AB124" i="5"/>
  <c r="P124" i="7" s="1"/>
  <c r="AB126" i="5"/>
  <c r="P126" i="7" s="1"/>
  <c r="AB128" i="5"/>
  <c r="P128" i="7" s="1"/>
  <c r="AB130" i="5"/>
  <c r="P130" i="7" s="1"/>
  <c r="AB132" i="5"/>
  <c r="P132" i="7" s="1"/>
  <c r="AB134" i="5"/>
  <c r="P134" i="7" s="1"/>
  <c r="AB136" i="5"/>
  <c r="P136" i="7" s="1"/>
  <c r="AB138" i="5"/>
  <c r="P138" i="7" s="1"/>
  <c r="AB140" i="5"/>
  <c r="P140" i="7" s="1"/>
  <c r="AB142" i="5"/>
  <c r="P142" i="7" s="1"/>
  <c r="AB144" i="5"/>
  <c r="P144" i="7" s="1"/>
  <c r="AB146" i="5"/>
  <c r="P146" i="7" s="1"/>
  <c r="AB123" i="5"/>
  <c r="P123" i="7" s="1"/>
  <c r="AB129" i="5"/>
  <c r="P129" i="7" s="1"/>
  <c r="AB137" i="5"/>
  <c r="P137" i="7" s="1"/>
  <c r="AB145" i="5"/>
  <c r="P145" i="7" s="1"/>
  <c r="R133" i="5"/>
  <c r="R131" i="5"/>
  <c r="R129" i="5"/>
  <c r="R127" i="5"/>
  <c r="R125" i="5"/>
  <c r="O53" i="14" s="1"/>
  <c r="R123" i="5"/>
  <c r="AB127" i="5"/>
  <c r="P127" i="7" s="1"/>
  <c r="AB135" i="5"/>
  <c r="P135" i="7" s="1"/>
  <c r="AB143" i="5"/>
  <c r="P143" i="7" s="1"/>
  <c r="AB125" i="5"/>
  <c r="P125" i="7" s="1"/>
  <c r="AB141" i="5"/>
  <c r="P141" i="7" s="1"/>
  <c r="R134" i="5"/>
  <c r="R130" i="5"/>
  <c r="R126" i="5"/>
  <c r="R132" i="5"/>
  <c r="R124" i="5"/>
  <c r="AB139" i="5"/>
  <c r="P139" i="7" s="1"/>
  <c r="AB131" i="5"/>
  <c r="P131" i="7" s="1"/>
  <c r="AB133" i="5"/>
  <c r="P133" i="7" s="1"/>
  <c r="R128" i="5"/>
  <c r="O29" i="12" s="1"/>
  <c r="X124" i="5"/>
  <c r="L124" i="7" s="1"/>
  <c r="X126" i="5"/>
  <c r="L126" i="7" s="1"/>
  <c r="X128" i="5"/>
  <c r="L128" i="7" s="1"/>
  <c r="X130" i="5"/>
  <c r="L130" i="7" s="1"/>
  <c r="X132" i="5"/>
  <c r="L132" i="7" s="1"/>
  <c r="X134" i="5"/>
  <c r="L134" i="7" s="1"/>
  <c r="X136" i="5"/>
  <c r="L136" i="7" s="1"/>
  <c r="X138" i="5"/>
  <c r="L138" i="7" s="1"/>
  <c r="X140" i="5"/>
  <c r="L140" i="7" s="1"/>
  <c r="X142" i="5"/>
  <c r="L142" i="7" s="1"/>
  <c r="X144" i="5"/>
  <c r="L144" i="7" s="1"/>
  <c r="X146" i="5"/>
  <c r="L146" i="7" s="1"/>
  <c r="X123" i="5"/>
  <c r="L123" i="7" s="1"/>
  <c r="X127" i="5"/>
  <c r="L127" i="7" s="1"/>
  <c r="X135" i="5"/>
  <c r="L135" i="7" s="1"/>
  <c r="X143" i="5"/>
  <c r="L143" i="7" s="1"/>
  <c r="N133" i="5"/>
  <c r="N131" i="5"/>
  <c r="N129" i="5"/>
  <c r="N127" i="5"/>
  <c r="N125" i="5"/>
  <c r="K53" i="14" s="1"/>
  <c r="N123" i="5"/>
  <c r="X125" i="5"/>
  <c r="X133" i="5"/>
  <c r="X141" i="5"/>
  <c r="X131" i="5"/>
  <c r="L131" i="7" s="1"/>
  <c r="N132" i="5"/>
  <c r="N128" i="5"/>
  <c r="K29" i="12" s="1"/>
  <c r="N124" i="5"/>
  <c r="X139" i="5"/>
  <c r="L139" i="7" s="1"/>
  <c r="N130" i="5"/>
  <c r="X145" i="5"/>
  <c r="X137" i="5"/>
  <c r="N134" i="5"/>
  <c r="N126" i="5"/>
  <c r="X129" i="5"/>
  <c r="AA5" i="5"/>
  <c r="O5" i="7" s="1"/>
  <c r="AA7" i="5"/>
  <c r="O7" i="7" s="1"/>
  <c r="AA9" i="5"/>
  <c r="O9" i="7" s="1"/>
  <c r="AA11" i="5"/>
  <c r="O11" i="7" s="1"/>
  <c r="AA13" i="5"/>
  <c r="O13" i="7" s="1"/>
  <c r="AA15" i="5"/>
  <c r="O15" i="7" s="1"/>
  <c r="AA17" i="5"/>
  <c r="O17" i="7" s="1"/>
  <c r="AA19" i="5"/>
  <c r="O19" i="7" s="1"/>
  <c r="AA21" i="5"/>
  <c r="O21" i="7" s="1"/>
  <c r="AA23" i="5"/>
  <c r="O23" i="7" s="1"/>
  <c r="AA25" i="5"/>
  <c r="O25" i="7" s="1"/>
  <c r="Q14" i="5"/>
  <c r="Q12" i="5"/>
  <c r="Q10" i="5"/>
  <c r="Q8" i="5"/>
  <c r="N5" i="12" s="1"/>
  <c r="Q6" i="5"/>
  <c r="Q4" i="5"/>
  <c r="Q11" i="5"/>
  <c r="Q9" i="5"/>
  <c r="Q3" i="5"/>
  <c r="AA8" i="5"/>
  <c r="O8" i="7" s="1"/>
  <c r="AA16" i="5"/>
  <c r="O16" i="7" s="1"/>
  <c r="AA24" i="5"/>
  <c r="O24" i="7" s="1"/>
  <c r="AA6" i="5"/>
  <c r="O6" i="7" s="1"/>
  <c r="AA10" i="5"/>
  <c r="O10" i="7" s="1"/>
  <c r="AA14" i="5"/>
  <c r="O14" i="7" s="1"/>
  <c r="AA18" i="5"/>
  <c r="O18" i="7" s="1"/>
  <c r="AA22" i="5"/>
  <c r="O22" i="7" s="1"/>
  <c r="AA26" i="5"/>
  <c r="AA3" i="5"/>
  <c r="O3" i="7" s="1"/>
  <c r="Q13" i="5"/>
  <c r="Q7" i="5"/>
  <c r="Q5" i="5"/>
  <c r="N5" i="14" s="1"/>
  <c r="AA4" i="5"/>
  <c r="O4" i="7" s="1"/>
  <c r="AA12" i="5"/>
  <c r="O12" i="7" s="1"/>
  <c r="AA20" i="5"/>
  <c r="O20" i="7" s="1"/>
  <c r="Z45" i="5"/>
  <c r="N45" i="7" s="1"/>
  <c r="Z47" i="5"/>
  <c r="N47" i="7" s="1"/>
  <c r="Z49" i="5"/>
  <c r="N49" i="7" s="1"/>
  <c r="Z51" i="5"/>
  <c r="N51" i="7" s="1"/>
  <c r="Z44" i="5"/>
  <c r="Z53" i="5"/>
  <c r="N53" i="7" s="1"/>
  <c r="Z55" i="5"/>
  <c r="N55" i="7" s="1"/>
  <c r="Z57" i="5"/>
  <c r="N57" i="7" s="1"/>
  <c r="Z59" i="5"/>
  <c r="N59" i="7" s="1"/>
  <c r="Z61" i="5"/>
  <c r="N61" i="7" s="1"/>
  <c r="Z63" i="5"/>
  <c r="N63" i="7" s="1"/>
  <c r="Z65" i="5"/>
  <c r="N65" i="7" s="1"/>
  <c r="Z46" i="5"/>
  <c r="Z50" i="5"/>
  <c r="Z54" i="5"/>
  <c r="Z58" i="5"/>
  <c r="Z62" i="5"/>
  <c r="Z66" i="5"/>
  <c r="P54" i="5"/>
  <c r="P52" i="5"/>
  <c r="P50" i="5"/>
  <c r="P46" i="5"/>
  <c r="P44" i="5"/>
  <c r="Z60" i="5"/>
  <c r="Z52" i="5"/>
  <c r="Z43" i="5"/>
  <c r="N43" i="7" s="1"/>
  <c r="P53" i="5"/>
  <c r="P51" i="5"/>
  <c r="P47" i="5"/>
  <c r="P43" i="5"/>
  <c r="Z48" i="5"/>
  <c r="P48" i="5"/>
  <c r="Z56" i="5"/>
  <c r="Z64" i="5"/>
  <c r="P49" i="5"/>
  <c r="P45" i="5"/>
  <c r="M21" i="14" s="1"/>
  <c r="AA84" i="5"/>
  <c r="O84" i="7" s="1"/>
  <c r="AA86" i="5"/>
  <c r="O86" i="7" s="1"/>
  <c r="AA88" i="5"/>
  <c r="O88" i="7" s="1"/>
  <c r="AA90" i="5"/>
  <c r="O90" i="7" s="1"/>
  <c r="AA92" i="5"/>
  <c r="O92" i="7" s="1"/>
  <c r="AA94" i="5"/>
  <c r="O94" i="7" s="1"/>
  <c r="AA96" i="5"/>
  <c r="O96" i="7" s="1"/>
  <c r="AA98" i="5"/>
  <c r="O98" i="7" s="1"/>
  <c r="AA100" i="5"/>
  <c r="O100" i="7" s="1"/>
  <c r="AA102" i="5"/>
  <c r="O102" i="7" s="1"/>
  <c r="AA104" i="5"/>
  <c r="O104" i="7" s="1"/>
  <c r="AA106" i="5"/>
  <c r="AA85" i="5"/>
  <c r="O85" i="7" s="1"/>
  <c r="AA87" i="5"/>
  <c r="O87" i="7" s="1"/>
  <c r="AA89" i="5"/>
  <c r="O89" i="7" s="1"/>
  <c r="AA91" i="5"/>
  <c r="O91" i="7" s="1"/>
  <c r="AA93" i="5"/>
  <c r="O93" i="7" s="1"/>
  <c r="AA95" i="5"/>
  <c r="O95" i="7" s="1"/>
  <c r="AA97" i="5"/>
  <c r="O97" i="7" s="1"/>
  <c r="AA99" i="5"/>
  <c r="O99" i="7" s="1"/>
  <c r="AA101" i="5"/>
  <c r="O101" i="7" s="1"/>
  <c r="AA103" i="5"/>
  <c r="O103" i="7" s="1"/>
  <c r="AA105" i="5"/>
  <c r="O105" i="7" s="1"/>
  <c r="Q94" i="5"/>
  <c r="Q92" i="5"/>
  <c r="Q90" i="5"/>
  <c r="Q88" i="5"/>
  <c r="Q86" i="5"/>
  <c r="Q84" i="5"/>
  <c r="AA83" i="5"/>
  <c r="O83" i="7" s="1"/>
  <c r="Q87" i="5"/>
  <c r="Q93" i="5"/>
  <c r="Q89" i="5"/>
  <c r="Q85" i="5"/>
  <c r="N37" i="14" s="1"/>
  <c r="Q91" i="5"/>
  <c r="Q83" i="5"/>
  <c r="AA124" i="5"/>
  <c r="O124" i="7" s="1"/>
  <c r="AA126" i="5"/>
  <c r="O126" i="7" s="1"/>
  <c r="AA128" i="5"/>
  <c r="O128" i="7" s="1"/>
  <c r="AA130" i="5"/>
  <c r="O130" i="7" s="1"/>
  <c r="AA132" i="5"/>
  <c r="O132" i="7" s="1"/>
  <c r="AA134" i="5"/>
  <c r="O134" i="7" s="1"/>
  <c r="AA136" i="5"/>
  <c r="O136" i="7" s="1"/>
  <c r="AA138" i="5"/>
  <c r="O138" i="7" s="1"/>
  <c r="AA140" i="5"/>
  <c r="O140" i="7" s="1"/>
  <c r="AA142" i="5"/>
  <c r="O142" i="7" s="1"/>
  <c r="AA144" i="5"/>
  <c r="O144" i="7" s="1"/>
  <c r="AA146" i="5"/>
  <c r="O146" i="7" s="1"/>
  <c r="AA125" i="5"/>
  <c r="O125" i="7" s="1"/>
  <c r="AA127" i="5"/>
  <c r="O127" i="7" s="1"/>
  <c r="AA129" i="5"/>
  <c r="O129" i="7" s="1"/>
  <c r="AA131" i="5"/>
  <c r="O131" i="7" s="1"/>
  <c r="AA133" i="5"/>
  <c r="O133" i="7" s="1"/>
  <c r="AA135" i="5"/>
  <c r="O135" i="7" s="1"/>
  <c r="AA137" i="5"/>
  <c r="O137" i="7" s="1"/>
  <c r="AA139" i="5"/>
  <c r="O139" i="7" s="1"/>
  <c r="AA141" i="5"/>
  <c r="O141" i="7" s="1"/>
  <c r="AA143" i="5"/>
  <c r="O143" i="7" s="1"/>
  <c r="AA145" i="5"/>
  <c r="O145" i="7" s="1"/>
  <c r="Q133" i="5"/>
  <c r="Q131" i="5"/>
  <c r="Q129" i="5"/>
  <c r="Q127" i="5"/>
  <c r="Q125" i="5"/>
  <c r="N53" i="14" s="1"/>
  <c r="Q123" i="5"/>
  <c r="AA123" i="5"/>
  <c r="O123" i="7" s="1"/>
  <c r="Q132" i="5"/>
  <c r="Q128" i="5"/>
  <c r="Q124" i="5"/>
  <c r="Q134" i="5"/>
  <c r="Q130" i="5"/>
  <c r="Q126" i="5"/>
  <c r="X4" i="5"/>
  <c r="L4" i="7" s="1"/>
  <c r="X6" i="5"/>
  <c r="L6" i="7" s="1"/>
  <c r="X8" i="5"/>
  <c r="L8" i="7" s="1"/>
  <c r="X10" i="5"/>
  <c r="L10" i="7" s="1"/>
  <c r="X12" i="5"/>
  <c r="L12" i="7" s="1"/>
  <c r="X14" i="5"/>
  <c r="L14" i="7" s="1"/>
  <c r="X16" i="5"/>
  <c r="L16" i="7" s="1"/>
  <c r="X18" i="5"/>
  <c r="L18" i="7" s="1"/>
  <c r="X20" i="5"/>
  <c r="L20" i="7" s="1"/>
  <c r="X22" i="5"/>
  <c r="L22" i="7" s="1"/>
  <c r="X24" i="5"/>
  <c r="L24" i="7" s="1"/>
  <c r="X26" i="5"/>
  <c r="X3" i="5"/>
  <c r="L3" i="7" s="1"/>
  <c r="X5" i="5"/>
  <c r="X9" i="5"/>
  <c r="X13" i="5"/>
  <c r="X17" i="5"/>
  <c r="X21" i="5"/>
  <c r="X25" i="5"/>
  <c r="N13" i="5"/>
  <c r="N11" i="5"/>
  <c r="N9" i="5"/>
  <c r="N5" i="5"/>
  <c r="K5" i="14" s="1"/>
  <c r="N3" i="5"/>
  <c r="X7" i="5"/>
  <c r="X11" i="5"/>
  <c r="X19" i="5"/>
  <c r="X23" i="5"/>
  <c r="N7" i="5"/>
  <c r="X15" i="5"/>
  <c r="N14" i="5"/>
  <c r="N6" i="5"/>
  <c r="N8" i="5"/>
  <c r="K5" i="12" s="1"/>
  <c r="N10" i="5"/>
  <c r="N12" i="5"/>
  <c r="N4" i="5"/>
  <c r="Z5" i="5"/>
  <c r="N5" i="7" s="1"/>
  <c r="Z7" i="5"/>
  <c r="N7" i="7" s="1"/>
  <c r="Z9" i="5"/>
  <c r="N9" i="7" s="1"/>
  <c r="Z11" i="5"/>
  <c r="N11" i="7" s="1"/>
  <c r="Z13" i="5"/>
  <c r="N13" i="7" s="1"/>
  <c r="Z15" i="5"/>
  <c r="N15" i="7" s="1"/>
  <c r="Z17" i="5"/>
  <c r="N17" i="7" s="1"/>
  <c r="Z19" i="5"/>
  <c r="N19" i="7" s="1"/>
  <c r="Z21" i="5"/>
  <c r="N21" i="7" s="1"/>
  <c r="Z23" i="5"/>
  <c r="N23" i="7" s="1"/>
  <c r="Z25" i="5"/>
  <c r="N25" i="7" s="1"/>
  <c r="Z6" i="5"/>
  <c r="Z10" i="5"/>
  <c r="Z14" i="5"/>
  <c r="Z18" i="5"/>
  <c r="Z22" i="5"/>
  <c r="Z26" i="5"/>
  <c r="P14" i="5"/>
  <c r="P12" i="5"/>
  <c r="P10" i="5"/>
  <c r="P6" i="5"/>
  <c r="Z4" i="5"/>
  <c r="N4" i="7" s="1"/>
  <c r="Z8" i="5"/>
  <c r="N8" i="7" s="1"/>
  <c r="Z16" i="5"/>
  <c r="N16" i="7" s="1"/>
  <c r="P8" i="5"/>
  <c r="P4" i="5"/>
  <c r="Z12" i="5"/>
  <c r="N12" i="7" s="1"/>
  <c r="Z20" i="5"/>
  <c r="N20" i="7" s="1"/>
  <c r="Z24" i="5"/>
  <c r="N24" i="7" s="1"/>
  <c r="Z3" i="5"/>
  <c r="N3" i="7" s="1"/>
  <c r="P11" i="5"/>
  <c r="P3" i="5"/>
  <c r="P13" i="5"/>
  <c r="P5" i="5"/>
  <c r="M5" i="14" s="1"/>
  <c r="P7" i="5"/>
  <c r="P9" i="5"/>
  <c r="Y44" i="5"/>
  <c r="M44" i="7" s="1"/>
  <c r="Y46" i="5"/>
  <c r="M46" i="7" s="1"/>
  <c r="Y48" i="5"/>
  <c r="M48" i="7" s="1"/>
  <c r="Y50" i="5"/>
  <c r="M50" i="7" s="1"/>
  <c r="Y52" i="5"/>
  <c r="M52" i="7" s="1"/>
  <c r="Y47" i="5"/>
  <c r="M47" i="7" s="1"/>
  <c r="Y51" i="5"/>
  <c r="M51" i="7" s="1"/>
  <c r="Y43" i="5"/>
  <c r="Y54" i="5"/>
  <c r="M54" i="7" s="1"/>
  <c r="Y56" i="5"/>
  <c r="M56" i="7" s="1"/>
  <c r="Y58" i="5"/>
  <c r="M58" i="7" s="1"/>
  <c r="Y60" i="5"/>
  <c r="M60" i="7" s="1"/>
  <c r="Y62" i="5"/>
  <c r="M62" i="7" s="1"/>
  <c r="Y64" i="5"/>
  <c r="M64" i="7" s="1"/>
  <c r="Y66" i="5"/>
  <c r="Y45" i="5"/>
  <c r="M45" i="7" s="1"/>
  <c r="O53" i="5"/>
  <c r="O51" i="5"/>
  <c r="O49" i="5"/>
  <c r="O47" i="5"/>
  <c r="O45" i="5"/>
  <c r="L21" i="14" s="1"/>
  <c r="O43" i="5"/>
  <c r="Y49" i="5"/>
  <c r="M49" i="7" s="1"/>
  <c r="O52" i="5"/>
  <c r="O46" i="5"/>
  <c r="Y55" i="5"/>
  <c r="M55" i="7" s="1"/>
  <c r="Y63" i="5"/>
  <c r="M63" i="7" s="1"/>
  <c r="Y53" i="5"/>
  <c r="M53" i="7" s="1"/>
  <c r="Y57" i="5"/>
  <c r="M57" i="7" s="1"/>
  <c r="Y61" i="5"/>
  <c r="M61" i="7" s="1"/>
  <c r="Y65" i="5"/>
  <c r="M65" i="7" s="1"/>
  <c r="O54" i="5"/>
  <c r="O50" i="5"/>
  <c r="O48" i="5"/>
  <c r="O44" i="5"/>
  <c r="Y59" i="5"/>
  <c r="M59" i="7" s="1"/>
  <c r="Z83" i="5"/>
  <c r="N83" i="7" s="1"/>
  <c r="Z85" i="5"/>
  <c r="N85" i="7" s="1"/>
  <c r="Z87" i="5"/>
  <c r="N87" i="7" s="1"/>
  <c r="Z89" i="5"/>
  <c r="N89" i="7" s="1"/>
  <c r="Z91" i="5"/>
  <c r="N91" i="7" s="1"/>
  <c r="Z93" i="5"/>
  <c r="N93" i="7" s="1"/>
  <c r="Z95" i="5"/>
  <c r="N95" i="7" s="1"/>
  <c r="Z97" i="5"/>
  <c r="N97" i="7" s="1"/>
  <c r="Z99" i="5"/>
  <c r="N99" i="7" s="1"/>
  <c r="Z101" i="5"/>
  <c r="N101" i="7" s="1"/>
  <c r="Z103" i="5"/>
  <c r="N103" i="7" s="1"/>
  <c r="Z105" i="5"/>
  <c r="N105" i="7" s="1"/>
  <c r="Z84" i="5"/>
  <c r="Z92" i="5"/>
  <c r="N92" i="7" s="1"/>
  <c r="Z100" i="5"/>
  <c r="N100" i="7" s="1"/>
  <c r="P93" i="5"/>
  <c r="P91" i="5"/>
  <c r="P89" i="5"/>
  <c r="P87" i="5"/>
  <c r="P85" i="5"/>
  <c r="M37" i="14" s="1"/>
  <c r="P83" i="5"/>
  <c r="Z90" i="5"/>
  <c r="Z98" i="5"/>
  <c r="Z106" i="5"/>
  <c r="Z88" i="5"/>
  <c r="Z104" i="5"/>
  <c r="N104" i="7" s="1"/>
  <c r="P92" i="5"/>
  <c r="P88" i="5"/>
  <c r="M21" i="12" s="1"/>
  <c r="P84" i="5"/>
  <c r="Z96" i="5"/>
  <c r="N96" i="7" s="1"/>
  <c r="P94" i="5"/>
  <c r="P90" i="5"/>
  <c r="Z102" i="5"/>
  <c r="Z94" i="5"/>
  <c r="P86" i="5"/>
  <c r="Z86" i="5"/>
  <c r="Z123" i="5"/>
  <c r="N123" i="7" s="1"/>
  <c r="Z125" i="5"/>
  <c r="N125" i="7" s="1"/>
  <c r="Z127" i="5"/>
  <c r="N127" i="7" s="1"/>
  <c r="Z129" i="5"/>
  <c r="N129" i="7" s="1"/>
  <c r="Z131" i="5"/>
  <c r="N131" i="7" s="1"/>
  <c r="Z133" i="5"/>
  <c r="N133" i="7" s="1"/>
  <c r="Z135" i="5"/>
  <c r="N135" i="7" s="1"/>
  <c r="Z137" i="5"/>
  <c r="N137" i="7" s="1"/>
  <c r="Z139" i="5"/>
  <c r="N139" i="7" s="1"/>
  <c r="Z141" i="5"/>
  <c r="N141" i="7" s="1"/>
  <c r="Z143" i="5"/>
  <c r="N143" i="7" s="1"/>
  <c r="Z145" i="5"/>
  <c r="N145" i="7" s="1"/>
  <c r="Z124" i="5"/>
  <c r="Z132" i="5"/>
  <c r="Z140" i="5"/>
  <c r="P134" i="5"/>
  <c r="P132" i="5"/>
  <c r="P130" i="5"/>
  <c r="P128" i="5"/>
  <c r="M29" i="12" s="1"/>
  <c r="P126" i="5"/>
  <c r="P124" i="5"/>
  <c r="Z130" i="5"/>
  <c r="Z138" i="5"/>
  <c r="Z146" i="5"/>
  <c r="Z136" i="5"/>
  <c r="P133" i="5"/>
  <c r="P129" i="5"/>
  <c r="P125" i="5"/>
  <c r="M53" i="14" s="1"/>
  <c r="Z128" i="5"/>
  <c r="Z144" i="5"/>
  <c r="P127" i="5"/>
  <c r="P123" i="5"/>
  <c r="Z134" i="5"/>
  <c r="Z126" i="5"/>
  <c r="Z142" i="5"/>
  <c r="P131" i="5"/>
  <c r="I134" i="5"/>
  <c r="AE134" i="5" s="1"/>
  <c r="I124" i="5"/>
  <c r="AE124" i="5" s="1"/>
  <c r="I126" i="5"/>
  <c r="AE126" i="5" s="1"/>
  <c r="I128" i="5"/>
  <c r="AE128" i="5" s="1"/>
  <c r="I130" i="5"/>
  <c r="AE130" i="5" s="1"/>
  <c r="I132" i="5"/>
  <c r="AE132" i="5" s="1"/>
  <c r="D51" i="4"/>
  <c r="I125" i="5"/>
  <c r="AE125" i="5" s="1"/>
  <c r="I127" i="5"/>
  <c r="AE127" i="5" s="1"/>
  <c r="I129" i="5"/>
  <c r="AE129" i="5" s="1"/>
  <c r="I131" i="5"/>
  <c r="AE131" i="5" s="1"/>
  <c r="I133" i="5"/>
  <c r="AE133" i="5" s="1"/>
  <c r="S104" i="6"/>
  <c r="E144" i="7" s="1"/>
  <c r="S100" i="6"/>
  <c r="E140" i="7" s="1"/>
  <c r="S96" i="6"/>
  <c r="E136" i="7" s="1"/>
  <c r="S92" i="6"/>
  <c r="E132" i="7" s="1"/>
  <c r="S88" i="6"/>
  <c r="E128" i="7" s="1"/>
  <c r="S84" i="6"/>
  <c r="E124" i="7" s="1"/>
  <c r="L93" i="6"/>
  <c r="L89" i="6"/>
  <c r="L85" i="6"/>
  <c r="D53" i="14" s="1"/>
  <c r="S105" i="6"/>
  <c r="E145" i="7" s="1"/>
  <c r="S101" i="6"/>
  <c r="E141" i="7" s="1"/>
  <c r="S97" i="6"/>
  <c r="E137" i="7" s="1"/>
  <c r="S93" i="6"/>
  <c r="E133" i="7" s="1"/>
  <c r="S89" i="6"/>
  <c r="E129" i="7" s="1"/>
  <c r="S85" i="6"/>
  <c r="E125" i="7" s="1"/>
  <c r="L94" i="6"/>
  <c r="L90" i="6"/>
  <c r="L86" i="6"/>
  <c r="S106" i="6"/>
  <c r="E146" i="7" s="1"/>
  <c r="S102" i="6"/>
  <c r="E142" i="7" s="1"/>
  <c r="S98" i="6"/>
  <c r="E138" i="7" s="1"/>
  <c r="S94" i="6"/>
  <c r="E134" i="7" s="1"/>
  <c r="E10" i="9" s="1"/>
  <c r="S90" i="6"/>
  <c r="E130" i="7" s="1"/>
  <c r="S86" i="6"/>
  <c r="E126" i="7" s="1"/>
  <c r="L91" i="6"/>
  <c r="L87" i="6"/>
  <c r="L83" i="6"/>
  <c r="S103" i="6"/>
  <c r="E143" i="7" s="1"/>
  <c r="S99" i="6"/>
  <c r="E139" i="7" s="1"/>
  <c r="S95" i="6"/>
  <c r="E135" i="7" s="1"/>
  <c r="S91" i="6"/>
  <c r="E131" i="7" s="1"/>
  <c r="S87" i="6"/>
  <c r="E127" i="7" s="1"/>
  <c r="S83" i="6"/>
  <c r="E123" i="7" s="1"/>
  <c r="L92" i="6"/>
  <c r="L88" i="6"/>
  <c r="D29" i="12" s="1"/>
  <c r="L84" i="6"/>
  <c r="R103" i="6"/>
  <c r="D143" i="7" s="1"/>
  <c r="R99" i="6"/>
  <c r="D139" i="7" s="1"/>
  <c r="R95" i="6"/>
  <c r="D135" i="7" s="1"/>
  <c r="R91" i="6"/>
  <c r="D131" i="7" s="1"/>
  <c r="R87" i="6"/>
  <c r="D127" i="7" s="1"/>
  <c r="R83" i="6"/>
  <c r="D123" i="7" s="1"/>
  <c r="K92" i="6"/>
  <c r="K88" i="6"/>
  <c r="K84" i="6"/>
  <c r="R104" i="6"/>
  <c r="D144" i="7" s="1"/>
  <c r="R100" i="6"/>
  <c r="D140" i="7" s="1"/>
  <c r="R96" i="6"/>
  <c r="D136" i="7" s="1"/>
  <c r="R92" i="6"/>
  <c r="D132" i="7" s="1"/>
  <c r="R88" i="6"/>
  <c r="D128" i="7" s="1"/>
  <c r="R84" i="6"/>
  <c r="D124" i="7" s="1"/>
  <c r="K93" i="6"/>
  <c r="K89" i="6"/>
  <c r="K85" i="6"/>
  <c r="C53" i="14" s="1"/>
  <c r="R105" i="6"/>
  <c r="D145" i="7" s="1"/>
  <c r="R101" i="6"/>
  <c r="D141" i="7" s="1"/>
  <c r="R97" i="6"/>
  <c r="D137" i="7" s="1"/>
  <c r="R93" i="6"/>
  <c r="D133" i="7" s="1"/>
  <c r="R89" i="6"/>
  <c r="D129" i="7" s="1"/>
  <c r="R85" i="6"/>
  <c r="D125" i="7" s="1"/>
  <c r="K94" i="6"/>
  <c r="K90" i="6"/>
  <c r="K86" i="6"/>
  <c r="R106" i="6"/>
  <c r="D146" i="7" s="1"/>
  <c r="R102" i="6"/>
  <c r="D142" i="7" s="1"/>
  <c r="R98" i="6"/>
  <c r="D138" i="7" s="1"/>
  <c r="R94" i="6"/>
  <c r="D134" i="7" s="1"/>
  <c r="D10" i="9" s="1"/>
  <c r="R90" i="6"/>
  <c r="D130" i="7" s="1"/>
  <c r="R86" i="6"/>
  <c r="D126" i="7" s="1"/>
  <c r="K91" i="6"/>
  <c r="K87" i="6"/>
  <c r="K83" i="6"/>
  <c r="Q106" i="6"/>
  <c r="C146" i="7" s="1"/>
  <c r="Q102" i="6"/>
  <c r="C142" i="7" s="1"/>
  <c r="Q98" i="6"/>
  <c r="Q94" i="6"/>
  <c r="Q90" i="6"/>
  <c r="C130" i="7" s="1"/>
  <c r="Q86" i="6"/>
  <c r="C126" i="7" s="1"/>
  <c r="J91" i="6"/>
  <c r="J87" i="6"/>
  <c r="J83" i="6"/>
  <c r="Q103" i="6"/>
  <c r="C143" i="7" s="1"/>
  <c r="Q99" i="6"/>
  <c r="Q95" i="6"/>
  <c r="Q91" i="6"/>
  <c r="C131" i="7" s="1"/>
  <c r="Q87" i="6"/>
  <c r="C127" i="7" s="1"/>
  <c r="Q83" i="6"/>
  <c r="J92" i="6"/>
  <c r="J88" i="6"/>
  <c r="B29" i="12" s="1"/>
  <c r="J84" i="6"/>
  <c r="Q104" i="6"/>
  <c r="Q100" i="6"/>
  <c r="Q96" i="6"/>
  <c r="C136" i="7" s="1"/>
  <c r="Q92" i="6"/>
  <c r="C132" i="7" s="1"/>
  <c r="Q88" i="6"/>
  <c r="Q84" i="6"/>
  <c r="J93" i="6"/>
  <c r="J89" i="6"/>
  <c r="J85" i="6"/>
  <c r="B53" i="14" s="1"/>
  <c r="Q105" i="6"/>
  <c r="Q101" i="6"/>
  <c r="C141" i="7" s="1"/>
  <c r="Q97" i="6"/>
  <c r="C137" i="7" s="1"/>
  <c r="Q93" i="6"/>
  <c r="Q89" i="6"/>
  <c r="Q85" i="6"/>
  <c r="C125" i="7" s="1"/>
  <c r="J94" i="6"/>
  <c r="J90" i="6"/>
  <c r="J86" i="6"/>
  <c r="S66" i="6"/>
  <c r="E106" i="7" s="1"/>
  <c r="S62" i="6"/>
  <c r="E102" i="7" s="1"/>
  <c r="S58" i="6"/>
  <c r="E98" i="7" s="1"/>
  <c r="S54" i="6"/>
  <c r="E94" i="7" s="1"/>
  <c r="E8" i="9" s="1"/>
  <c r="S50" i="6"/>
  <c r="E90" i="7" s="1"/>
  <c r="S46" i="6"/>
  <c r="E86" i="7" s="1"/>
  <c r="L54" i="6"/>
  <c r="L50" i="6"/>
  <c r="L46" i="6"/>
  <c r="S63" i="6"/>
  <c r="E103" i="7" s="1"/>
  <c r="S59" i="6"/>
  <c r="E99" i="7" s="1"/>
  <c r="S55" i="6"/>
  <c r="E95" i="7" s="1"/>
  <c r="S51" i="6"/>
  <c r="E91" i="7" s="1"/>
  <c r="S47" i="6"/>
  <c r="E87" i="7" s="1"/>
  <c r="S43" i="6"/>
  <c r="E83" i="7" s="1"/>
  <c r="L51" i="6"/>
  <c r="L47" i="6"/>
  <c r="L43" i="6"/>
  <c r="S64" i="6"/>
  <c r="E104" i="7" s="1"/>
  <c r="S60" i="6"/>
  <c r="E100" i="7" s="1"/>
  <c r="S56" i="6"/>
  <c r="E96" i="7" s="1"/>
  <c r="S52" i="6"/>
  <c r="E92" i="7" s="1"/>
  <c r="S48" i="6"/>
  <c r="E88" i="7" s="1"/>
  <c r="S44" i="6"/>
  <c r="E84" i="7" s="1"/>
  <c r="L52" i="6"/>
  <c r="L48" i="6"/>
  <c r="L44" i="6"/>
  <c r="S65" i="6"/>
  <c r="E105" i="7" s="1"/>
  <c r="S61" i="6"/>
  <c r="E101" i="7" s="1"/>
  <c r="S57" i="6"/>
  <c r="E97" i="7" s="1"/>
  <c r="S53" i="6"/>
  <c r="E93" i="7" s="1"/>
  <c r="S49" i="6"/>
  <c r="E89" i="7" s="1"/>
  <c r="S45" i="6"/>
  <c r="E85" i="7" s="1"/>
  <c r="L53" i="6"/>
  <c r="L49" i="6"/>
  <c r="L45" i="6"/>
  <c r="D37" i="14" s="1"/>
  <c r="R65" i="6"/>
  <c r="D105" i="7" s="1"/>
  <c r="R61" i="6"/>
  <c r="D101" i="7" s="1"/>
  <c r="R57" i="6"/>
  <c r="D97" i="7" s="1"/>
  <c r="R53" i="6"/>
  <c r="D93" i="7" s="1"/>
  <c r="R49" i="6"/>
  <c r="D89" i="7" s="1"/>
  <c r="R45" i="6"/>
  <c r="D85" i="7" s="1"/>
  <c r="K53" i="6"/>
  <c r="K49" i="6"/>
  <c r="K45" i="6"/>
  <c r="C37" i="14" s="1"/>
  <c r="R66" i="6"/>
  <c r="D106" i="7" s="1"/>
  <c r="R62" i="6"/>
  <c r="D102" i="7" s="1"/>
  <c r="R58" i="6"/>
  <c r="D98" i="7" s="1"/>
  <c r="R54" i="6"/>
  <c r="D94" i="7" s="1"/>
  <c r="D8" i="9" s="1"/>
  <c r="R50" i="6"/>
  <c r="D90" i="7" s="1"/>
  <c r="R46" i="6"/>
  <c r="D86" i="7" s="1"/>
  <c r="K54" i="6"/>
  <c r="K50" i="6"/>
  <c r="K46" i="6"/>
  <c r="R63" i="6"/>
  <c r="D103" i="7" s="1"/>
  <c r="R59" i="6"/>
  <c r="D99" i="7" s="1"/>
  <c r="R55" i="6"/>
  <c r="D95" i="7" s="1"/>
  <c r="R51" i="6"/>
  <c r="D91" i="7" s="1"/>
  <c r="R47" i="6"/>
  <c r="D87" i="7" s="1"/>
  <c r="R43" i="6"/>
  <c r="D83" i="7" s="1"/>
  <c r="K51" i="6"/>
  <c r="K47" i="6"/>
  <c r="K43" i="6"/>
  <c r="R64" i="6"/>
  <c r="D104" i="7" s="1"/>
  <c r="R60" i="6"/>
  <c r="D100" i="7" s="1"/>
  <c r="R56" i="6"/>
  <c r="D96" i="7" s="1"/>
  <c r="R52" i="6"/>
  <c r="D92" i="7" s="1"/>
  <c r="R48" i="6"/>
  <c r="D88" i="7" s="1"/>
  <c r="R44" i="6"/>
  <c r="D84" i="7" s="1"/>
  <c r="K52" i="6"/>
  <c r="K48" i="6"/>
  <c r="K44" i="6"/>
  <c r="Q64" i="6"/>
  <c r="C104" i="7" s="1"/>
  <c r="Q60" i="6"/>
  <c r="C100" i="7" s="1"/>
  <c r="Q56" i="6"/>
  <c r="C96" i="7" s="1"/>
  <c r="Q52" i="6"/>
  <c r="C92" i="7" s="1"/>
  <c r="Q48" i="6"/>
  <c r="C88" i="7" s="1"/>
  <c r="Q44" i="6"/>
  <c r="C84" i="7" s="1"/>
  <c r="J52" i="6"/>
  <c r="J48" i="6"/>
  <c r="J44" i="6"/>
  <c r="Q65" i="6"/>
  <c r="C105" i="7" s="1"/>
  <c r="Q61" i="6"/>
  <c r="C101" i="7" s="1"/>
  <c r="Q57" i="6"/>
  <c r="C97" i="7" s="1"/>
  <c r="Q53" i="6"/>
  <c r="C93" i="7" s="1"/>
  <c r="Q49" i="6"/>
  <c r="C89" i="7" s="1"/>
  <c r="Q45" i="6"/>
  <c r="C85" i="7" s="1"/>
  <c r="J53" i="6"/>
  <c r="J49" i="6"/>
  <c r="J45" i="6"/>
  <c r="B37" i="14" s="1"/>
  <c r="Q66" i="6"/>
  <c r="Q62" i="6"/>
  <c r="Q58" i="6"/>
  <c r="C98" i="7" s="1"/>
  <c r="Q54" i="6"/>
  <c r="C94" i="7" s="1"/>
  <c r="Q50" i="6"/>
  <c r="Q46" i="6"/>
  <c r="J54" i="6"/>
  <c r="J50" i="6"/>
  <c r="J46" i="6"/>
  <c r="Q63" i="6"/>
  <c r="Q59" i="6"/>
  <c r="C99" i="7" s="1"/>
  <c r="Q55" i="6"/>
  <c r="C95" i="7" s="1"/>
  <c r="Q51" i="6"/>
  <c r="Q47" i="6"/>
  <c r="Q43" i="6"/>
  <c r="C83" i="7" s="1"/>
  <c r="J51" i="6"/>
  <c r="J47" i="6"/>
  <c r="J43" i="6"/>
  <c r="S26" i="6"/>
  <c r="E26" i="7" s="1"/>
  <c r="S22" i="6"/>
  <c r="E22" i="7" s="1"/>
  <c r="S18" i="6"/>
  <c r="E18" i="7" s="1"/>
  <c r="S14" i="6"/>
  <c r="E14" i="7" s="1"/>
  <c r="E4" i="9" s="1"/>
  <c r="S10" i="6"/>
  <c r="E10" i="7" s="1"/>
  <c r="S6" i="6"/>
  <c r="E6" i="7" s="1"/>
  <c r="L13" i="6"/>
  <c r="L9" i="6"/>
  <c r="L5" i="6"/>
  <c r="D5" i="14" s="1"/>
  <c r="S23" i="6"/>
  <c r="E23" i="7" s="1"/>
  <c r="S19" i="6"/>
  <c r="E19" i="7" s="1"/>
  <c r="S15" i="6"/>
  <c r="E15" i="7" s="1"/>
  <c r="S11" i="6"/>
  <c r="E11" i="7" s="1"/>
  <c r="S7" i="6"/>
  <c r="E7" i="7" s="1"/>
  <c r="S3" i="6"/>
  <c r="E3" i="7" s="1"/>
  <c r="L10" i="6"/>
  <c r="L6" i="6"/>
  <c r="S24" i="6"/>
  <c r="E24" i="7" s="1"/>
  <c r="S20" i="6"/>
  <c r="E20" i="7" s="1"/>
  <c r="S16" i="6"/>
  <c r="E16" i="7" s="1"/>
  <c r="S12" i="6"/>
  <c r="E12" i="7" s="1"/>
  <c r="S8" i="6"/>
  <c r="E8" i="7" s="1"/>
  <c r="S4" i="6"/>
  <c r="E4" i="7" s="1"/>
  <c r="L14" i="6"/>
  <c r="L11" i="6"/>
  <c r="L7" i="6"/>
  <c r="L3" i="6"/>
  <c r="S25" i="6"/>
  <c r="E25" i="7" s="1"/>
  <c r="S21" i="6"/>
  <c r="E21" i="7" s="1"/>
  <c r="S17" i="6"/>
  <c r="E17" i="7" s="1"/>
  <c r="S13" i="6"/>
  <c r="E13" i="7" s="1"/>
  <c r="S9" i="6"/>
  <c r="E9" i="7" s="1"/>
  <c r="S5" i="6"/>
  <c r="E5" i="7" s="1"/>
  <c r="L12" i="6"/>
  <c r="L8" i="6"/>
  <c r="D5" i="12" s="1"/>
  <c r="L4" i="6"/>
  <c r="R25" i="6"/>
  <c r="D25" i="7" s="1"/>
  <c r="R21" i="6"/>
  <c r="D21" i="7" s="1"/>
  <c r="R17" i="6"/>
  <c r="D17" i="7" s="1"/>
  <c r="R13" i="6"/>
  <c r="D13" i="7" s="1"/>
  <c r="R9" i="6"/>
  <c r="D9" i="7" s="1"/>
  <c r="R5" i="6"/>
  <c r="D5" i="7" s="1"/>
  <c r="K12" i="6"/>
  <c r="K8" i="6"/>
  <c r="K4" i="6"/>
  <c r="R26" i="6"/>
  <c r="D26" i="7" s="1"/>
  <c r="R22" i="6"/>
  <c r="D22" i="7" s="1"/>
  <c r="R18" i="6"/>
  <c r="D18" i="7" s="1"/>
  <c r="R14" i="6"/>
  <c r="D14" i="7" s="1"/>
  <c r="D4" i="9" s="1"/>
  <c r="R10" i="6"/>
  <c r="D10" i="7" s="1"/>
  <c r="R6" i="6"/>
  <c r="D6" i="7" s="1"/>
  <c r="K13" i="6"/>
  <c r="K9" i="6"/>
  <c r="K5" i="6"/>
  <c r="C5" i="14" s="1"/>
  <c r="R23" i="6"/>
  <c r="D23" i="7" s="1"/>
  <c r="R19" i="6"/>
  <c r="D19" i="7" s="1"/>
  <c r="R15" i="6"/>
  <c r="D15" i="7" s="1"/>
  <c r="R11" i="6"/>
  <c r="D11" i="7" s="1"/>
  <c r="R7" i="6"/>
  <c r="D7" i="7" s="1"/>
  <c r="R3" i="6"/>
  <c r="D3" i="7" s="1"/>
  <c r="K10" i="6"/>
  <c r="K6" i="6"/>
  <c r="R24" i="6"/>
  <c r="D24" i="7" s="1"/>
  <c r="R20" i="6"/>
  <c r="D20" i="7" s="1"/>
  <c r="R16" i="6"/>
  <c r="D16" i="7" s="1"/>
  <c r="R12" i="6"/>
  <c r="D12" i="7" s="1"/>
  <c r="R8" i="6"/>
  <c r="D8" i="7" s="1"/>
  <c r="R4" i="6"/>
  <c r="D4" i="7" s="1"/>
  <c r="K14" i="6"/>
  <c r="K11" i="6"/>
  <c r="K7" i="6"/>
  <c r="K3" i="6"/>
  <c r="F92" i="6"/>
  <c r="Q24" i="6"/>
  <c r="C24" i="7" s="1"/>
  <c r="Q20" i="6"/>
  <c r="C20" i="7" s="1"/>
  <c r="Q16" i="6"/>
  <c r="Q12" i="6"/>
  <c r="Q8" i="6"/>
  <c r="C8" i="7" s="1"/>
  <c r="Q4" i="6"/>
  <c r="C4" i="7" s="1"/>
  <c r="J11" i="6"/>
  <c r="J7" i="6"/>
  <c r="J3" i="6"/>
  <c r="Q25" i="6"/>
  <c r="C25" i="7" s="1"/>
  <c r="Q21" i="6"/>
  <c r="Q17" i="6"/>
  <c r="Q13" i="6"/>
  <c r="C13" i="7" s="1"/>
  <c r="Q9" i="6"/>
  <c r="C9" i="7" s="1"/>
  <c r="Q5" i="6"/>
  <c r="J12" i="6"/>
  <c r="J8" i="6"/>
  <c r="B5" i="12" s="1"/>
  <c r="J4" i="6"/>
  <c r="J14" i="6"/>
  <c r="Q26" i="6"/>
  <c r="Q22" i="6"/>
  <c r="C22" i="7" s="1"/>
  <c r="Q18" i="6"/>
  <c r="C18" i="7" s="1"/>
  <c r="Q14" i="6"/>
  <c r="Q10" i="6"/>
  <c r="Q6" i="6"/>
  <c r="C6" i="7" s="1"/>
  <c r="J13" i="6"/>
  <c r="J9" i="6"/>
  <c r="J5" i="6"/>
  <c r="B5" i="14" s="1"/>
  <c r="Q23" i="6"/>
  <c r="C23" i="7" s="1"/>
  <c r="Q19" i="6"/>
  <c r="C19" i="7" s="1"/>
  <c r="Q15" i="6"/>
  <c r="Q11" i="6"/>
  <c r="Q7" i="6"/>
  <c r="C7" i="7" s="1"/>
  <c r="Q3" i="6"/>
  <c r="C3" i="7" s="1"/>
  <c r="J10" i="6"/>
  <c r="J6" i="6"/>
  <c r="F84" i="6"/>
  <c r="F93" i="6"/>
  <c r="F85" i="6"/>
  <c r="F89" i="6"/>
  <c r="F87" i="6"/>
  <c r="I123" i="5"/>
  <c r="AE123" i="5" s="1"/>
  <c r="F90" i="6"/>
  <c r="F88" i="6"/>
  <c r="F11" i="6"/>
  <c r="F47" i="6"/>
  <c r="F83" i="6"/>
  <c r="F91" i="6"/>
  <c r="F86" i="6"/>
  <c r="F94" i="6"/>
  <c r="F6" i="6"/>
  <c r="F14" i="6"/>
  <c r="F50" i="6"/>
  <c r="F9" i="6"/>
  <c r="F10" i="6"/>
  <c r="F46" i="6"/>
  <c r="F54" i="6"/>
  <c r="F5" i="6"/>
  <c r="F13" i="6"/>
  <c r="F49" i="6"/>
  <c r="F8" i="6"/>
  <c r="F44" i="6"/>
  <c r="F52" i="6"/>
  <c r="F4" i="6"/>
  <c r="F12" i="6"/>
  <c r="F45" i="6"/>
  <c r="F53" i="6"/>
  <c r="F7" i="6"/>
  <c r="F48" i="6"/>
  <c r="F43" i="6"/>
  <c r="F51" i="6"/>
  <c r="F3" i="6"/>
  <c r="I84" i="5"/>
  <c r="I88" i="5"/>
  <c r="I92" i="5"/>
  <c r="I93" i="5"/>
  <c r="I87" i="5"/>
  <c r="I91" i="5"/>
  <c r="I86" i="5"/>
  <c r="I90" i="5"/>
  <c r="I94" i="5"/>
  <c r="I85" i="5"/>
  <c r="I89" i="5"/>
  <c r="I83" i="5"/>
  <c r="I43" i="5"/>
  <c r="I47" i="5"/>
  <c r="I51" i="5"/>
  <c r="I46" i="5"/>
  <c r="I50" i="5"/>
  <c r="I54" i="5"/>
  <c r="I45" i="5"/>
  <c r="I49" i="5"/>
  <c r="I53" i="5"/>
  <c r="I44" i="5"/>
  <c r="I48" i="5"/>
  <c r="I52" i="5"/>
  <c r="I14" i="5"/>
  <c r="I6" i="5"/>
  <c r="I10" i="5"/>
  <c r="I5" i="5"/>
  <c r="I9" i="5"/>
  <c r="I13" i="5"/>
  <c r="I8" i="5"/>
  <c r="I12" i="5"/>
  <c r="I4" i="5"/>
  <c r="I7" i="5"/>
  <c r="I11" i="5"/>
  <c r="I3" i="5"/>
  <c r="H127" i="4"/>
  <c r="H132" i="4"/>
  <c r="H134" i="4"/>
  <c r="H128" i="4"/>
  <c r="H126" i="4"/>
  <c r="H123" i="4"/>
  <c r="H129" i="4"/>
  <c r="H125" i="4"/>
  <c r="H131" i="4"/>
  <c r="H133" i="4"/>
  <c r="H124" i="4"/>
  <c r="H130" i="4"/>
  <c r="H85" i="4"/>
  <c r="H93" i="4"/>
  <c r="H90" i="4"/>
  <c r="H87" i="4"/>
  <c r="H84" i="4"/>
  <c r="H92" i="4"/>
  <c r="H89" i="4"/>
  <c r="H86" i="4"/>
  <c r="H94" i="4"/>
  <c r="H83" i="4"/>
  <c r="H91" i="4"/>
  <c r="H88" i="4"/>
  <c r="H11" i="4"/>
  <c r="H5" i="4"/>
  <c r="H13" i="4"/>
  <c r="H3" i="4"/>
  <c r="H14" i="4"/>
  <c r="H8" i="4"/>
  <c r="H10" i="4"/>
  <c r="H7" i="4"/>
  <c r="H4" i="4"/>
  <c r="H12" i="4"/>
  <c r="H9" i="4"/>
  <c r="H6" i="4"/>
  <c r="AC158" i="5" l="1"/>
  <c r="J10" i="8"/>
  <c r="G10" i="8"/>
  <c r="O10" i="8"/>
  <c r="F10" i="8"/>
  <c r="P10" i="8"/>
  <c r="M10" i="8"/>
  <c r="N6" i="8"/>
  <c r="M6" i="8"/>
  <c r="N6" i="14"/>
  <c r="N7" i="14" s="1"/>
  <c r="N8" i="14" s="1"/>
  <c r="P6" i="8"/>
  <c r="O6" i="8"/>
  <c r="L6" i="8"/>
  <c r="K6" i="8"/>
  <c r="L10" i="8"/>
  <c r="N10" i="8"/>
  <c r="Q17" i="10"/>
  <c r="H10" i="8"/>
  <c r="I10" i="8"/>
  <c r="H6" i="14"/>
  <c r="H7" i="14" s="1"/>
  <c r="H8" i="14" s="1"/>
  <c r="D10" i="8"/>
  <c r="E10" i="8"/>
  <c r="H38" i="14"/>
  <c r="H39" i="14" s="1"/>
  <c r="H40" i="14" s="1"/>
  <c r="E8" i="8"/>
  <c r="D4" i="8"/>
  <c r="D8" i="8"/>
  <c r="F38" i="14"/>
  <c r="F39" i="14" s="1"/>
  <c r="F40" i="14" s="1"/>
  <c r="E4" i="8"/>
  <c r="S11" i="14"/>
  <c r="L6" i="14"/>
  <c r="L7" i="14" s="1"/>
  <c r="L8" i="14" s="1"/>
  <c r="M54" i="14"/>
  <c r="M55" i="14" s="1"/>
  <c r="M56" i="14" s="1"/>
  <c r="M5" i="12"/>
  <c r="M6" i="12" s="1"/>
  <c r="M6" i="14"/>
  <c r="M7" i="14" s="1"/>
  <c r="M8" i="14" s="1"/>
  <c r="K54" i="14"/>
  <c r="K55" i="14" s="1"/>
  <c r="K56" i="14" s="1"/>
  <c r="O54" i="14"/>
  <c r="O55" i="14" s="1"/>
  <c r="O56" i="14" s="1"/>
  <c r="L54" i="14"/>
  <c r="L55" i="14" s="1"/>
  <c r="L38" i="14"/>
  <c r="L39" i="14" s="1"/>
  <c r="L40" i="14" s="1"/>
  <c r="J6" i="14"/>
  <c r="J7" i="14" s="1"/>
  <c r="R5" i="14"/>
  <c r="L13" i="12"/>
  <c r="L14" i="12" s="1"/>
  <c r="L22" i="14"/>
  <c r="L23" i="14" s="1"/>
  <c r="L24" i="14" s="1"/>
  <c r="O13" i="12"/>
  <c r="O14" i="12" s="1"/>
  <c r="O22" i="14"/>
  <c r="O23" i="14" s="1"/>
  <c r="J29" i="12"/>
  <c r="J30" i="12" s="1"/>
  <c r="J54" i="14"/>
  <c r="M38" i="14"/>
  <c r="M39" i="14" s="1"/>
  <c r="M40" i="14" s="1"/>
  <c r="N29" i="12"/>
  <c r="N30" i="12" s="1"/>
  <c r="N54" i="14"/>
  <c r="M13" i="12"/>
  <c r="M14" i="12" s="1"/>
  <c r="M22" i="14"/>
  <c r="M23" i="14" s="1"/>
  <c r="K21" i="12"/>
  <c r="K38" i="14"/>
  <c r="K39" i="14" s="1"/>
  <c r="O21" i="12"/>
  <c r="O22" i="12" s="1"/>
  <c r="O38" i="14"/>
  <c r="O39" i="14" s="1"/>
  <c r="R53" i="14"/>
  <c r="J13" i="12"/>
  <c r="J14" i="12" s="1"/>
  <c r="J22" i="14"/>
  <c r="R21" i="14"/>
  <c r="K6" i="14"/>
  <c r="K7" i="14" s="1"/>
  <c r="K8" i="14" s="1"/>
  <c r="N21" i="12"/>
  <c r="N22" i="12" s="1"/>
  <c r="N38" i="14"/>
  <c r="N39" i="14" s="1"/>
  <c r="N40" i="14" s="1"/>
  <c r="N13" i="12"/>
  <c r="N14" i="12" s="1"/>
  <c r="N22" i="14"/>
  <c r="N23" i="14" s="1"/>
  <c r="J38" i="14"/>
  <c r="R37" i="14"/>
  <c r="K13" i="12"/>
  <c r="K14" i="12" s="1"/>
  <c r="K22" i="14"/>
  <c r="K23" i="14" s="1"/>
  <c r="O5" i="12"/>
  <c r="O6" i="12" s="1"/>
  <c r="O6" i="14"/>
  <c r="O7" i="14" s="1"/>
  <c r="O8" i="14" s="1"/>
  <c r="G54" i="14"/>
  <c r="G55" i="14" s="1"/>
  <c r="G56" i="14" s="1"/>
  <c r="H54" i="14"/>
  <c r="H55" i="14" s="1"/>
  <c r="F54" i="14"/>
  <c r="F55" i="14" s="1"/>
  <c r="F56" i="14" s="1"/>
  <c r="M51" i="4"/>
  <c r="Q5" i="14"/>
  <c r="I54" i="14"/>
  <c r="I55" i="14" s="1"/>
  <c r="I56" i="14" s="1"/>
  <c r="E5" i="12"/>
  <c r="E6" i="12" s="1"/>
  <c r="E6" i="14"/>
  <c r="G21" i="12"/>
  <c r="G22" i="12" s="1"/>
  <c r="G38" i="14"/>
  <c r="G39" i="14" s="1"/>
  <c r="G5" i="12"/>
  <c r="G6" i="12" s="1"/>
  <c r="G6" i="14"/>
  <c r="G7" i="14" s="1"/>
  <c r="I5" i="12"/>
  <c r="I6" i="12" s="1"/>
  <c r="I6" i="14"/>
  <c r="I7" i="14" s="1"/>
  <c r="E54" i="14"/>
  <c r="E55" i="14" s="1"/>
  <c r="Q53" i="14"/>
  <c r="E38" i="14"/>
  <c r="E39" i="14" s="1"/>
  <c r="Q37" i="14"/>
  <c r="I38" i="14"/>
  <c r="I39" i="14" s="1"/>
  <c r="I40" i="14" s="1"/>
  <c r="M45" i="4"/>
  <c r="I21" i="14"/>
  <c r="Q21" i="14" s="1"/>
  <c r="F6" i="14"/>
  <c r="C5" i="12"/>
  <c r="C6" i="12" s="1"/>
  <c r="C6" i="14"/>
  <c r="C7" i="14" s="1"/>
  <c r="T59" i="14"/>
  <c r="S59" i="14"/>
  <c r="W59" i="14" s="1"/>
  <c r="C21" i="12"/>
  <c r="C22" i="12" s="1"/>
  <c r="C38" i="14"/>
  <c r="C39" i="14" s="1"/>
  <c r="B54" i="14"/>
  <c r="B55" i="14" s="1"/>
  <c r="P53" i="14"/>
  <c r="B12" i="14"/>
  <c r="P12" i="14" s="1"/>
  <c r="S12" i="14" s="1"/>
  <c r="P37" i="14"/>
  <c r="D21" i="12"/>
  <c r="D22" i="12" s="1"/>
  <c r="D38" i="14"/>
  <c r="D39" i="14" s="1"/>
  <c r="D40" i="14" s="1"/>
  <c r="C54" i="14"/>
  <c r="C55" i="14" s="1"/>
  <c r="C56" i="14" s="1"/>
  <c r="B60" i="14"/>
  <c r="P60" i="14" s="1"/>
  <c r="B21" i="12"/>
  <c r="B22" i="12" s="1"/>
  <c r="B38" i="14"/>
  <c r="B44" i="14"/>
  <c r="P44" i="14" s="1"/>
  <c r="S44" i="14" s="1"/>
  <c r="P43" i="14"/>
  <c r="S43" i="14" s="1"/>
  <c r="B6" i="14"/>
  <c r="P5" i="14"/>
  <c r="D6" i="14"/>
  <c r="D54" i="14"/>
  <c r="T58" i="14"/>
  <c r="S58" i="14"/>
  <c r="W58" i="14" s="1"/>
  <c r="O79" i="7"/>
  <c r="S70" i="7"/>
  <c r="K155" i="7"/>
  <c r="S155" i="7" s="1"/>
  <c r="AC155" i="5"/>
  <c r="S72" i="7"/>
  <c r="S67" i="7"/>
  <c r="S75" i="7"/>
  <c r="K153" i="7"/>
  <c r="S153" i="7" s="1"/>
  <c r="AC153" i="5"/>
  <c r="K147" i="7"/>
  <c r="S147" i="7" s="1"/>
  <c r="AC147" i="5"/>
  <c r="K149" i="7"/>
  <c r="AC149" i="5"/>
  <c r="S78" i="7"/>
  <c r="N79" i="7"/>
  <c r="S74" i="7"/>
  <c r="S69" i="7"/>
  <c r="S77" i="7"/>
  <c r="M79" i="7"/>
  <c r="K158" i="7"/>
  <c r="K79" i="7" s="1"/>
  <c r="K156" i="7"/>
  <c r="S156" i="7" s="1"/>
  <c r="AC156" i="5"/>
  <c r="K150" i="7"/>
  <c r="S150" i="7" s="1"/>
  <c r="AC150" i="5"/>
  <c r="P79" i="7"/>
  <c r="L79" i="7"/>
  <c r="S73" i="7"/>
  <c r="K152" i="7"/>
  <c r="S152" i="7" s="1"/>
  <c r="AC152" i="5"/>
  <c r="K157" i="7"/>
  <c r="S157" i="7" s="1"/>
  <c r="AC157" i="5"/>
  <c r="S68" i="7"/>
  <c r="S76" i="7"/>
  <c r="S71" i="7"/>
  <c r="AC154" i="5"/>
  <c r="K154" i="7"/>
  <c r="S154" i="7" s="1"/>
  <c r="K148" i="7"/>
  <c r="S148" i="7" s="1"/>
  <c r="AC148" i="5"/>
  <c r="K151" i="7"/>
  <c r="S151" i="7" s="1"/>
  <c r="AC151" i="5"/>
  <c r="R37" i="7"/>
  <c r="R28" i="7"/>
  <c r="R36" i="7"/>
  <c r="V72" i="4"/>
  <c r="J72" i="7"/>
  <c r="R72" i="7" s="1"/>
  <c r="V67" i="4"/>
  <c r="J67" i="7"/>
  <c r="R67" i="7" s="1"/>
  <c r="V75" i="4"/>
  <c r="J75" i="7"/>
  <c r="R75" i="7" s="1"/>
  <c r="R111" i="7"/>
  <c r="R108" i="7"/>
  <c r="R116" i="7"/>
  <c r="R151" i="7"/>
  <c r="R148" i="7"/>
  <c r="R156" i="7"/>
  <c r="J4" i="8"/>
  <c r="J39" i="7"/>
  <c r="R27" i="7"/>
  <c r="R30" i="7"/>
  <c r="F4" i="8"/>
  <c r="F39" i="7"/>
  <c r="R38" i="7"/>
  <c r="G39" i="7"/>
  <c r="G4" i="8"/>
  <c r="H39" i="7"/>
  <c r="H4" i="8"/>
  <c r="V74" i="4"/>
  <c r="J74" i="7"/>
  <c r="R74" i="7" s="1"/>
  <c r="V69" i="4"/>
  <c r="J69" i="7"/>
  <c r="V77" i="4"/>
  <c r="J77" i="7"/>
  <c r="R77" i="7" s="1"/>
  <c r="J8" i="8"/>
  <c r="J119" i="7"/>
  <c r="G119" i="7"/>
  <c r="G8" i="8"/>
  <c r="R113" i="7"/>
  <c r="R110" i="7"/>
  <c r="F8" i="8"/>
  <c r="F119" i="7"/>
  <c r="R118" i="7"/>
  <c r="R153" i="7"/>
  <c r="R150" i="7"/>
  <c r="R158" i="7"/>
  <c r="R33" i="7"/>
  <c r="R29" i="7"/>
  <c r="R32" i="7"/>
  <c r="V68" i="4"/>
  <c r="J68" i="7"/>
  <c r="R68" i="7" s="1"/>
  <c r="V76" i="4"/>
  <c r="J76" i="7"/>
  <c r="R76" i="7" s="1"/>
  <c r="V71" i="4"/>
  <c r="J71" i="7"/>
  <c r="R71" i="7" s="1"/>
  <c r="R107" i="7"/>
  <c r="R115" i="7"/>
  <c r="R112" i="7"/>
  <c r="R147" i="7"/>
  <c r="R155" i="7"/>
  <c r="R152" i="7"/>
  <c r="I4" i="8"/>
  <c r="I39" i="7"/>
  <c r="R35" i="7"/>
  <c r="R31" i="7"/>
  <c r="R34" i="7"/>
  <c r="V70" i="4"/>
  <c r="J70" i="7"/>
  <c r="R70" i="7" s="1"/>
  <c r="V78" i="4"/>
  <c r="J78" i="7"/>
  <c r="V73" i="4"/>
  <c r="J73" i="7"/>
  <c r="R73" i="7" s="1"/>
  <c r="I8" i="8"/>
  <c r="I119" i="7"/>
  <c r="R109" i="7"/>
  <c r="R117" i="7"/>
  <c r="R114" i="7"/>
  <c r="H8" i="8"/>
  <c r="H119" i="7"/>
  <c r="R149" i="7"/>
  <c r="R157" i="7"/>
  <c r="R154" i="7"/>
  <c r="Q30" i="7"/>
  <c r="Q112" i="7"/>
  <c r="Q35" i="7"/>
  <c r="Q4" i="8" s="1"/>
  <c r="Q27" i="7"/>
  <c r="Q31" i="7"/>
  <c r="Q109" i="7"/>
  <c r="Q113" i="7"/>
  <c r="Q117" i="7"/>
  <c r="C4" i="8"/>
  <c r="Q38" i="7"/>
  <c r="Q108" i="7"/>
  <c r="Q116" i="7"/>
  <c r="T17" i="10"/>
  <c r="Q36" i="7"/>
  <c r="Q28" i="7"/>
  <c r="Q32" i="7"/>
  <c r="Q110" i="7"/>
  <c r="Q114" i="7"/>
  <c r="C8" i="8"/>
  <c r="Q118" i="7"/>
  <c r="Q34" i="7"/>
  <c r="Q33" i="7"/>
  <c r="Q37" i="7"/>
  <c r="Q29" i="7"/>
  <c r="Q107" i="7"/>
  <c r="Q111" i="7"/>
  <c r="Q115" i="7"/>
  <c r="T108" i="6"/>
  <c r="C148" i="7"/>
  <c r="Q148" i="7" s="1"/>
  <c r="C154" i="7"/>
  <c r="Q154" i="7" s="1"/>
  <c r="T114" i="6"/>
  <c r="C152" i="7"/>
  <c r="Q152" i="7" s="1"/>
  <c r="T112" i="6"/>
  <c r="C147" i="7"/>
  <c r="Q147" i="7" s="1"/>
  <c r="T107" i="6"/>
  <c r="C149" i="7"/>
  <c r="T109" i="6"/>
  <c r="C151" i="7"/>
  <c r="Q151" i="7" s="1"/>
  <c r="T111" i="6"/>
  <c r="D39" i="7"/>
  <c r="D119" i="7"/>
  <c r="C155" i="7"/>
  <c r="Q155" i="7" s="1"/>
  <c r="T115" i="6"/>
  <c r="C157" i="7"/>
  <c r="Q157" i="7" s="1"/>
  <c r="T117" i="6"/>
  <c r="C156" i="7"/>
  <c r="Q156" i="7" s="1"/>
  <c r="T116" i="6"/>
  <c r="E119" i="7"/>
  <c r="E39" i="7"/>
  <c r="C158" i="7"/>
  <c r="T118" i="6"/>
  <c r="C153" i="7"/>
  <c r="Q153" i="7" s="1"/>
  <c r="T113" i="6"/>
  <c r="C150" i="7"/>
  <c r="Q150" i="7" s="1"/>
  <c r="T110" i="6"/>
  <c r="N4" i="8"/>
  <c r="N39" i="7"/>
  <c r="S29" i="7"/>
  <c r="S32" i="7"/>
  <c r="S35" i="7"/>
  <c r="S33" i="7"/>
  <c r="S36" i="7"/>
  <c r="S30" i="7"/>
  <c r="M4" i="8"/>
  <c r="M39" i="7"/>
  <c r="S37" i="7"/>
  <c r="S27" i="7"/>
  <c r="S34" i="7"/>
  <c r="L39" i="7"/>
  <c r="L4" i="8"/>
  <c r="O39" i="7"/>
  <c r="O4" i="8"/>
  <c r="P39" i="7"/>
  <c r="P4" i="8"/>
  <c r="S28" i="7"/>
  <c r="S31" i="7"/>
  <c r="K4" i="8"/>
  <c r="S38" i="7"/>
  <c r="S108" i="7"/>
  <c r="S116" i="7"/>
  <c r="S111" i="7"/>
  <c r="L119" i="7"/>
  <c r="L8" i="8"/>
  <c r="O119" i="7"/>
  <c r="O8" i="8"/>
  <c r="P119" i="7"/>
  <c r="P8" i="8"/>
  <c r="S110" i="7"/>
  <c r="K8" i="8"/>
  <c r="S118" i="7"/>
  <c r="S113" i="7"/>
  <c r="S112" i="7"/>
  <c r="S107" i="7"/>
  <c r="S115" i="7"/>
  <c r="M119" i="7"/>
  <c r="M8" i="8"/>
  <c r="N8" i="8"/>
  <c r="N119" i="7"/>
  <c r="S114" i="7"/>
  <c r="S109" i="7"/>
  <c r="S117" i="7"/>
  <c r="AC108" i="5"/>
  <c r="AC111" i="5"/>
  <c r="AC110" i="5"/>
  <c r="AD110" i="5" s="1"/>
  <c r="AC118" i="5"/>
  <c r="AC113" i="5"/>
  <c r="AC112" i="5"/>
  <c r="AC107" i="5"/>
  <c r="AC115" i="5"/>
  <c r="AC116" i="5"/>
  <c r="AC114" i="5"/>
  <c r="AC109" i="5"/>
  <c r="AC117" i="5"/>
  <c r="AC76" i="5"/>
  <c r="AC78" i="5"/>
  <c r="AC72" i="5"/>
  <c r="AC67" i="5"/>
  <c r="AC75" i="5"/>
  <c r="AC68" i="5"/>
  <c r="AC71" i="5"/>
  <c r="AC70" i="5"/>
  <c r="AC73" i="5"/>
  <c r="AC74" i="5"/>
  <c r="AC69" i="5"/>
  <c r="AC77" i="5"/>
  <c r="AC37" i="5"/>
  <c r="AC27" i="5"/>
  <c r="AE27" i="5" s="1"/>
  <c r="AC29" i="5"/>
  <c r="AC32" i="5"/>
  <c r="AC35" i="5"/>
  <c r="AE35" i="5" s="1"/>
  <c r="AC33" i="5"/>
  <c r="AC36" i="5"/>
  <c r="AC30" i="5"/>
  <c r="AE30" i="5" s="1"/>
  <c r="AC34" i="5"/>
  <c r="AC28" i="5"/>
  <c r="AE28" i="5" s="1"/>
  <c r="AC31" i="5"/>
  <c r="AE31" i="5" s="1"/>
  <c r="AC38" i="5"/>
  <c r="AE38" i="5" s="1"/>
  <c r="Z147" i="4"/>
  <c r="Z155" i="4"/>
  <c r="Z152" i="4"/>
  <c r="Z149" i="4"/>
  <c r="Z157" i="4"/>
  <c r="Z154" i="4"/>
  <c r="Z151" i="4"/>
  <c r="Z148" i="4"/>
  <c r="Z156" i="4"/>
  <c r="Z153" i="4"/>
  <c r="Z150" i="4"/>
  <c r="Z158" i="4"/>
  <c r="Z109" i="4"/>
  <c r="Z117" i="4"/>
  <c r="Z114" i="4"/>
  <c r="Z107" i="4"/>
  <c r="Z112" i="4"/>
  <c r="Z111" i="4"/>
  <c r="Z108" i="4"/>
  <c r="Z116" i="4"/>
  <c r="Z115" i="4"/>
  <c r="Z27" i="4"/>
  <c r="Z113" i="4"/>
  <c r="Z110" i="4"/>
  <c r="Z118" i="4"/>
  <c r="Z31" i="4"/>
  <c r="Z35" i="4"/>
  <c r="Z33" i="4"/>
  <c r="Z29" i="4"/>
  <c r="Z32" i="4"/>
  <c r="Z34" i="4"/>
  <c r="Z37" i="4"/>
  <c r="Z28" i="4"/>
  <c r="Z36" i="4"/>
  <c r="Z30" i="4"/>
  <c r="Z38" i="4"/>
  <c r="T67" i="6"/>
  <c r="T71" i="6"/>
  <c r="T75" i="6"/>
  <c r="T68" i="6"/>
  <c r="T72" i="6"/>
  <c r="T76" i="6"/>
  <c r="T69" i="6"/>
  <c r="T73" i="6"/>
  <c r="T77" i="6"/>
  <c r="T70" i="6"/>
  <c r="T74" i="6"/>
  <c r="T78" i="6"/>
  <c r="T33" i="6"/>
  <c r="T37" i="6"/>
  <c r="T29" i="6"/>
  <c r="T34" i="6"/>
  <c r="T38" i="6"/>
  <c r="T30" i="6"/>
  <c r="T35" i="6"/>
  <c r="T27" i="6"/>
  <c r="T31" i="6"/>
  <c r="T36" i="6"/>
  <c r="T28" i="6"/>
  <c r="T32" i="6"/>
  <c r="H22" i="12"/>
  <c r="M6" i="9"/>
  <c r="P6" i="9"/>
  <c r="O10" i="9"/>
  <c r="L8" i="9"/>
  <c r="L6" i="9"/>
  <c r="M8" i="9"/>
  <c r="L6" i="12"/>
  <c r="J6" i="12"/>
  <c r="K6" i="12"/>
  <c r="Q9" i="4"/>
  <c r="I30" i="12"/>
  <c r="Q125" i="4"/>
  <c r="M90" i="6"/>
  <c r="M91" i="6"/>
  <c r="Q141" i="7"/>
  <c r="Q136" i="7"/>
  <c r="Q131" i="7"/>
  <c r="M86" i="6"/>
  <c r="Q6" i="7"/>
  <c r="Q7" i="7"/>
  <c r="Q83" i="7"/>
  <c r="Q92" i="7"/>
  <c r="M11" i="6"/>
  <c r="M6" i="6"/>
  <c r="Q104" i="7"/>
  <c r="Q130" i="7"/>
  <c r="B30" i="12"/>
  <c r="M87" i="6"/>
  <c r="Q101" i="7"/>
  <c r="Q96" i="7"/>
  <c r="M43" i="6"/>
  <c r="Q97" i="7"/>
  <c r="J17" i="9"/>
  <c r="D15" i="9"/>
  <c r="L10" i="9"/>
  <c r="E17" i="9"/>
  <c r="M30" i="12"/>
  <c r="S52" i="5"/>
  <c r="K30" i="12"/>
  <c r="J22" i="12"/>
  <c r="S53" i="5"/>
  <c r="M4" i="9"/>
  <c r="P4" i="9"/>
  <c r="D17" i="9"/>
  <c r="O4" i="9"/>
  <c r="E15" i="9"/>
  <c r="N6" i="12"/>
  <c r="L4" i="9"/>
  <c r="O8" i="9"/>
  <c r="P10" i="9"/>
  <c r="P8" i="9"/>
  <c r="M10" i="9"/>
  <c r="T15" i="6"/>
  <c r="C15" i="7"/>
  <c r="Q15" i="7" s="1"/>
  <c r="T14" i="6"/>
  <c r="C14" i="7"/>
  <c r="T5" i="6"/>
  <c r="C5" i="7"/>
  <c r="Q5" i="7" s="1"/>
  <c r="T63" i="6"/>
  <c r="C103" i="7"/>
  <c r="Q103" i="7" s="1"/>
  <c r="T62" i="6"/>
  <c r="C102" i="7"/>
  <c r="Q102" i="7" s="1"/>
  <c r="Q19" i="7"/>
  <c r="Q9" i="7"/>
  <c r="Q4" i="7"/>
  <c r="M47" i="6"/>
  <c r="T93" i="6"/>
  <c r="C133" i="7"/>
  <c r="Q133" i="7" s="1"/>
  <c r="T88" i="6"/>
  <c r="C128" i="7"/>
  <c r="Q128" i="7" s="1"/>
  <c r="T83" i="6"/>
  <c r="C123" i="7"/>
  <c r="Q123" i="7" s="1"/>
  <c r="I22" i="12"/>
  <c r="T17" i="6"/>
  <c r="C17" i="7"/>
  <c r="Q17" i="7" s="1"/>
  <c r="T89" i="6"/>
  <c r="C129" i="7"/>
  <c r="Q129" i="7" s="1"/>
  <c r="T84" i="6"/>
  <c r="C124" i="7"/>
  <c r="Q124" i="7" s="1"/>
  <c r="M89" i="6"/>
  <c r="S54" i="5"/>
  <c r="T66" i="5" s="1"/>
  <c r="L30" i="12"/>
  <c r="S11" i="5"/>
  <c r="Q18" i="7"/>
  <c r="M46" i="6"/>
  <c r="T66" i="6"/>
  <c r="C106" i="7"/>
  <c r="Q4" i="4"/>
  <c r="Q23" i="7"/>
  <c r="Q22" i="7"/>
  <c r="Q13" i="7"/>
  <c r="Q8" i="7"/>
  <c r="Q105" i="7"/>
  <c r="Q100" i="7"/>
  <c r="Q137" i="7"/>
  <c r="Q132" i="7"/>
  <c r="Q127" i="7"/>
  <c r="Q126" i="7"/>
  <c r="O6" i="9"/>
  <c r="T12" i="6"/>
  <c r="C12" i="7"/>
  <c r="Q12" i="7" s="1"/>
  <c r="M10" i="6"/>
  <c r="M14" i="6"/>
  <c r="B6" i="12"/>
  <c r="T16" i="6"/>
  <c r="C16" i="7"/>
  <c r="Q16" i="7" s="1"/>
  <c r="T46" i="6"/>
  <c r="C86" i="7"/>
  <c r="Q86" i="7" s="1"/>
  <c r="T95" i="6"/>
  <c r="C135" i="7"/>
  <c r="Q135" i="7" s="1"/>
  <c r="S12" i="5"/>
  <c r="Q3" i="7"/>
  <c r="Q25" i="7"/>
  <c r="Q20" i="7"/>
  <c r="D6" i="12"/>
  <c r="T51" i="6"/>
  <c r="C91" i="7"/>
  <c r="Q91" i="7" s="1"/>
  <c r="T50" i="6"/>
  <c r="C90" i="7"/>
  <c r="Q90" i="7" s="1"/>
  <c r="Q85" i="7"/>
  <c r="T104" i="6"/>
  <c r="C144" i="7"/>
  <c r="Q144" i="7" s="1"/>
  <c r="T99" i="6"/>
  <c r="C139" i="7"/>
  <c r="Q139" i="7" s="1"/>
  <c r="T98" i="6"/>
  <c r="C138" i="7"/>
  <c r="Q138" i="7" s="1"/>
  <c r="D30" i="12"/>
  <c r="M22" i="12"/>
  <c r="L22" i="12"/>
  <c r="Q13" i="4"/>
  <c r="Q126" i="4"/>
  <c r="C8" i="9"/>
  <c r="Q94" i="7"/>
  <c r="Q8" i="9" s="1"/>
  <c r="Q84" i="7"/>
  <c r="Q143" i="7"/>
  <c r="Q142" i="7"/>
  <c r="T26" i="6"/>
  <c r="C26" i="7"/>
  <c r="T21" i="6"/>
  <c r="C21" i="7"/>
  <c r="Q21" i="7" s="1"/>
  <c r="T47" i="6"/>
  <c r="C87" i="7"/>
  <c r="Q87" i="7" s="1"/>
  <c r="T105" i="6"/>
  <c r="C145" i="7"/>
  <c r="Q145" i="7" s="1"/>
  <c r="T100" i="6"/>
  <c r="C140" i="7"/>
  <c r="T94" i="6"/>
  <c r="C134" i="7"/>
  <c r="M88" i="6"/>
  <c r="C29" i="12"/>
  <c r="C30" i="12" s="1"/>
  <c r="O30" i="12"/>
  <c r="Q24" i="7"/>
  <c r="Q95" i="7"/>
  <c r="Q89" i="7"/>
  <c r="T11" i="6"/>
  <c r="C11" i="7"/>
  <c r="Q11" i="7" s="1"/>
  <c r="T10" i="6"/>
  <c r="C10" i="7"/>
  <c r="Q10" i="7" s="1"/>
  <c r="M12" i="6"/>
  <c r="M7" i="6"/>
  <c r="Q99" i="7"/>
  <c r="Q98" i="7"/>
  <c r="Q93" i="7"/>
  <c r="Q88" i="7"/>
  <c r="Q125" i="7"/>
  <c r="Q146" i="7"/>
  <c r="S50" i="5"/>
  <c r="T15" i="11"/>
  <c r="Z21" i="4"/>
  <c r="H21" i="7"/>
  <c r="R21" i="7" s="1"/>
  <c r="Z96" i="4"/>
  <c r="I96" i="7"/>
  <c r="R96" i="7" s="1"/>
  <c r="Q8" i="4"/>
  <c r="H5" i="12"/>
  <c r="H6" i="12" s="1"/>
  <c r="Z136" i="4"/>
  <c r="G136" i="7"/>
  <c r="R136" i="7" s="1"/>
  <c r="Z138" i="4"/>
  <c r="G138" i="7"/>
  <c r="R138" i="7" s="1"/>
  <c r="Q123" i="4"/>
  <c r="F143" i="7"/>
  <c r="R143" i="7" s="1"/>
  <c r="Z143" i="4"/>
  <c r="F127" i="7"/>
  <c r="R127" i="7" s="1"/>
  <c r="Z127" i="4"/>
  <c r="Q88" i="4"/>
  <c r="F21" i="12"/>
  <c r="F22" i="12" s="1"/>
  <c r="Z83" i="4"/>
  <c r="G83" i="7"/>
  <c r="R83" i="7" s="1"/>
  <c r="Q85" i="4"/>
  <c r="F87" i="7"/>
  <c r="R87" i="7" s="1"/>
  <c r="Z87" i="4"/>
  <c r="J45" i="7"/>
  <c r="R45" i="7" s="1"/>
  <c r="V45" i="4"/>
  <c r="J53" i="7"/>
  <c r="R53" i="7" s="1"/>
  <c r="V53" i="4"/>
  <c r="J47" i="7"/>
  <c r="R47" i="7" s="1"/>
  <c r="V47" i="4"/>
  <c r="Q7" i="4"/>
  <c r="Z145" i="4"/>
  <c r="H145" i="7"/>
  <c r="R145" i="7" s="1"/>
  <c r="Z129" i="4"/>
  <c r="H129" i="7"/>
  <c r="R129" i="7" s="1"/>
  <c r="Z105" i="4"/>
  <c r="H105" i="7"/>
  <c r="R105" i="7" s="1"/>
  <c r="Z89" i="4"/>
  <c r="H89" i="7"/>
  <c r="R89" i="7" s="1"/>
  <c r="Z17" i="4"/>
  <c r="H17" i="7"/>
  <c r="R17" i="7" s="1"/>
  <c r="Z5" i="4"/>
  <c r="H5" i="7"/>
  <c r="R5" i="7" s="1"/>
  <c r="H30" i="12"/>
  <c r="Z132" i="4"/>
  <c r="I132" i="7"/>
  <c r="R132" i="7" s="1"/>
  <c r="I17" i="9"/>
  <c r="Z92" i="4"/>
  <c r="I92" i="7"/>
  <c r="R92" i="7" s="1"/>
  <c r="Q12" i="4"/>
  <c r="Z4" i="4"/>
  <c r="I4" i="7"/>
  <c r="R4" i="7" s="1"/>
  <c r="Q124" i="4"/>
  <c r="Z134" i="4"/>
  <c r="G134" i="7"/>
  <c r="G10" i="9" s="1"/>
  <c r="G15" i="9" s="1"/>
  <c r="Q129" i="4"/>
  <c r="Q130" i="4"/>
  <c r="F139" i="7"/>
  <c r="R139" i="7" s="1"/>
  <c r="Z139" i="4"/>
  <c r="Q92" i="4"/>
  <c r="Z94" i="4"/>
  <c r="G94" i="7"/>
  <c r="G8" i="9" s="1"/>
  <c r="Q91" i="4"/>
  <c r="Q89" i="4"/>
  <c r="Q86" i="4"/>
  <c r="F99" i="7"/>
  <c r="R99" i="7" s="1"/>
  <c r="Z99" i="4"/>
  <c r="I13" i="12"/>
  <c r="Q13" i="12" s="1"/>
  <c r="M48" i="4"/>
  <c r="J64" i="7"/>
  <c r="R64" i="7" s="1"/>
  <c r="V64" i="4"/>
  <c r="J48" i="7"/>
  <c r="R48" i="7" s="1"/>
  <c r="V48" i="4"/>
  <c r="J59" i="7"/>
  <c r="R59" i="7" s="1"/>
  <c r="V59" i="4"/>
  <c r="J66" i="7"/>
  <c r="V66" i="4"/>
  <c r="J50" i="7"/>
  <c r="R50" i="7" s="1"/>
  <c r="V50" i="4"/>
  <c r="Q11" i="4"/>
  <c r="F18" i="7"/>
  <c r="R18" i="7" s="1"/>
  <c r="Z18" i="4"/>
  <c r="F14" i="7"/>
  <c r="Z14" i="4"/>
  <c r="Z9" i="4"/>
  <c r="H9" i="7"/>
  <c r="R9" i="7" s="1"/>
  <c r="Z144" i="4"/>
  <c r="G144" i="7"/>
  <c r="R144" i="7" s="1"/>
  <c r="F10" i="9"/>
  <c r="Z98" i="4"/>
  <c r="G98" i="7"/>
  <c r="R98" i="7" s="1"/>
  <c r="F103" i="7"/>
  <c r="R103" i="7" s="1"/>
  <c r="Z103" i="4"/>
  <c r="J57" i="7"/>
  <c r="R57" i="7" s="1"/>
  <c r="V57" i="4"/>
  <c r="J63" i="7"/>
  <c r="R63" i="7" s="1"/>
  <c r="V63" i="4"/>
  <c r="J54" i="7"/>
  <c r="V54" i="4"/>
  <c r="Z19" i="4"/>
  <c r="F19" i="7"/>
  <c r="R19" i="7" s="1"/>
  <c r="F22" i="7"/>
  <c r="R22" i="7" s="1"/>
  <c r="Z22" i="4"/>
  <c r="Z7" i="4"/>
  <c r="F7" i="7"/>
  <c r="R7" i="7" s="1"/>
  <c r="Z141" i="4"/>
  <c r="H141" i="7"/>
  <c r="R141" i="7" s="1"/>
  <c r="Z125" i="4"/>
  <c r="H125" i="7"/>
  <c r="R125" i="7" s="1"/>
  <c r="H17" i="9"/>
  <c r="Z101" i="4"/>
  <c r="H101" i="7"/>
  <c r="R101" i="7" s="1"/>
  <c r="Z85" i="4"/>
  <c r="H85" i="7"/>
  <c r="R85" i="7" s="1"/>
  <c r="H15" i="9"/>
  <c r="Z128" i="4"/>
  <c r="I128" i="7"/>
  <c r="R128" i="7" s="1"/>
  <c r="Z104" i="4"/>
  <c r="I104" i="7"/>
  <c r="R104" i="7" s="1"/>
  <c r="Z88" i="4"/>
  <c r="I88" i="7"/>
  <c r="R88" i="7" s="1"/>
  <c r="I15" i="9"/>
  <c r="Z20" i="4"/>
  <c r="I20" i="7"/>
  <c r="Q128" i="4"/>
  <c r="F29" i="12"/>
  <c r="F30" i="12" s="1"/>
  <c r="Z146" i="4"/>
  <c r="G146" i="7"/>
  <c r="R146" i="7" s="1"/>
  <c r="Z130" i="4"/>
  <c r="G130" i="7"/>
  <c r="R130" i="7" s="1"/>
  <c r="Q127" i="4"/>
  <c r="Q133" i="4"/>
  <c r="E30" i="12"/>
  <c r="Q134" i="4"/>
  <c r="F135" i="7"/>
  <c r="R135" i="7" s="1"/>
  <c r="Z135" i="4"/>
  <c r="Z106" i="4"/>
  <c r="G106" i="7"/>
  <c r="Z90" i="4"/>
  <c r="G90" i="7"/>
  <c r="R90" i="7" s="1"/>
  <c r="Q83" i="4"/>
  <c r="Q93" i="4"/>
  <c r="Q90" i="4"/>
  <c r="F95" i="7"/>
  <c r="R95" i="7" s="1"/>
  <c r="Z95" i="4"/>
  <c r="J60" i="7"/>
  <c r="V60" i="4"/>
  <c r="J44" i="7"/>
  <c r="R44" i="7" s="1"/>
  <c r="V44" i="4"/>
  <c r="J55" i="7"/>
  <c r="R55" i="7" s="1"/>
  <c r="V55" i="4"/>
  <c r="J62" i="7"/>
  <c r="R62" i="7" s="1"/>
  <c r="V62" i="4"/>
  <c r="J46" i="7"/>
  <c r="R46" i="7" s="1"/>
  <c r="V46" i="4"/>
  <c r="Q6" i="4"/>
  <c r="Q10" i="4"/>
  <c r="Z24" i="4"/>
  <c r="F24" i="7"/>
  <c r="R24" i="7" s="1"/>
  <c r="Q3" i="4"/>
  <c r="F3" i="7"/>
  <c r="R3" i="7" s="1"/>
  <c r="Z3" i="4"/>
  <c r="Z15" i="4"/>
  <c r="F15" i="7"/>
  <c r="R15" i="7" s="1"/>
  <c r="F10" i="7"/>
  <c r="R10" i="7" s="1"/>
  <c r="Z10" i="4"/>
  <c r="G30" i="12"/>
  <c r="Z133" i="4"/>
  <c r="H133" i="7"/>
  <c r="R133" i="7" s="1"/>
  <c r="Z93" i="4"/>
  <c r="H93" i="7"/>
  <c r="R93" i="7" s="1"/>
  <c r="Z8" i="4"/>
  <c r="I8" i="7"/>
  <c r="R8" i="7" s="1"/>
  <c r="Z123" i="4"/>
  <c r="G123" i="7"/>
  <c r="R123" i="7" s="1"/>
  <c r="F8" i="9"/>
  <c r="J52" i="7"/>
  <c r="R52" i="7" s="1"/>
  <c r="V52" i="4"/>
  <c r="Z137" i="4"/>
  <c r="H137" i="7"/>
  <c r="R137" i="7" s="1"/>
  <c r="Z97" i="4"/>
  <c r="H97" i="7"/>
  <c r="R97" i="7" s="1"/>
  <c r="Q5" i="4"/>
  <c r="Z25" i="4"/>
  <c r="H25" i="7"/>
  <c r="R25" i="7" s="1"/>
  <c r="Z13" i="4"/>
  <c r="H13" i="7"/>
  <c r="R13" i="7" s="1"/>
  <c r="Z124" i="4"/>
  <c r="I124" i="7"/>
  <c r="R124" i="7" s="1"/>
  <c r="Z100" i="4"/>
  <c r="I100" i="7"/>
  <c r="Z84" i="4"/>
  <c r="I84" i="7"/>
  <c r="R84" i="7" s="1"/>
  <c r="Z16" i="4"/>
  <c r="I16" i="7"/>
  <c r="R16" i="7" s="1"/>
  <c r="Z12" i="4"/>
  <c r="I12" i="7"/>
  <c r="R12" i="7" s="1"/>
  <c r="J15" i="9"/>
  <c r="Z140" i="4"/>
  <c r="G140" i="7"/>
  <c r="Q132" i="4"/>
  <c r="Z142" i="4"/>
  <c r="G142" i="7"/>
  <c r="R142" i="7" s="1"/>
  <c r="Z126" i="4"/>
  <c r="G126" i="7"/>
  <c r="R126" i="7" s="1"/>
  <c r="Q131" i="4"/>
  <c r="F131" i="7"/>
  <c r="R131" i="7" s="1"/>
  <c r="Z131" i="4"/>
  <c r="Q84" i="4"/>
  <c r="Z102" i="4"/>
  <c r="G102" i="7"/>
  <c r="R102" i="7" s="1"/>
  <c r="Z86" i="4"/>
  <c r="G86" i="7"/>
  <c r="R86" i="7" s="1"/>
  <c r="Q87" i="4"/>
  <c r="E22" i="12"/>
  <c r="Q94" i="4"/>
  <c r="F91" i="7"/>
  <c r="R91" i="7" s="1"/>
  <c r="Z91" i="4"/>
  <c r="J65" i="7"/>
  <c r="R65" i="7" s="1"/>
  <c r="V65" i="4"/>
  <c r="J49" i="7"/>
  <c r="R49" i="7" s="1"/>
  <c r="V49" i="4"/>
  <c r="J61" i="7"/>
  <c r="R61" i="7" s="1"/>
  <c r="V61" i="4"/>
  <c r="M54" i="4"/>
  <c r="J56" i="7"/>
  <c r="R56" i="7" s="1"/>
  <c r="V56" i="4"/>
  <c r="J43" i="7"/>
  <c r="R43" i="7" s="1"/>
  <c r="V43" i="4"/>
  <c r="J51" i="7"/>
  <c r="R51" i="7" s="1"/>
  <c r="V51" i="4"/>
  <c r="J58" i="7"/>
  <c r="R58" i="7" s="1"/>
  <c r="V58" i="4"/>
  <c r="Q14" i="4"/>
  <c r="F6" i="12"/>
  <c r="Z23" i="4"/>
  <c r="F23" i="7"/>
  <c r="R23" i="7" s="1"/>
  <c r="F26" i="7"/>
  <c r="Z26" i="4"/>
  <c r="Z11" i="4"/>
  <c r="F11" i="7"/>
  <c r="R11" i="7" s="1"/>
  <c r="F6" i="7"/>
  <c r="R6" i="7" s="1"/>
  <c r="Z6" i="4"/>
  <c r="R28" i="11"/>
  <c r="T28" i="11" s="1"/>
  <c r="AC43" i="5"/>
  <c r="M43" i="7"/>
  <c r="S43" i="7" s="1"/>
  <c r="AC6" i="5"/>
  <c r="N6" i="7"/>
  <c r="S6" i="7" s="1"/>
  <c r="AC23" i="5"/>
  <c r="L23" i="7"/>
  <c r="S23" i="7" s="1"/>
  <c r="AC13" i="5"/>
  <c r="L13" i="7"/>
  <c r="S13" i="7" s="1"/>
  <c r="O106" i="7"/>
  <c r="AA119" i="5"/>
  <c r="AC60" i="5"/>
  <c r="N60" i="7"/>
  <c r="AC58" i="5"/>
  <c r="N58" i="7"/>
  <c r="S58" i="7" s="1"/>
  <c r="AC129" i="5"/>
  <c r="L129" i="7"/>
  <c r="S129" i="7" s="1"/>
  <c r="AC133" i="5"/>
  <c r="L133" i="7"/>
  <c r="S133" i="7" s="1"/>
  <c r="L106" i="7"/>
  <c r="X119" i="5"/>
  <c r="S133" i="5"/>
  <c r="K131" i="7"/>
  <c r="S131" i="7" s="1"/>
  <c r="AC131" i="5"/>
  <c r="S90" i="5"/>
  <c r="AC83" i="5"/>
  <c r="M83" i="7"/>
  <c r="S83" i="7" s="1"/>
  <c r="S89" i="5"/>
  <c r="AC53" i="5"/>
  <c r="L53" i="7"/>
  <c r="S53" i="7" s="1"/>
  <c r="S51" i="5"/>
  <c r="AC142" i="5"/>
  <c r="N142" i="7"/>
  <c r="S142" i="7" s="1"/>
  <c r="AC138" i="5"/>
  <c r="N138" i="7"/>
  <c r="S138" i="7" s="1"/>
  <c r="AC140" i="5"/>
  <c r="N140" i="7"/>
  <c r="AC98" i="5"/>
  <c r="N98" i="7"/>
  <c r="S98" i="7" s="1"/>
  <c r="S44" i="5"/>
  <c r="M66" i="7"/>
  <c r="Y79" i="5"/>
  <c r="AC18" i="5"/>
  <c r="N18" i="7"/>
  <c r="S18" i="7" s="1"/>
  <c r="AC19" i="5"/>
  <c r="L19" i="7"/>
  <c r="S19" i="7" s="1"/>
  <c r="AC25" i="5"/>
  <c r="L25" i="7"/>
  <c r="S25" i="7" s="1"/>
  <c r="AC9" i="5"/>
  <c r="L9" i="7"/>
  <c r="S9" i="7" s="1"/>
  <c r="AC48" i="5"/>
  <c r="N48" i="7"/>
  <c r="S48" i="7" s="1"/>
  <c r="AC54" i="5"/>
  <c r="N54" i="7"/>
  <c r="S54" i="7" s="1"/>
  <c r="AC125" i="5"/>
  <c r="L125" i="7"/>
  <c r="S125" i="7" s="1"/>
  <c r="AC85" i="5"/>
  <c r="L85" i="7"/>
  <c r="S85" i="7" s="1"/>
  <c r="P66" i="7"/>
  <c r="AB79" i="5"/>
  <c r="O66" i="7"/>
  <c r="AA79" i="5"/>
  <c r="S130" i="5"/>
  <c r="S127" i="5"/>
  <c r="K10" i="9"/>
  <c r="S94" i="5"/>
  <c r="T106" i="5" s="1"/>
  <c r="S88" i="5"/>
  <c r="S85" i="5"/>
  <c r="AC104" i="5"/>
  <c r="K104" i="7"/>
  <c r="S104" i="7" s="1"/>
  <c r="AC96" i="5"/>
  <c r="K96" i="7"/>
  <c r="S96" i="7" s="1"/>
  <c r="K8" i="9"/>
  <c r="AC65" i="5"/>
  <c r="L65" i="7"/>
  <c r="S65" i="7" s="1"/>
  <c r="K6" i="9"/>
  <c r="K59" i="7"/>
  <c r="S59" i="7" s="1"/>
  <c r="AC59" i="5"/>
  <c r="K47" i="7"/>
  <c r="S47" i="7" s="1"/>
  <c r="AC47" i="5"/>
  <c r="S6" i="5"/>
  <c r="K24" i="7"/>
  <c r="S24" i="7" s="1"/>
  <c r="AC24" i="5"/>
  <c r="K8" i="7"/>
  <c r="AC8" i="5"/>
  <c r="S13" i="5"/>
  <c r="K139" i="7"/>
  <c r="S139" i="7" s="1"/>
  <c r="AC139" i="5"/>
  <c r="S91" i="5"/>
  <c r="K99" i="7"/>
  <c r="S99" i="7" s="1"/>
  <c r="AC99" i="5"/>
  <c r="K91" i="7"/>
  <c r="S91" i="7" s="1"/>
  <c r="AC91" i="5"/>
  <c r="K106" i="7"/>
  <c r="W119" i="5"/>
  <c r="S14" i="5"/>
  <c r="T26" i="5" s="1"/>
  <c r="P26" i="7"/>
  <c r="AB39" i="5"/>
  <c r="AC126" i="5"/>
  <c r="N126" i="7"/>
  <c r="S126" i="7" s="1"/>
  <c r="AC144" i="5"/>
  <c r="N144" i="7"/>
  <c r="S144" i="7" s="1"/>
  <c r="AC130" i="5"/>
  <c r="N130" i="7"/>
  <c r="S130" i="7" s="1"/>
  <c r="AC132" i="5"/>
  <c r="N132" i="7"/>
  <c r="S132" i="7" s="1"/>
  <c r="AC94" i="5"/>
  <c r="N94" i="7"/>
  <c r="S94" i="7" s="1"/>
  <c r="AC90" i="5"/>
  <c r="N90" i="7"/>
  <c r="S90" i="7" s="1"/>
  <c r="S48" i="5"/>
  <c r="AC14" i="5"/>
  <c r="N14" i="7"/>
  <c r="S14" i="7" s="1"/>
  <c r="AC15" i="5"/>
  <c r="L15" i="7"/>
  <c r="S15" i="7" s="1"/>
  <c r="AC11" i="5"/>
  <c r="L11" i="7"/>
  <c r="S11" i="7" s="1"/>
  <c r="AC21" i="5"/>
  <c r="L21" i="7"/>
  <c r="S21" i="7" s="1"/>
  <c r="AC5" i="5"/>
  <c r="L5" i="7"/>
  <c r="S5" i="7" s="1"/>
  <c r="AC64" i="5"/>
  <c r="N64" i="7"/>
  <c r="S64" i="7" s="1"/>
  <c r="AC66" i="5"/>
  <c r="N66" i="7"/>
  <c r="Z79" i="5"/>
  <c r="AC50" i="5"/>
  <c r="N50" i="7"/>
  <c r="S50" i="7" s="1"/>
  <c r="S124" i="5"/>
  <c r="S132" i="5"/>
  <c r="S129" i="5"/>
  <c r="K143" i="7"/>
  <c r="S143" i="7" s="1"/>
  <c r="AC143" i="5"/>
  <c r="K135" i="7"/>
  <c r="S135" i="7" s="1"/>
  <c r="AC135" i="5"/>
  <c r="K127" i="7"/>
  <c r="S127" i="7" s="1"/>
  <c r="AC127" i="5"/>
  <c r="S84" i="5"/>
  <c r="S83" i="5"/>
  <c r="S93" i="5"/>
  <c r="K103" i="7"/>
  <c r="S103" i="7" s="1"/>
  <c r="AC103" i="5"/>
  <c r="K95" i="7"/>
  <c r="S95" i="7" s="1"/>
  <c r="AC95" i="5"/>
  <c r="K87" i="7"/>
  <c r="S87" i="7" s="1"/>
  <c r="AC87" i="5"/>
  <c r="AC61" i="5"/>
  <c r="L61" i="7"/>
  <c r="S61" i="7" s="1"/>
  <c r="AC49" i="5"/>
  <c r="L49" i="7"/>
  <c r="S49" i="7" s="1"/>
  <c r="S43" i="5"/>
  <c r="S45" i="5"/>
  <c r="S8" i="5"/>
  <c r="S3" i="5"/>
  <c r="K20" i="7"/>
  <c r="AC20" i="5"/>
  <c r="K4" i="7"/>
  <c r="S4" i="7" s="1"/>
  <c r="AC4" i="5"/>
  <c r="AC146" i="5"/>
  <c r="N146" i="7"/>
  <c r="S146" i="7" s="1"/>
  <c r="AC86" i="5"/>
  <c r="N86" i="7"/>
  <c r="S86" i="7" s="1"/>
  <c r="AC106" i="5"/>
  <c r="N106" i="7"/>
  <c r="Z119" i="5"/>
  <c r="AC22" i="5"/>
  <c r="N22" i="7"/>
  <c r="S22" i="7" s="1"/>
  <c r="L26" i="7"/>
  <c r="X39" i="5"/>
  <c r="AC145" i="5"/>
  <c r="L145" i="7"/>
  <c r="S145" i="7" s="1"/>
  <c r="AC97" i="5"/>
  <c r="L97" i="7"/>
  <c r="S97" i="7" s="1"/>
  <c r="AC89" i="5"/>
  <c r="L89" i="7"/>
  <c r="S89" i="7" s="1"/>
  <c r="AC93" i="5"/>
  <c r="L93" i="7"/>
  <c r="S93" i="7" s="1"/>
  <c r="P106" i="7"/>
  <c r="AB119" i="5"/>
  <c r="S128" i="5"/>
  <c r="AC123" i="5"/>
  <c r="M123" i="7"/>
  <c r="S123" i="7" s="1"/>
  <c r="S125" i="5"/>
  <c r="S86" i="5"/>
  <c r="M106" i="7"/>
  <c r="Y119" i="5"/>
  <c r="L66" i="7"/>
  <c r="X79" i="5"/>
  <c r="K66" i="7"/>
  <c r="W79" i="5"/>
  <c r="K12" i="7"/>
  <c r="S12" i="7" s="1"/>
  <c r="AC12" i="5"/>
  <c r="S7" i="5"/>
  <c r="AC134" i="5"/>
  <c r="N134" i="7"/>
  <c r="S134" i="7" s="1"/>
  <c r="AC128" i="5"/>
  <c r="N128" i="7"/>
  <c r="AC136" i="5"/>
  <c r="N136" i="7"/>
  <c r="S136" i="7" s="1"/>
  <c r="AC124" i="5"/>
  <c r="N124" i="7"/>
  <c r="S124" i="7" s="1"/>
  <c r="AC102" i="5"/>
  <c r="N102" i="7"/>
  <c r="S102" i="7" s="1"/>
  <c r="AC88" i="5"/>
  <c r="N88" i="7"/>
  <c r="AC84" i="5"/>
  <c r="N84" i="7"/>
  <c r="S84" i="7" s="1"/>
  <c r="S46" i="5"/>
  <c r="AC26" i="5"/>
  <c r="N26" i="7"/>
  <c r="Z39" i="5"/>
  <c r="AC10" i="5"/>
  <c r="N10" i="7"/>
  <c r="S10" i="7" s="1"/>
  <c r="AC7" i="5"/>
  <c r="L7" i="7"/>
  <c r="S7" i="7" s="1"/>
  <c r="AC17" i="5"/>
  <c r="L17" i="7"/>
  <c r="S17" i="7" s="1"/>
  <c r="S123" i="5"/>
  <c r="AC56" i="5"/>
  <c r="N56" i="7"/>
  <c r="S56" i="7" s="1"/>
  <c r="AC52" i="5"/>
  <c r="N52" i="7"/>
  <c r="S52" i="7" s="1"/>
  <c r="AC62" i="5"/>
  <c r="N62" i="7"/>
  <c r="S62" i="7" s="1"/>
  <c r="AC46" i="5"/>
  <c r="N46" i="7"/>
  <c r="S46" i="7" s="1"/>
  <c r="AC44" i="5"/>
  <c r="N44" i="7"/>
  <c r="S44" i="7" s="1"/>
  <c r="O26" i="7"/>
  <c r="AA39" i="5"/>
  <c r="AC137" i="5"/>
  <c r="L137" i="7"/>
  <c r="S137" i="7" s="1"/>
  <c r="AC141" i="5"/>
  <c r="L141" i="7"/>
  <c r="S141" i="7" s="1"/>
  <c r="AC105" i="5"/>
  <c r="L105" i="7"/>
  <c r="S105" i="7" s="1"/>
  <c r="AC101" i="5"/>
  <c r="L101" i="7"/>
  <c r="S101" i="7" s="1"/>
  <c r="S126" i="5"/>
  <c r="S134" i="5"/>
  <c r="S131" i="5"/>
  <c r="S92" i="5"/>
  <c r="S87" i="5"/>
  <c r="AC100" i="5"/>
  <c r="K100" i="7"/>
  <c r="AC92" i="5"/>
  <c r="K92" i="7"/>
  <c r="S92" i="7" s="1"/>
  <c r="AC57" i="5"/>
  <c r="L57" i="7"/>
  <c r="S57" i="7" s="1"/>
  <c r="AC45" i="5"/>
  <c r="L45" i="7"/>
  <c r="S45" i="7" s="1"/>
  <c r="S47" i="5"/>
  <c r="S49" i="5"/>
  <c r="K63" i="7"/>
  <c r="S63" i="7" s="1"/>
  <c r="AC63" i="5"/>
  <c r="K55" i="7"/>
  <c r="S55" i="7" s="1"/>
  <c r="AC55" i="5"/>
  <c r="K51" i="7"/>
  <c r="S51" i="7" s="1"/>
  <c r="AC51" i="5"/>
  <c r="S4" i="5"/>
  <c r="S10" i="5"/>
  <c r="M26" i="7"/>
  <c r="Y39" i="5"/>
  <c r="AC3" i="5"/>
  <c r="M3" i="7"/>
  <c r="S3" i="7" s="1"/>
  <c r="S9" i="5"/>
  <c r="K16" i="7"/>
  <c r="S16" i="7" s="1"/>
  <c r="AC16" i="5"/>
  <c r="K26" i="7"/>
  <c r="W39" i="5"/>
  <c r="S5" i="5"/>
  <c r="I135" i="5"/>
  <c r="AE135" i="5" s="1"/>
  <c r="I142" i="5"/>
  <c r="AE142" i="5" s="1"/>
  <c r="I145" i="5"/>
  <c r="AE145" i="5" s="1"/>
  <c r="I139" i="5"/>
  <c r="AE139" i="5" s="1"/>
  <c r="I146" i="5"/>
  <c r="AE146" i="5" s="1"/>
  <c r="I136" i="5"/>
  <c r="AE136" i="5" s="1"/>
  <c r="I143" i="5"/>
  <c r="AE143" i="5" s="1"/>
  <c r="I137" i="5"/>
  <c r="AE137" i="5" s="1"/>
  <c r="I140" i="5"/>
  <c r="AE140" i="5" s="1"/>
  <c r="I138" i="5"/>
  <c r="AE138" i="5" s="1"/>
  <c r="I141" i="5"/>
  <c r="AE141" i="5" s="1"/>
  <c r="I144" i="5"/>
  <c r="AE144" i="5" s="1"/>
  <c r="I95" i="5"/>
  <c r="I102" i="5"/>
  <c r="I105" i="5"/>
  <c r="I99" i="5"/>
  <c r="I106" i="5"/>
  <c r="I96" i="5"/>
  <c r="I103" i="5"/>
  <c r="I97" i="5"/>
  <c r="I100" i="5"/>
  <c r="I98" i="5"/>
  <c r="I101" i="5"/>
  <c r="I104" i="5"/>
  <c r="H138" i="4"/>
  <c r="H106" i="4"/>
  <c r="H98" i="4"/>
  <c r="H144" i="4"/>
  <c r="H142" i="4"/>
  <c r="H140" i="4"/>
  <c r="H136" i="4"/>
  <c r="H145" i="4"/>
  <c r="H143" i="4"/>
  <c r="H139" i="4"/>
  <c r="H137" i="4"/>
  <c r="H135" i="4"/>
  <c r="H141" i="4"/>
  <c r="H146" i="4"/>
  <c r="H104" i="4"/>
  <c r="H102" i="4"/>
  <c r="H100" i="4"/>
  <c r="H96" i="4"/>
  <c r="H105" i="4"/>
  <c r="H103" i="4"/>
  <c r="H101" i="4"/>
  <c r="H99" i="4"/>
  <c r="H97" i="4"/>
  <c r="H95" i="4"/>
  <c r="M92" i="6"/>
  <c r="M93" i="6"/>
  <c r="M51" i="6"/>
  <c r="T55" i="6"/>
  <c r="M50" i="6"/>
  <c r="T54" i="6"/>
  <c r="M94" i="6"/>
  <c r="T97" i="6"/>
  <c r="T92" i="6"/>
  <c r="T87" i="6"/>
  <c r="T103" i="6"/>
  <c r="T86" i="6"/>
  <c r="T102" i="6"/>
  <c r="T43" i="6"/>
  <c r="T59" i="6"/>
  <c r="M54" i="6"/>
  <c r="T58" i="6"/>
  <c r="T85" i="6"/>
  <c r="T101" i="6"/>
  <c r="T96" i="6"/>
  <c r="T91" i="6"/>
  <c r="M83" i="6"/>
  <c r="T90" i="6"/>
  <c r="T106" i="6"/>
  <c r="M84" i="6"/>
  <c r="M85" i="6"/>
  <c r="M44" i="6"/>
  <c r="T48" i="6"/>
  <c r="T64" i="6"/>
  <c r="M45" i="6"/>
  <c r="T49" i="6"/>
  <c r="T65" i="6"/>
  <c r="M48" i="6"/>
  <c r="T52" i="6"/>
  <c r="M49" i="6"/>
  <c r="T53" i="6"/>
  <c r="M52" i="6"/>
  <c r="T56" i="6"/>
  <c r="M53" i="6"/>
  <c r="T57" i="6"/>
  <c r="T44" i="6"/>
  <c r="T60" i="6"/>
  <c r="T45" i="6"/>
  <c r="T61" i="6"/>
  <c r="M13" i="6"/>
  <c r="T19" i="6"/>
  <c r="T18" i="6"/>
  <c r="T9" i="6"/>
  <c r="T20" i="6"/>
  <c r="T3" i="6"/>
  <c r="M4" i="6"/>
  <c r="T25" i="6"/>
  <c r="T4" i="6"/>
  <c r="T7" i="6"/>
  <c r="T23" i="6"/>
  <c r="T6" i="6"/>
  <c r="T22" i="6"/>
  <c r="M8" i="6"/>
  <c r="T13" i="6"/>
  <c r="M3" i="6"/>
  <c r="T8" i="6"/>
  <c r="T24" i="6"/>
  <c r="M5" i="6"/>
  <c r="M9" i="6"/>
  <c r="AD109" i="5" l="1"/>
  <c r="J15" i="8"/>
  <c r="AD69" i="5"/>
  <c r="AD29" i="5"/>
  <c r="AD73" i="5"/>
  <c r="AD70" i="5"/>
  <c r="J17" i="8"/>
  <c r="R29" i="12"/>
  <c r="V29" i="12" s="1"/>
  <c r="AD33" i="5"/>
  <c r="AD113" i="5"/>
  <c r="AD115" i="5"/>
  <c r="AD68" i="5"/>
  <c r="AD75" i="5"/>
  <c r="AD117" i="5"/>
  <c r="K119" i="7"/>
  <c r="K39" i="7"/>
  <c r="AD72" i="5"/>
  <c r="AD32" i="5"/>
  <c r="AD112" i="5"/>
  <c r="T73" i="7"/>
  <c r="E15" i="8"/>
  <c r="R5" i="12"/>
  <c r="AD77" i="5"/>
  <c r="AD34" i="5"/>
  <c r="AD111" i="5"/>
  <c r="AD78" i="5"/>
  <c r="AD74" i="5"/>
  <c r="AD114" i="5"/>
  <c r="AD118" i="5"/>
  <c r="D17" i="8"/>
  <c r="D15" i="8"/>
  <c r="T153" i="7"/>
  <c r="T148" i="7"/>
  <c r="H17" i="8"/>
  <c r="R10" i="8"/>
  <c r="P5" i="12"/>
  <c r="T74" i="7"/>
  <c r="T77" i="7"/>
  <c r="S6" i="8"/>
  <c r="AD37" i="5"/>
  <c r="T76" i="7"/>
  <c r="T67" i="7"/>
  <c r="T70" i="7"/>
  <c r="M24" i="14"/>
  <c r="E17" i="8"/>
  <c r="T15" i="10"/>
  <c r="T109" i="7"/>
  <c r="S5" i="14"/>
  <c r="T112" i="7"/>
  <c r="T110" i="7"/>
  <c r="P38" i="14"/>
  <c r="C40" i="14"/>
  <c r="T111" i="7"/>
  <c r="Q8" i="8"/>
  <c r="T34" i="7"/>
  <c r="D7" i="14"/>
  <c r="D8" i="14" s="1"/>
  <c r="C8" i="14"/>
  <c r="L56" i="14"/>
  <c r="D55" i="14"/>
  <c r="P55" i="14" s="1"/>
  <c r="T72" i="7"/>
  <c r="O24" i="14"/>
  <c r="N24" i="14"/>
  <c r="R21" i="12"/>
  <c r="R38" i="14"/>
  <c r="K24" i="14"/>
  <c r="J55" i="14"/>
  <c r="J56" i="14" s="1"/>
  <c r="R54" i="14"/>
  <c r="V54" i="14" s="1"/>
  <c r="R13" i="12"/>
  <c r="S13" i="12" s="1"/>
  <c r="AD108" i="5"/>
  <c r="T71" i="7"/>
  <c r="J39" i="14"/>
  <c r="O40" i="14"/>
  <c r="N55" i="14"/>
  <c r="K22" i="12"/>
  <c r="R22" i="12" s="1"/>
  <c r="J8" i="14"/>
  <c r="R8" i="14" s="1"/>
  <c r="R7" i="14"/>
  <c r="V53" i="14"/>
  <c r="V68" i="14"/>
  <c r="R6" i="14"/>
  <c r="K40" i="14"/>
  <c r="S149" i="7"/>
  <c r="S10" i="8" s="1"/>
  <c r="K10" i="8"/>
  <c r="K16" i="8" s="1"/>
  <c r="S21" i="14"/>
  <c r="J23" i="14"/>
  <c r="R23" i="14" s="1"/>
  <c r="R22" i="14"/>
  <c r="T33" i="7"/>
  <c r="T151" i="7"/>
  <c r="T147" i="7"/>
  <c r="H56" i="14"/>
  <c r="T30" i="7"/>
  <c r="Q38" i="14"/>
  <c r="T36" i="7"/>
  <c r="S37" i="14"/>
  <c r="I22" i="14"/>
  <c r="Q22" i="14" s="1"/>
  <c r="T156" i="7"/>
  <c r="E56" i="14"/>
  <c r="Q55" i="14"/>
  <c r="U55" i="14" s="1"/>
  <c r="E7" i="14"/>
  <c r="E8" i="14" s="1"/>
  <c r="Q6" i="14"/>
  <c r="U53" i="14"/>
  <c r="U68" i="14"/>
  <c r="F7" i="14"/>
  <c r="F8" i="14" s="1"/>
  <c r="E40" i="14"/>
  <c r="Q39" i="14"/>
  <c r="G40" i="14"/>
  <c r="T157" i="7"/>
  <c r="R69" i="7"/>
  <c r="R6" i="8" s="1"/>
  <c r="J6" i="8"/>
  <c r="R16" i="8" s="1"/>
  <c r="V16" i="8" s="1"/>
  <c r="I8" i="14"/>
  <c r="G8" i="14"/>
  <c r="Q54" i="14"/>
  <c r="U54" i="14" s="1"/>
  <c r="P21" i="12"/>
  <c r="T28" i="7"/>
  <c r="P6" i="14"/>
  <c r="B56" i="14"/>
  <c r="B39" i="14"/>
  <c r="T53" i="14"/>
  <c r="T68" i="14"/>
  <c r="S53" i="14"/>
  <c r="T60" i="14"/>
  <c r="S60" i="14"/>
  <c r="W60" i="14" s="1"/>
  <c r="P54" i="14"/>
  <c r="B7" i="14"/>
  <c r="T107" i="7"/>
  <c r="Q149" i="7"/>
  <c r="Q10" i="8" s="1"/>
  <c r="C10" i="8"/>
  <c r="C15" i="8" s="1"/>
  <c r="I15" i="8"/>
  <c r="T37" i="7"/>
  <c r="T108" i="7"/>
  <c r="T35" i="7"/>
  <c r="T4" i="8" s="1"/>
  <c r="G15" i="8"/>
  <c r="AD76" i="5"/>
  <c r="AD116" i="5"/>
  <c r="T150" i="7"/>
  <c r="T154" i="7"/>
  <c r="AD67" i="5"/>
  <c r="T155" i="7"/>
  <c r="T68" i="7"/>
  <c r="AD36" i="5"/>
  <c r="AD71" i="5"/>
  <c r="AD107" i="5"/>
  <c r="T75" i="7"/>
  <c r="S158" i="7"/>
  <c r="S79" i="7" s="1"/>
  <c r="I17" i="8"/>
  <c r="T114" i="7"/>
  <c r="T31" i="7"/>
  <c r="T152" i="7"/>
  <c r="R78" i="7"/>
  <c r="J79" i="7"/>
  <c r="R39" i="7"/>
  <c r="R4" i="8"/>
  <c r="R119" i="7"/>
  <c r="R8" i="8"/>
  <c r="T117" i="7"/>
  <c r="T27" i="7"/>
  <c r="T32" i="7"/>
  <c r="T29" i="7"/>
  <c r="T113" i="7"/>
  <c r="T116" i="7"/>
  <c r="T115" i="7"/>
  <c r="C39" i="7"/>
  <c r="C119" i="7"/>
  <c r="Q158" i="7"/>
  <c r="AD27" i="5"/>
  <c r="S4" i="8"/>
  <c r="T38" i="7"/>
  <c r="S8" i="8"/>
  <c r="T118" i="7"/>
  <c r="H15" i="8"/>
  <c r="AE34" i="5"/>
  <c r="AD35" i="5"/>
  <c r="AE37" i="5"/>
  <c r="L16" i="8"/>
  <c r="AD38" i="5"/>
  <c r="AD31" i="5"/>
  <c r="AE33" i="5"/>
  <c r="AE36" i="5"/>
  <c r="AE32" i="5"/>
  <c r="AE29" i="5"/>
  <c r="L17" i="8"/>
  <c r="O16" i="8"/>
  <c r="M17" i="8"/>
  <c r="L15" i="8"/>
  <c r="AD30" i="5"/>
  <c r="AD28" i="5"/>
  <c r="P16" i="8"/>
  <c r="O15" i="8"/>
  <c r="N17" i="8"/>
  <c r="P15" i="8"/>
  <c r="P17" i="8"/>
  <c r="O17" i="8"/>
  <c r="M16" i="8"/>
  <c r="M15" i="8"/>
  <c r="AD50" i="5"/>
  <c r="AD55" i="5"/>
  <c r="O16" i="9"/>
  <c r="O15" i="9"/>
  <c r="M16" i="9"/>
  <c r="L16" i="9"/>
  <c r="N8" i="9"/>
  <c r="O17" i="9"/>
  <c r="AD86" i="5"/>
  <c r="L17" i="9"/>
  <c r="S60" i="7"/>
  <c r="S140" i="7"/>
  <c r="AD56" i="5"/>
  <c r="AD51" i="5"/>
  <c r="AD91" i="5"/>
  <c r="R30" i="12"/>
  <c r="V30" i="12" s="1"/>
  <c r="AD93" i="5"/>
  <c r="AD87" i="5"/>
  <c r="M17" i="9"/>
  <c r="AD44" i="5"/>
  <c r="R6" i="12"/>
  <c r="I14" i="12"/>
  <c r="Q14" i="12" s="1"/>
  <c r="T47" i="7"/>
  <c r="Q5" i="12"/>
  <c r="T43" i="7"/>
  <c r="T49" i="7"/>
  <c r="T45" i="7"/>
  <c r="T46" i="7"/>
  <c r="T62" i="7"/>
  <c r="T143" i="7"/>
  <c r="T58" i="7"/>
  <c r="T11" i="7"/>
  <c r="T56" i="7"/>
  <c r="R100" i="7"/>
  <c r="T65" i="7"/>
  <c r="Q21" i="12"/>
  <c r="T51" i="7"/>
  <c r="T61" i="7"/>
  <c r="T129" i="7"/>
  <c r="Q29" i="12"/>
  <c r="U29" i="12" s="1"/>
  <c r="T6" i="7"/>
  <c r="M15" i="9"/>
  <c r="T83" i="7"/>
  <c r="T22" i="7"/>
  <c r="T23" i="7"/>
  <c r="T15" i="7"/>
  <c r="T10" i="7"/>
  <c r="P22" i="12"/>
  <c r="T101" i="7"/>
  <c r="L15" i="9"/>
  <c r="P6" i="12"/>
  <c r="P30" i="12"/>
  <c r="T30" i="12" s="1"/>
  <c r="P17" i="9"/>
  <c r="AD103" i="5"/>
  <c r="AD105" i="5"/>
  <c r="N10" i="9"/>
  <c r="P15" i="9"/>
  <c r="P16" i="9"/>
  <c r="R14" i="12"/>
  <c r="AD63" i="5"/>
  <c r="AD89" i="5"/>
  <c r="AD99" i="5"/>
  <c r="AD95" i="5"/>
  <c r="Q106" i="7"/>
  <c r="Q134" i="7"/>
  <c r="Q10" i="9" s="1"/>
  <c r="Q17" i="9" s="1"/>
  <c r="C10" i="9"/>
  <c r="C17" i="9" s="1"/>
  <c r="AD46" i="5"/>
  <c r="T89" i="7"/>
  <c r="T123" i="7"/>
  <c r="T95" i="7"/>
  <c r="AD88" i="5"/>
  <c r="T3" i="7"/>
  <c r="T132" i="7"/>
  <c r="T137" i="7"/>
  <c r="T21" i="7"/>
  <c r="T85" i="7"/>
  <c r="T17" i="7"/>
  <c r="T19" i="7"/>
  <c r="AD49" i="5"/>
  <c r="T127" i="7"/>
  <c r="T5" i="7"/>
  <c r="T99" i="7"/>
  <c r="AD98" i="5"/>
  <c r="T131" i="7"/>
  <c r="Q140" i="7"/>
  <c r="Q26" i="7"/>
  <c r="T55" i="7"/>
  <c r="T103" i="7"/>
  <c r="N6" i="9"/>
  <c r="AD53" i="5"/>
  <c r="P29" i="12"/>
  <c r="T29" i="12" s="1"/>
  <c r="Q14" i="7"/>
  <c r="Q4" i="9" s="1"/>
  <c r="C4" i="9"/>
  <c r="AD101" i="5"/>
  <c r="T136" i="7"/>
  <c r="T135" i="7"/>
  <c r="Q6" i="12"/>
  <c r="Q22" i="12"/>
  <c r="G17" i="8"/>
  <c r="R134" i="7"/>
  <c r="R10" i="9" s="1"/>
  <c r="T63" i="7"/>
  <c r="AD57" i="5"/>
  <c r="T4" i="7"/>
  <c r="T139" i="7"/>
  <c r="R94" i="7"/>
  <c r="R8" i="9" s="1"/>
  <c r="N4" i="9"/>
  <c r="T92" i="7"/>
  <c r="J6" i="9"/>
  <c r="J16" i="9" s="1"/>
  <c r="R54" i="7"/>
  <c r="R6" i="9" s="1"/>
  <c r="R16" i="9" s="1"/>
  <c r="T16" i="7"/>
  <c r="T44" i="7"/>
  <c r="T93" i="7"/>
  <c r="T141" i="7"/>
  <c r="T90" i="7"/>
  <c r="T146" i="7"/>
  <c r="T53" i="7"/>
  <c r="T87" i="7"/>
  <c r="T126" i="7"/>
  <c r="T50" i="7"/>
  <c r="T130" i="7"/>
  <c r="T9" i="7"/>
  <c r="K16" i="9"/>
  <c r="T104" i="7"/>
  <c r="F17" i="8"/>
  <c r="G17" i="9"/>
  <c r="T97" i="7"/>
  <c r="R26" i="7"/>
  <c r="R106" i="7"/>
  <c r="T125" i="7"/>
  <c r="T52" i="7"/>
  <c r="T84" i="7"/>
  <c r="T25" i="7"/>
  <c r="T18" i="7"/>
  <c r="T138" i="7"/>
  <c r="F17" i="9"/>
  <c r="R60" i="7"/>
  <c r="Q30" i="12"/>
  <c r="U30" i="12" s="1"/>
  <c r="R20" i="7"/>
  <c r="R66" i="7"/>
  <c r="T86" i="7"/>
  <c r="F4" i="9"/>
  <c r="F15" i="9" s="1"/>
  <c r="R14" i="7"/>
  <c r="R4" i="9" s="1"/>
  <c r="T57" i="7"/>
  <c r="T124" i="7"/>
  <c r="T7" i="7"/>
  <c r="T102" i="7"/>
  <c r="T145" i="7"/>
  <c r="T142" i="7"/>
  <c r="T64" i="7"/>
  <c r="T91" i="7"/>
  <c r="T24" i="7"/>
  <c r="T13" i="7"/>
  <c r="T133" i="7"/>
  <c r="T105" i="7"/>
  <c r="T12" i="7"/>
  <c r="T144" i="7"/>
  <c r="T59" i="7"/>
  <c r="T96" i="7"/>
  <c r="T98" i="7"/>
  <c r="R140" i="7"/>
  <c r="F15" i="8"/>
  <c r="R29" i="11"/>
  <c r="T29" i="11" s="1"/>
  <c r="AD100" i="5"/>
  <c r="AD52" i="5"/>
  <c r="AD102" i="5"/>
  <c r="AD45" i="5"/>
  <c r="AD92" i="5"/>
  <c r="AD62" i="5"/>
  <c r="AD64" i="5"/>
  <c r="AE7" i="5"/>
  <c r="AD7" i="5"/>
  <c r="AD84" i="5"/>
  <c r="S66" i="7"/>
  <c r="AE20" i="5"/>
  <c r="AD20" i="5"/>
  <c r="AD61" i="5"/>
  <c r="AE21" i="5"/>
  <c r="AD21" i="5"/>
  <c r="AE15" i="5"/>
  <c r="AD15" i="5"/>
  <c r="AE24" i="5"/>
  <c r="AD24" i="5"/>
  <c r="AD47" i="5"/>
  <c r="AD65" i="5"/>
  <c r="AD96" i="5"/>
  <c r="AD48" i="5"/>
  <c r="AE26" i="5"/>
  <c r="AC39" i="5"/>
  <c r="AE39" i="5" s="1"/>
  <c r="AD26" i="5"/>
  <c r="AE22" i="5"/>
  <c r="AD22" i="5"/>
  <c r="AC119" i="5"/>
  <c r="AD106" i="5"/>
  <c r="S20" i="7"/>
  <c r="AD90" i="5"/>
  <c r="S6" i="9"/>
  <c r="T48" i="7"/>
  <c r="S88" i="7"/>
  <c r="AE25" i="5"/>
  <c r="AD25" i="5"/>
  <c r="AE18" i="5"/>
  <c r="AD18" i="5"/>
  <c r="AD60" i="5"/>
  <c r="AE13" i="5"/>
  <c r="AD13" i="5"/>
  <c r="AE6" i="5"/>
  <c r="AD6" i="5"/>
  <c r="S26" i="7"/>
  <c r="S100" i="7"/>
  <c r="AE17" i="5"/>
  <c r="AD17" i="5"/>
  <c r="AE10" i="5"/>
  <c r="AD10" i="5"/>
  <c r="AE4" i="5"/>
  <c r="AD4" i="5"/>
  <c r="AD66" i="5"/>
  <c r="AC79" i="5"/>
  <c r="AE5" i="5"/>
  <c r="AD5" i="5"/>
  <c r="AE11" i="5"/>
  <c r="AD11" i="5"/>
  <c r="AE14" i="5"/>
  <c r="AD14" i="5"/>
  <c r="S106" i="7"/>
  <c r="AE8" i="5"/>
  <c r="AD8" i="5"/>
  <c r="K17" i="9"/>
  <c r="AD104" i="5"/>
  <c r="AD85" i="5"/>
  <c r="AD54" i="5"/>
  <c r="AD83" i="5"/>
  <c r="AE16" i="5"/>
  <c r="AD16" i="5"/>
  <c r="AE3" i="5"/>
  <c r="AD3" i="5"/>
  <c r="AE12" i="5"/>
  <c r="AD12" i="5"/>
  <c r="AD97" i="5"/>
  <c r="AD94" i="5"/>
  <c r="K4" i="9"/>
  <c r="K15" i="9" s="1"/>
  <c r="S8" i="7"/>
  <c r="AD59" i="5"/>
  <c r="S128" i="7"/>
  <c r="AE9" i="5"/>
  <c r="AD9" i="5"/>
  <c r="AE19" i="5"/>
  <c r="AD19" i="5"/>
  <c r="AD58" i="5"/>
  <c r="AE23" i="5"/>
  <c r="AD23" i="5"/>
  <c r="AD43" i="5"/>
  <c r="S5" i="12" l="1"/>
  <c r="K17" i="8"/>
  <c r="K15" i="8"/>
  <c r="S39" i="7"/>
  <c r="S38" i="14"/>
  <c r="S21" i="12"/>
  <c r="T69" i="7"/>
  <c r="T6" i="8" s="1"/>
  <c r="T55" i="14"/>
  <c r="I23" i="14"/>
  <c r="I24" i="14" s="1"/>
  <c r="Q24" i="14" s="1"/>
  <c r="S119" i="7"/>
  <c r="T70" i="14"/>
  <c r="Q56" i="14"/>
  <c r="U56" i="14" s="1"/>
  <c r="D56" i="14"/>
  <c r="P56" i="14" s="1"/>
  <c r="T77" i="14" s="1"/>
  <c r="R55" i="14"/>
  <c r="V70" i="14" s="1"/>
  <c r="T69" i="14"/>
  <c r="J24" i="14"/>
  <c r="R24" i="14" s="1"/>
  <c r="S6" i="14"/>
  <c r="J40" i="14"/>
  <c r="R40" i="14" s="1"/>
  <c r="R39" i="14"/>
  <c r="V69" i="14"/>
  <c r="N56" i="14"/>
  <c r="R56" i="14" s="1"/>
  <c r="S22" i="14"/>
  <c r="Q40" i="14"/>
  <c r="Q7" i="14"/>
  <c r="Q8" i="14"/>
  <c r="U70" i="14"/>
  <c r="U69" i="14"/>
  <c r="P39" i="14"/>
  <c r="B40" i="14"/>
  <c r="P40" i="14" s="1"/>
  <c r="T149" i="7"/>
  <c r="T10" i="8" s="1"/>
  <c r="B8" i="14"/>
  <c r="P8" i="14" s="1"/>
  <c r="P7" i="14"/>
  <c r="W68" i="14"/>
  <c r="W53" i="14"/>
  <c r="T54" i="14"/>
  <c r="S54" i="14"/>
  <c r="W54" i="14" s="1"/>
  <c r="J16" i="8"/>
  <c r="R79" i="7"/>
  <c r="T78" i="7"/>
  <c r="T158" i="7"/>
  <c r="T39" i="7" s="1"/>
  <c r="Q39" i="7"/>
  <c r="Q79" i="7"/>
  <c r="Q119" i="7"/>
  <c r="Q15" i="8"/>
  <c r="U15" i="8" s="1"/>
  <c r="T8" i="8"/>
  <c r="N15" i="8"/>
  <c r="N16" i="8"/>
  <c r="R17" i="8"/>
  <c r="V17" i="8" s="1"/>
  <c r="R15" i="8"/>
  <c r="V15" i="8" s="1"/>
  <c r="T60" i="7"/>
  <c r="N15" i="9"/>
  <c r="S29" i="12"/>
  <c r="W29" i="12" s="1"/>
  <c r="S14" i="12"/>
  <c r="N17" i="9"/>
  <c r="N16" i="9"/>
  <c r="S30" i="12"/>
  <c r="W30" i="12" s="1"/>
  <c r="S6" i="12"/>
  <c r="R17" i="9"/>
  <c r="S22" i="12"/>
  <c r="C15" i="9"/>
  <c r="Q15" i="9"/>
  <c r="T134" i="7"/>
  <c r="R15" i="9"/>
  <c r="C17" i="8"/>
  <c r="T94" i="7"/>
  <c r="T54" i="7"/>
  <c r="T6" i="9" s="1"/>
  <c r="T16" i="9" s="1"/>
  <c r="T14" i="7"/>
  <c r="T140" i="7"/>
  <c r="R30" i="11"/>
  <c r="R6" i="10" s="1"/>
  <c r="R16" i="10" s="1"/>
  <c r="J31" i="11"/>
  <c r="S16" i="8"/>
  <c r="W16" i="8" s="1"/>
  <c r="S4" i="9"/>
  <c r="T8" i="7"/>
  <c r="S8" i="9"/>
  <c r="T88" i="7"/>
  <c r="T66" i="7"/>
  <c r="S17" i="8"/>
  <c r="W17" i="8" s="1"/>
  <c r="T100" i="7"/>
  <c r="S10" i="9"/>
  <c r="S16" i="9" s="1"/>
  <c r="T128" i="7"/>
  <c r="S15" i="8"/>
  <c r="W15" i="8" s="1"/>
  <c r="T20" i="7"/>
  <c r="T106" i="7"/>
  <c r="T26" i="7"/>
  <c r="S39" i="14" l="1"/>
  <c r="S24" i="14"/>
  <c r="Q23" i="14"/>
  <c r="S23" i="14" s="1"/>
  <c r="U78" i="14"/>
  <c r="U76" i="14"/>
  <c r="T56" i="14"/>
  <c r="T76" i="14"/>
  <c r="V55" i="14"/>
  <c r="V79" i="14"/>
  <c r="V78" i="14"/>
  <c r="V77" i="14"/>
  <c r="U79" i="14"/>
  <c r="U71" i="14"/>
  <c r="V71" i="14"/>
  <c r="T71" i="14"/>
  <c r="S7" i="14"/>
  <c r="U74" i="14"/>
  <c r="T72" i="14"/>
  <c r="T73" i="14"/>
  <c r="S55" i="14"/>
  <c r="W55" i="14" s="1"/>
  <c r="U72" i="14"/>
  <c r="U75" i="14"/>
  <c r="T79" i="14"/>
  <c r="T74" i="14"/>
  <c r="T75" i="14"/>
  <c r="U73" i="14"/>
  <c r="U77" i="14"/>
  <c r="T78" i="14"/>
  <c r="V75" i="14"/>
  <c r="V73" i="14"/>
  <c r="V74" i="14"/>
  <c r="S56" i="14"/>
  <c r="W56" i="14" s="1"/>
  <c r="S40" i="14"/>
  <c r="V56" i="14"/>
  <c r="V76" i="14"/>
  <c r="V72" i="14"/>
  <c r="S8" i="14"/>
  <c r="W69" i="14"/>
  <c r="Q17" i="8"/>
  <c r="U17" i="8" s="1"/>
  <c r="T119" i="7"/>
  <c r="T17" i="8"/>
  <c r="X17" i="8" s="1"/>
  <c r="T79" i="7"/>
  <c r="T16" i="8"/>
  <c r="T10" i="9"/>
  <c r="T8" i="9"/>
  <c r="T4" i="9"/>
  <c r="R31" i="11"/>
  <c r="T30" i="11"/>
  <c r="S17" i="9"/>
  <c r="S15" i="9"/>
  <c r="W75" i="14" l="1"/>
  <c r="W71" i="14"/>
  <c r="W73" i="14"/>
  <c r="W76" i="14"/>
  <c r="W78" i="14"/>
  <c r="W74" i="14"/>
  <c r="W79" i="14"/>
  <c r="W72" i="14"/>
  <c r="W70" i="14"/>
  <c r="W77" i="14"/>
  <c r="T31" i="11"/>
  <c r="T6" i="10"/>
  <c r="T16" i="10" s="1"/>
  <c r="T15" i="8"/>
  <c r="U15" i="10" s="1"/>
  <c r="U16" i="9"/>
  <c r="X16" i="8"/>
  <c r="U17" i="9"/>
  <c r="U16" i="10"/>
  <c r="U17" i="10"/>
  <c r="T15" i="9"/>
  <c r="T17" i="9"/>
  <c r="X15" i="8" l="1"/>
  <c r="U15" i="9"/>
</calcChain>
</file>

<file path=xl/sharedStrings.xml><?xml version="1.0" encoding="utf-8"?>
<sst xmlns="http://schemas.openxmlformats.org/spreadsheetml/2006/main" count="6998" uniqueCount="1475">
  <si>
    <t>Mes</t>
  </si>
  <si>
    <t>Día</t>
  </si>
  <si>
    <t>Estudiante</t>
  </si>
  <si>
    <t xml:space="preserve">Grado </t>
  </si>
  <si>
    <t>Como conoció el colegio</t>
  </si>
  <si>
    <t xml:space="preserve">Inicio proceso </t>
  </si>
  <si>
    <t>Observación</t>
  </si>
  <si>
    <t>Matrícula</t>
  </si>
  <si>
    <t xml:space="preserve">Estado del proceso </t>
  </si>
  <si>
    <t>Observaciones</t>
  </si>
  <si>
    <t>Días entre cita de info e inicio de observa</t>
  </si>
  <si>
    <t>Días entre inici de observa y matrícula</t>
  </si>
  <si>
    <t>Días entre cita de info y matrícula</t>
  </si>
  <si>
    <t>Enero</t>
  </si>
  <si>
    <t xml:space="preserve">Alicia Barrientos </t>
  </si>
  <si>
    <t>Transición</t>
  </si>
  <si>
    <t>SI</t>
  </si>
  <si>
    <t xml:space="preserve">Antonia Tabares </t>
  </si>
  <si>
    <t>Prejardín</t>
  </si>
  <si>
    <t>NO</t>
  </si>
  <si>
    <t xml:space="preserve">Luna Waton Lu Jaramillo </t>
  </si>
  <si>
    <t>Gabriela Díaz Arrieta</t>
  </si>
  <si>
    <t xml:space="preserve">Elisa Delgado González </t>
  </si>
  <si>
    <t>David Gabriel Peña Díaz</t>
  </si>
  <si>
    <t>Febrero</t>
  </si>
  <si>
    <t>Martina Páez Cano</t>
  </si>
  <si>
    <t>Tenía cupo reservado y desitió</t>
  </si>
  <si>
    <t>Lucio Arango Parra</t>
  </si>
  <si>
    <t>Amelia Gaitán</t>
  </si>
  <si>
    <t>Alicia Vasco García</t>
  </si>
  <si>
    <t>Guadalupe Pérez puerta</t>
  </si>
  <si>
    <t>Martín velasquez</t>
  </si>
  <si>
    <t>Jardín</t>
  </si>
  <si>
    <t>Mayu Kiriki Ríos - Yudai Kiriki Ríos</t>
  </si>
  <si>
    <t>Marzo</t>
  </si>
  <si>
    <t>Agustín Hoyos Cruz</t>
  </si>
  <si>
    <t>Miguel Ángel Páez Montoya</t>
  </si>
  <si>
    <t>Juan Matías Fonseca</t>
  </si>
  <si>
    <t>Abril</t>
  </si>
  <si>
    <t>Matías Usma</t>
  </si>
  <si>
    <t>Luca Aristizábal Forero</t>
  </si>
  <si>
    <t>Luiyi Fontalvo Gutiérrez</t>
  </si>
  <si>
    <t>José Manuel Guzmán Barrera</t>
  </si>
  <si>
    <t>Emilia Ocampo López</t>
  </si>
  <si>
    <t>Aya Amor Correa Ramírez</t>
  </si>
  <si>
    <t>Lucía Urbina Wilches</t>
  </si>
  <si>
    <t>Pablo Jiménez Barrera</t>
  </si>
  <si>
    <t>Mayo</t>
  </si>
  <si>
    <t>Agustín Diosa Bedoya</t>
  </si>
  <si>
    <t>Valentino Iguarán</t>
  </si>
  <si>
    <t>Abril Vallejo Villegas</t>
  </si>
  <si>
    <t>No admitida</t>
  </si>
  <si>
    <t>Miranda Rodríguez</t>
  </si>
  <si>
    <t>Juan Felipe Gómez Uribe</t>
  </si>
  <si>
    <t>Martina Álvarez</t>
  </si>
  <si>
    <t>Fabiana Álvarez</t>
  </si>
  <si>
    <t>Emilia Jaramillo Arroyave</t>
  </si>
  <si>
    <t>Junio</t>
  </si>
  <si>
    <t>Agustín Ospina</t>
  </si>
  <si>
    <t>Agustín Giraldo Jaramillo</t>
  </si>
  <si>
    <t>Celeste Vélez Ramírez</t>
  </si>
  <si>
    <t>Santiago Contreras</t>
  </si>
  <si>
    <t>Julio</t>
  </si>
  <si>
    <t>Helena Osorio Ascuntar</t>
  </si>
  <si>
    <t>Juan Martín Isaza</t>
  </si>
  <si>
    <t>Isabella Usme</t>
  </si>
  <si>
    <t>Lucas Gómez Fernández</t>
  </si>
  <si>
    <t>Antonia Gómez Fernández</t>
  </si>
  <si>
    <t>Agosto</t>
  </si>
  <si>
    <t xml:space="preserve">Jerónimo Restrepo Ortiz </t>
  </si>
  <si>
    <t xml:space="preserve">María José Restrepo </t>
  </si>
  <si>
    <t xml:space="preserve">Ermes Suárez Mejía </t>
  </si>
  <si>
    <t xml:space="preserve">Federico Aristizábal Rubiano </t>
  </si>
  <si>
    <t>Miguel Cardona Gómez</t>
  </si>
  <si>
    <t xml:space="preserve">Guadalupe Naranjo </t>
  </si>
  <si>
    <t>Salvador Garcés</t>
  </si>
  <si>
    <t xml:space="preserve">Desistieron del proceso </t>
  </si>
  <si>
    <t>Septiembre</t>
  </si>
  <si>
    <t>Amalia Paucar Álvarez</t>
  </si>
  <si>
    <t>Lorenzo Posada</t>
  </si>
  <si>
    <t xml:space="preserve">Roma Arango Arango </t>
  </si>
  <si>
    <t xml:space="preserve">Dante Guerrero </t>
  </si>
  <si>
    <t xml:space="preserve">Guadalupe Sánchez </t>
  </si>
  <si>
    <t>Maximiliano Lopera Salinas</t>
  </si>
  <si>
    <t>Octubre</t>
  </si>
  <si>
    <t xml:space="preserve">Juan Emilio Taborda </t>
  </si>
  <si>
    <t xml:space="preserve">Ela Saldarriaga </t>
  </si>
  <si>
    <t>Noviembre</t>
  </si>
  <si>
    <t xml:space="preserve">Martina Franco </t>
  </si>
  <si>
    <t xml:space="preserve">Ismael Betancur Montoya </t>
  </si>
  <si>
    <t>Lorenzo Eslava Restrepo</t>
  </si>
  <si>
    <t>Juan Martín Soto</t>
  </si>
  <si>
    <t>Referido Alex Valencia</t>
  </si>
  <si>
    <t>Bebè de 4 meses</t>
  </si>
  <si>
    <t xml:space="preserve">Clemente Ramírez </t>
  </si>
  <si>
    <t xml:space="preserve">Referido Carolina Hoyos y Camila Urrego </t>
  </si>
  <si>
    <t>Validando otras opciones</t>
  </si>
  <si>
    <t xml:space="preserve">Samuel Restrepo </t>
  </si>
  <si>
    <t xml:space="preserve">Referido Alejandro Arango </t>
  </si>
  <si>
    <t>Desean proceso en octubre</t>
  </si>
  <si>
    <t>Juan Antonio Duque Yanini</t>
  </si>
  <si>
    <t>Internet</t>
  </si>
  <si>
    <t>Helena Rocha Zapata</t>
  </si>
  <si>
    <t>Referido</t>
  </si>
  <si>
    <t xml:space="preserve">Antonia Ramírez </t>
  </si>
  <si>
    <t>Tiene  2 años</t>
  </si>
  <si>
    <t>Iris Thomson</t>
  </si>
  <si>
    <t>Referido Kora Dominica</t>
  </si>
  <si>
    <t>Lucas Álvarez Santaularia</t>
  </si>
  <si>
    <t xml:space="preserve">Referido </t>
  </si>
  <si>
    <t>No desea continuar proceso</t>
  </si>
  <si>
    <t xml:space="preserve">Emma Ruìz Jaramillo </t>
  </si>
  <si>
    <t>Referido de Isaac Collins</t>
  </si>
  <si>
    <t xml:space="preserve">Amelia Sosa Arcila </t>
  </si>
  <si>
    <t>Se hace contacto y no responde</t>
  </si>
  <si>
    <t xml:space="preserve">Máximo Barreto </t>
  </si>
  <si>
    <t>Feria Conocer</t>
  </si>
  <si>
    <t xml:space="preserve">Juan Sebastian Ruíz </t>
  </si>
  <si>
    <t xml:space="preserve">Antonio Saldarriaga </t>
  </si>
  <si>
    <t>Desean proceso màs adelante</t>
  </si>
  <si>
    <t xml:space="preserve">Camila Oesch </t>
  </si>
  <si>
    <t>Referido Adriana Fontàn</t>
  </si>
  <si>
    <t xml:space="preserve">Tiene cupo reservado en el Columbus </t>
  </si>
  <si>
    <t xml:space="preserve">Federico Oesch </t>
  </si>
  <si>
    <t>Paul Jean Leon Bakaert</t>
  </si>
  <si>
    <t>Olivia Cruz</t>
  </si>
  <si>
    <t xml:space="preserve">Egresada del colegio </t>
  </si>
  <si>
    <t xml:space="preserve">Iris Cruz </t>
  </si>
  <si>
    <t>Tiene 2 años esperando que cumpla la edad</t>
  </si>
  <si>
    <t xml:space="preserve">Kala Guerrero </t>
  </si>
  <si>
    <t xml:space="preserve">Amalia Vèlez Tabares </t>
  </si>
  <si>
    <t xml:space="preserve">Olivia Pizano Morales </t>
  </si>
  <si>
    <t xml:space="preserve">Referido Alicia y Jerònimo Ospina </t>
  </si>
  <si>
    <t>Tiene 1 año</t>
  </si>
  <si>
    <t xml:space="preserve">Macarena Agudelo Muñoz </t>
  </si>
  <si>
    <t xml:space="preserve">Referido familia de Rosario </t>
  </si>
  <si>
    <t>En gestación</t>
  </si>
  <si>
    <t xml:space="preserve">Bejamìn Muñoz Zuluaga </t>
  </si>
  <si>
    <t xml:space="preserve">Samuel Gallo Cano </t>
  </si>
  <si>
    <t>Por recomendación neuro desisten del proceso</t>
  </si>
  <si>
    <t xml:space="preserve">Isaac Jaramillo </t>
  </si>
  <si>
    <t>Referido María Jaramillo</t>
  </si>
  <si>
    <t xml:space="preserve">Visitarán otro colegio </t>
  </si>
  <si>
    <t xml:space="preserve">Máximo Gómez </t>
  </si>
  <si>
    <t xml:space="preserve">Referido Felipe Vallejo </t>
  </si>
  <si>
    <t xml:space="preserve">Cristopher Daza </t>
  </si>
  <si>
    <t>Reserva de cupo</t>
  </si>
  <si>
    <t xml:space="preserve">Cupo reservado </t>
  </si>
  <si>
    <t xml:space="preserve">Salomón Tirado </t>
  </si>
  <si>
    <t>están revisando presupuesto</t>
  </si>
  <si>
    <t xml:space="preserve">Amelia Mejía Tamayo </t>
  </si>
  <si>
    <t xml:space="preserve"> desea proceso pero la matricula costosa . Cita con Alex</t>
  </si>
  <si>
    <t xml:space="preserve">Dayireth Giraldo </t>
  </si>
  <si>
    <t xml:space="preserve">Referido Jhoany Ortiz </t>
  </si>
  <si>
    <t xml:space="preserve">Giancarlo Avendaño </t>
  </si>
  <si>
    <t xml:space="preserve">Kailani Antonella Restrepo </t>
  </si>
  <si>
    <t>desea proceso en 2025 mitad</t>
  </si>
  <si>
    <t xml:space="preserve">Martín mira </t>
  </si>
  <si>
    <t>Redes sociales</t>
  </si>
  <si>
    <t>No desea iniciar proceso por temas ecónomicos</t>
  </si>
  <si>
    <t>Natalia Pulgar Rodríguez</t>
  </si>
  <si>
    <t>desea proceso para 1°</t>
  </si>
  <si>
    <t>Eva Suárez Tamayo</t>
  </si>
  <si>
    <t xml:space="preserve">Referido Federico Aristizábal </t>
  </si>
  <si>
    <t xml:space="preserve">Maria Angel Aponte Cuevas </t>
  </si>
  <si>
    <t>Benjamín Ruíz</t>
  </si>
  <si>
    <t>Referido Julio Fontán</t>
  </si>
  <si>
    <t xml:space="preserve">Josep Wilke </t>
  </si>
  <si>
    <t xml:space="preserve">Alma Wilke </t>
  </si>
  <si>
    <t xml:space="preserve">Gabriela Castro Vanegas </t>
  </si>
  <si>
    <t xml:space="preserve">Michael Barajas </t>
  </si>
  <si>
    <t xml:space="preserve">Emmanuel López </t>
  </si>
  <si>
    <t>Referido Angela Botero</t>
  </si>
  <si>
    <t>Diciembre</t>
  </si>
  <si>
    <t xml:space="preserve">Isaac Herrera </t>
  </si>
  <si>
    <t xml:space="preserve">Referido psicologa </t>
  </si>
  <si>
    <t xml:space="preserve">Milán Fernández </t>
  </si>
  <si>
    <t>Referido María del mar aristizabal</t>
  </si>
  <si>
    <t xml:space="preserve">Lucia Forero Serpa </t>
  </si>
  <si>
    <t xml:space="preserve">Juan Osorio Ruíz </t>
  </si>
  <si>
    <t xml:space="preserve">Agustin Rendón Pulgarin </t>
  </si>
  <si>
    <t xml:space="preserve">Referido Ainhoa Rendón </t>
  </si>
  <si>
    <t>Martín Gómez Orozco</t>
  </si>
  <si>
    <t>Referido Julia Gómez Santa</t>
  </si>
  <si>
    <t xml:space="preserve">Samuel Giraldo Arcila </t>
  </si>
  <si>
    <t>Emilia Duque Chavarría</t>
  </si>
  <si>
    <t>Amelia Vargas</t>
  </si>
  <si>
    <t xml:space="preserve">Mateo Escobar </t>
  </si>
  <si>
    <t xml:space="preserve">Juan Mateo Arango </t>
  </si>
  <si>
    <t>Gael Estrada</t>
  </si>
  <si>
    <t xml:space="preserve">Ismael Gómez Marín </t>
  </si>
  <si>
    <t xml:space="preserve">Río Sánchez Madrigal </t>
  </si>
  <si>
    <t xml:space="preserve">Ela Lezcano Trujillo </t>
  </si>
  <si>
    <t xml:space="preserve">Galilea Pizarro </t>
  </si>
  <si>
    <t xml:space="preserve">Alef Hernández </t>
  </si>
  <si>
    <t xml:space="preserve">Isaac Cruz Uribe </t>
  </si>
  <si>
    <t>Feria conocer</t>
  </si>
  <si>
    <t xml:space="preserve">Jerónimo Rivera </t>
  </si>
  <si>
    <t xml:space="preserve">María de la Luz cadavid </t>
  </si>
  <si>
    <t xml:space="preserve">Referido federico aristizábal </t>
  </si>
  <si>
    <t xml:space="preserve">Olivia Serna </t>
  </si>
  <si>
    <t xml:space="preserve">Alicia Zapata Betancur </t>
  </si>
  <si>
    <t xml:space="preserve">Se quedaran en el colegio actual </t>
  </si>
  <si>
    <t xml:space="preserve">Alicia Trujillo Valencia </t>
  </si>
  <si>
    <t xml:space="preserve">Pensando la decisión </t>
  </si>
  <si>
    <t xml:space="preserve">Alba Amará Garay </t>
  </si>
  <si>
    <t>Quieren explorar otro jardín primero</t>
  </si>
  <si>
    <t>Diego Cepeda</t>
  </si>
  <si>
    <t>No admitido, se interrumpe proceso</t>
  </si>
  <si>
    <t xml:space="preserve">Miguel Ángel Jaramillo </t>
  </si>
  <si>
    <t>Referido Paulina Isaza</t>
  </si>
  <si>
    <t>Recomendación psicologa</t>
  </si>
  <si>
    <t xml:space="preserve">Celeste Dávila Uribe </t>
  </si>
  <si>
    <t xml:space="preserve">Liam Gael Sánchez </t>
  </si>
  <si>
    <t>Referido  familia Violeta Marín</t>
  </si>
  <si>
    <t>Josué Álvarez López</t>
  </si>
  <si>
    <t>Referido Carolina Hoyos</t>
  </si>
  <si>
    <t>No desea continuar or costos</t>
  </si>
  <si>
    <t>Samuel Velasco Vásquez</t>
  </si>
  <si>
    <t>Referido rector del jardín</t>
  </si>
  <si>
    <t>No responde</t>
  </si>
  <si>
    <t>Aurora Mondragón</t>
  </si>
  <si>
    <t>Vecinos del sector</t>
  </si>
  <si>
    <t>Optaron por otro colegio</t>
  </si>
  <si>
    <t>Salomón Pineda Gómez</t>
  </si>
  <si>
    <t xml:space="preserve">Referido Juliana Salazar </t>
  </si>
  <si>
    <t xml:space="preserve">Moisés Asprilla Giraldo </t>
  </si>
  <si>
    <t>Referido familias de la familia del sol</t>
  </si>
  <si>
    <t>Cupo reservado</t>
  </si>
  <si>
    <t xml:space="preserve">Belen Jaramillo Coral </t>
  </si>
  <si>
    <t>Referido Olivia Fergusson</t>
  </si>
  <si>
    <t xml:space="preserve">Erick Sánchez Canto </t>
  </si>
  <si>
    <t>Salvador Gómez</t>
  </si>
  <si>
    <t>Aún no toman la decisión</t>
  </si>
  <si>
    <t>Matías Rivera</t>
  </si>
  <si>
    <t>Desisten del cambio de colegio</t>
  </si>
  <si>
    <t xml:space="preserve">Antonia Olave Castellanos </t>
  </si>
  <si>
    <t>Matilde Sañudo</t>
  </si>
  <si>
    <t>Referido  Kiki, Magdalena y Aníbal Vallejo</t>
  </si>
  <si>
    <t xml:space="preserve">Abigail Campo </t>
  </si>
  <si>
    <t>Referido jardín la arboleda</t>
  </si>
  <si>
    <t>Benjamín Monsalve Gómez</t>
  </si>
  <si>
    <t>Valentín Castro Arroyave</t>
  </si>
  <si>
    <t>Vicente Ruiz</t>
  </si>
  <si>
    <t>Esteban Buitrago Ruíz</t>
  </si>
  <si>
    <t>Referido Alicia Vasco</t>
  </si>
  <si>
    <t>Mirando otras opciones</t>
  </si>
  <si>
    <t>Alejandra Aspioso Patiño</t>
  </si>
  <si>
    <t>Estudiante con necesidades especiales</t>
  </si>
  <si>
    <t>Eva Correa</t>
  </si>
  <si>
    <t>Referido Cristopher Daza</t>
  </si>
  <si>
    <t>Estefano De la Cruz Gyori</t>
  </si>
  <si>
    <t xml:space="preserve">Fue admitido, pero por demora se niega el cupo </t>
  </si>
  <si>
    <t xml:space="preserve">Elena Álvarez Valencia </t>
  </si>
  <si>
    <t>Eris Díaz Lavado</t>
  </si>
  <si>
    <t>Aún no desean hacer el ingreso</t>
  </si>
  <si>
    <t>Martín Suescun</t>
  </si>
  <si>
    <t xml:space="preserve">Emma Corrales Rego </t>
  </si>
  <si>
    <t>Referido Ilana Parody</t>
  </si>
  <si>
    <t>Mateo Kaleb Place</t>
  </si>
  <si>
    <t xml:space="preserve">Mia Duque Medina </t>
  </si>
  <si>
    <t>Referido  familia Rosario</t>
  </si>
  <si>
    <t>María Isabel Mejía</t>
  </si>
  <si>
    <t>Referido  rectora del jardín</t>
  </si>
  <si>
    <t>Autismo apoyo nivel 2</t>
  </si>
  <si>
    <t>Oliver Florez Fontán</t>
  </si>
  <si>
    <t>Familia Fontán</t>
  </si>
  <si>
    <t>Ingreso 2026</t>
  </si>
  <si>
    <t>Julieta Serrano Arcila</t>
  </si>
  <si>
    <t>Referido la liga de la leche</t>
  </si>
  <si>
    <t>Sofía Serrano Arcila</t>
  </si>
  <si>
    <t>Emilio Morales Preciado</t>
  </si>
  <si>
    <t>Referido de pompitas y psicologa</t>
  </si>
  <si>
    <t>Amelia Alana Hennessy</t>
  </si>
  <si>
    <t>Hermana de Miles Hennesick</t>
  </si>
  <si>
    <t>Federico Aragot Salas</t>
  </si>
  <si>
    <t>Cita virtual</t>
  </si>
  <si>
    <t>Antonia Díaz Galvis</t>
  </si>
  <si>
    <t>Maite López Herrera</t>
  </si>
  <si>
    <t>Rivi Luca Damas López</t>
  </si>
  <si>
    <t>es matricula de 1°</t>
  </si>
  <si>
    <t>Massimo Mejía Escobar</t>
  </si>
  <si>
    <t>Referido madre del club de fútbol</t>
  </si>
  <si>
    <t>Lucca Jaramillo Velásquez</t>
  </si>
  <si>
    <t xml:space="preserve">Primo de Vicente Arango </t>
  </si>
  <si>
    <t>Rafael Ceballos Rocha</t>
  </si>
  <si>
    <t>referido directora del jardín</t>
  </si>
  <si>
    <t>Martín Velásquez Hernandez</t>
  </si>
  <si>
    <t>Referido familia peláez jadue</t>
  </si>
  <si>
    <t>Austín Brand Madrid</t>
  </si>
  <si>
    <t>Samuel Andrés Villalobos</t>
  </si>
  <si>
    <t xml:space="preserve">Olivia Madrigal Soriano </t>
  </si>
  <si>
    <t>Guadalupe Neira Correa</t>
  </si>
  <si>
    <t>Benjamín Álvarez Macias</t>
  </si>
  <si>
    <t>Referido amigo de Adriana Fontán</t>
  </si>
  <si>
    <t>Máximo Vanegas Gómez</t>
  </si>
  <si>
    <t>Vecinosdelsector</t>
  </si>
  <si>
    <t>Amaia Gutiérrez Montoya</t>
  </si>
  <si>
    <t>Referido rectora el encuentro</t>
  </si>
  <si>
    <t>Luca Hincapié Escobar</t>
  </si>
  <si>
    <t>Josué Pérez Cardona</t>
  </si>
  <si>
    <t>Olivia Cortés Guerrero</t>
  </si>
  <si>
    <t>Hermano vino a cita de información</t>
  </si>
  <si>
    <t>Zion Grier Barrera</t>
  </si>
  <si>
    <t>Sky Grier Barrera</t>
  </si>
  <si>
    <t>Mateo Ospina Buitrago</t>
  </si>
  <si>
    <t>Luna Quintero Jaramillo</t>
  </si>
  <si>
    <t>Prima de guadalupe rendón Jaramillo y CRM</t>
  </si>
  <si>
    <t>Maxi maldonado velásquez</t>
  </si>
  <si>
    <t>rafael rojas avila</t>
  </si>
  <si>
    <t>Tomás Escobar Segura</t>
  </si>
  <si>
    <t>Tomas Cruz Giraldo</t>
  </si>
  <si>
    <t xml:space="preserve">Lo conoce tiempo atrás </t>
  </si>
  <si>
    <t>Kirin Kuvshinov</t>
  </si>
  <si>
    <t>Antonia Gallo López</t>
  </si>
  <si>
    <t>Pruebas</t>
  </si>
  <si>
    <t>Días entre cita de info e inicio de pruebas</t>
  </si>
  <si>
    <t>Días entre pruebas y observa</t>
  </si>
  <si>
    <t>Salome Alvarez</t>
  </si>
  <si>
    <t>4°</t>
  </si>
  <si>
    <t>Samuel Santiesteban Bernal</t>
  </si>
  <si>
    <t>3°</t>
  </si>
  <si>
    <t>Felipe Canel Rubio</t>
  </si>
  <si>
    <t>Sara Canel Rubio</t>
  </si>
  <si>
    <t>1°</t>
  </si>
  <si>
    <t>Isabella Ayala</t>
  </si>
  <si>
    <t>2°</t>
  </si>
  <si>
    <t>Maria Angel Sepulveda</t>
  </si>
  <si>
    <t>Jerónimo Neira Gómez.</t>
  </si>
  <si>
    <t>5°</t>
  </si>
  <si>
    <t>Luciana Vásquez baena</t>
  </si>
  <si>
    <t>María Antonia Méndez</t>
  </si>
  <si>
    <t>Sara Suárez</t>
  </si>
  <si>
    <t>Matias Lopez Salazar</t>
  </si>
  <si>
    <t>Ariana Espinal</t>
  </si>
  <si>
    <t>Agustin Castaño Giraldo</t>
  </si>
  <si>
    <t>Emilio Villada</t>
  </si>
  <si>
    <t>Antonio Hoyos Cruz</t>
  </si>
  <si>
    <t>Felipe Arango Escobar</t>
  </si>
  <si>
    <t>Nicolás Restrepo Escobar</t>
  </si>
  <si>
    <t>Sofía Bernal Henao</t>
  </si>
  <si>
    <t>Amalia Ruíz García</t>
  </si>
  <si>
    <t>Juan Pablo Ramírez</t>
  </si>
  <si>
    <t>Liam Buririca Parra</t>
  </si>
  <si>
    <t>Ian Fernández</t>
  </si>
  <si>
    <t xml:space="preserve">No admitido </t>
  </si>
  <si>
    <t>Luciana Arrázola</t>
  </si>
  <si>
    <t>Antonio Ríos Villegas</t>
  </si>
  <si>
    <t>Amelia Pérez Cardona</t>
  </si>
  <si>
    <t>Ivanna Ramírez Vélez</t>
  </si>
  <si>
    <t>Valerie Maturana Ruíz</t>
  </si>
  <si>
    <t>Felipe Maturana Ruíz</t>
  </si>
  <si>
    <t>Isabella Zapata Arango</t>
  </si>
  <si>
    <t>Guadalupe Giraldo Zuluaga</t>
  </si>
  <si>
    <t>Victoria Giraldo Zuluaga</t>
  </si>
  <si>
    <t>Josué Rodríguez Yepes</t>
  </si>
  <si>
    <t>Julieta Ospina</t>
  </si>
  <si>
    <t>Ian Canizales Steel</t>
  </si>
  <si>
    <t>Emma Labrador Medina</t>
  </si>
  <si>
    <t>Thiago Labrador Medina</t>
  </si>
  <si>
    <t>Jacobo Prieto Espinal</t>
  </si>
  <si>
    <t>Juan Diego Restrepo Molina</t>
  </si>
  <si>
    <t>Andrés Felipe Cassiano Sandoval</t>
  </si>
  <si>
    <t>Tomás Vélez Gómez</t>
  </si>
  <si>
    <t>Paula Pereira López</t>
  </si>
  <si>
    <t xml:space="preserve">Santiago Aristizabal Bernal </t>
  </si>
  <si>
    <t xml:space="preserve">Iker Vanegas </t>
  </si>
  <si>
    <t>Vicente Gómez de Olivera</t>
  </si>
  <si>
    <t>Simón Duque Hoyos</t>
  </si>
  <si>
    <t xml:space="preserve">Desisten del proceso </t>
  </si>
  <si>
    <t>Matías Orozco Mochón</t>
  </si>
  <si>
    <t xml:space="preserve">Vicente Slawek García </t>
  </si>
  <si>
    <t xml:space="preserve">Julia Slawek García </t>
  </si>
  <si>
    <t xml:space="preserve">María Isabel Alzate </t>
  </si>
  <si>
    <t>Jerónimo Ospina Correa</t>
  </si>
  <si>
    <t>Alicia Ospina Correa</t>
  </si>
  <si>
    <t xml:space="preserve">leticia Valencia </t>
  </si>
  <si>
    <t xml:space="preserve">Mía Cano </t>
  </si>
  <si>
    <t>Angelo Pellarin</t>
  </si>
  <si>
    <t xml:space="preserve">Camilo Sánchez Martinez </t>
  </si>
  <si>
    <t>Luna Sánchez Martinez</t>
  </si>
  <si>
    <t>Matías Guzmán Botero</t>
  </si>
  <si>
    <t>Julieta Díez</t>
  </si>
  <si>
    <t>Martín Lopera</t>
  </si>
  <si>
    <t xml:space="preserve">Cristóbal Lopera </t>
  </si>
  <si>
    <t>Amelia Robles</t>
  </si>
  <si>
    <t xml:space="preserve">María Antonia Quintero </t>
  </si>
  <si>
    <t>Luciana Quintero</t>
  </si>
  <si>
    <t>Gabriela Garcés</t>
  </si>
  <si>
    <t xml:space="preserve">Samanta Guzmán </t>
  </si>
  <si>
    <t xml:space="preserve">Cristóbal Mejía </t>
  </si>
  <si>
    <t xml:space="preserve">Desisten del proceso , estudiante fue admitido </t>
  </si>
  <si>
    <t xml:space="preserve">Pedro Arguella </t>
  </si>
  <si>
    <t xml:space="preserve">Abril Posada </t>
  </si>
  <si>
    <t xml:space="preserve">Maria del Mar Velásquez </t>
  </si>
  <si>
    <t xml:space="preserve">Jerónimo López </t>
  </si>
  <si>
    <t xml:space="preserve">María Victoria Pérez Salazar </t>
  </si>
  <si>
    <t xml:space="preserve">Nicolás Castaño Correa </t>
  </si>
  <si>
    <t xml:space="preserve">Samuel Lopera Salinas </t>
  </si>
  <si>
    <t xml:space="preserve">Atenea Montoya Ospina </t>
  </si>
  <si>
    <t xml:space="preserve">Matías Restrepo Osorio </t>
  </si>
  <si>
    <t xml:space="preserve">Gabriel Ángel Palacio </t>
  </si>
  <si>
    <t xml:space="preserve">Francesco Salis </t>
  </si>
  <si>
    <t xml:space="preserve">Miguel Cardona Lara </t>
  </si>
  <si>
    <t>Agustín Sánchez Gómez</t>
  </si>
  <si>
    <t xml:space="preserve">Desisten del proceso , cupo otro colegio </t>
  </si>
  <si>
    <t xml:space="preserve">Alicia Restrepo </t>
  </si>
  <si>
    <t>Vicente Restrepo</t>
  </si>
  <si>
    <t>Federico Naranjo Gómez</t>
  </si>
  <si>
    <t xml:space="preserve">Luciana Camacho </t>
  </si>
  <si>
    <t>Thiago Mendez</t>
  </si>
  <si>
    <t xml:space="preserve">Juliana Arismendy Santoya </t>
  </si>
  <si>
    <t xml:space="preserve">Eloísa leal Salazar </t>
  </si>
  <si>
    <t>Proceso 2024</t>
  </si>
  <si>
    <t xml:space="preserve">Susana Montoya Cortés </t>
  </si>
  <si>
    <t>Camila Álvarez Frasser</t>
  </si>
  <si>
    <t>Maximiliano Gómez Meneses</t>
  </si>
  <si>
    <t xml:space="preserve">Nicolás Di Santo </t>
  </si>
  <si>
    <t xml:space="preserve">Alejandro Garcés </t>
  </si>
  <si>
    <t>Julieta Zapata</t>
  </si>
  <si>
    <t>Mateo Zapata</t>
  </si>
  <si>
    <t>Marcelo Rossetti Vélez</t>
  </si>
  <si>
    <t>Pedro Montes</t>
  </si>
  <si>
    <t xml:space="preserve">Cristóbal Pérez </t>
  </si>
  <si>
    <t xml:space="preserve">Miguel Vélez </t>
  </si>
  <si>
    <t xml:space="preserve">Diciembre </t>
  </si>
  <si>
    <t>Paloma Villegas Mejía</t>
  </si>
  <si>
    <t xml:space="preserve">Samuel Villegas Mejía </t>
  </si>
  <si>
    <t xml:space="preserve">Julieta Giraldo </t>
  </si>
  <si>
    <t xml:space="preserve">Emiliano Pérez </t>
  </si>
  <si>
    <t xml:space="preserve">Isaac Güerra </t>
  </si>
  <si>
    <t xml:space="preserve">Gaspar Mejía </t>
  </si>
  <si>
    <t>Sebastian Homez</t>
  </si>
  <si>
    <t xml:space="preserve">Mariana Sofìa Morales </t>
  </si>
  <si>
    <t xml:space="preserve">Juan Jacobo Ruìz </t>
  </si>
  <si>
    <t xml:space="preserve">Marìa Josè Ruìz </t>
  </si>
  <si>
    <t xml:space="preserve">Tomás Correa </t>
  </si>
  <si>
    <t>Exalumno delgrado 9º</t>
  </si>
  <si>
    <t xml:space="preserve">No desean continuar el proceso </t>
  </si>
  <si>
    <t xml:space="preserve">Agustín Pérez </t>
  </si>
  <si>
    <t>Se contacta y no responde</t>
  </si>
  <si>
    <t xml:space="preserve">Matías Calle Cano </t>
  </si>
  <si>
    <t xml:space="preserve">Psicòloga </t>
  </si>
  <si>
    <t>Pablo Gómez Guarín</t>
  </si>
  <si>
    <t xml:space="preserve">Gustavo Alonso Delgado </t>
  </si>
  <si>
    <t>Referido de Manuela Guilarte</t>
  </si>
  <si>
    <t xml:space="preserve">Martín Vergará </t>
  </si>
  <si>
    <t>Referido Marta Malagón</t>
  </si>
  <si>
    <t>Kiki Vam Delft</t>
  </si>
  <si>
    <t>Referido Magdalena Díez</t>
  </si>
  <si>
    <t xml:space="preserve">Felipe Gálvez </t>
  </si>
  <si>
    <t xml:space="preserve">Referido Grow </t>
  </si>
  <si>
    <t xml:space="preserve">Susana Gallego </t>
  </si>
  <si>
    <t xml:space="preserve">Referido Clara Osorio </t>
  </si>
  <si>
    <t xml:space="preserve">Nicolás Pavas </t>
  </si>
  <si>
    <t>Referido Juan Guillermo Villegas</t>
  </si>
  <si>
    <t>desiste del proceso, fue admitido</t>
  </si>
  <si>
    <t xml:space="preserve">Martina Barreto </t>
  </si>
  <si>
    <t xml:space="preserve">Rio Manuel Sanin </t>
  </si>
  <si>
    <t>Referido Kiki Van denlf</t>
  </si>
  <si>
    <t xml:space="preserve">Gabriela Castaño </t>
  </si>
  <si>
    <t>Referido María Fontán</t>
  </si>
  <si>
    <t xml:space="preserve">NO </t>
  </si>
  <si>
    <t xml:space="preserve">Deseaba ingresar en otro horario </t>
  </si>
  <si>
    <t>Martín Cruz</t>
  </si>
  <si>
    <t>No admitido</t>
  </si>
  <si>
    <t xml:space="preserve">Agustín Guerrero </t>
  </si>
  <si>
    <t xml:space="preserve">Celeste Jaramillo </t>
  </si>
  <si>
    <t>paso por la vía</t>
  </si>
  <si>
    <t xml:space="preserve">Emanuela Vásquez </t>
  </si>
  <si>
    <t>Referido amigos de matyas estevez</t>
  </si>
  <si>
    <t xml:space="preserve">David Vásquez </t>
  </si>
  <si>
    <t>Salvador Nicholls</t>
  </si>
  <si>
    <t xml:space="preserve">Maximiliano Velez </t>
  </si>
  <si>
    <t xml:space="preserve">Martín Builes </t>
  </si>
  <si>
    <t xml:space="preserve">Juan Sebastián Hernández </t>
  </si>
  <si>
    <t xml:space="preserve">Fatima Jaramilo </t>
  </si>
  <si>
    <t>Isabela Trujillo García</t>
  </si>
  <si>
    <t xml:space="preserve">Referido Adriana Jurado </t>
  </si>
  <si>
    <t xml:space="preserve">David Santiago </t>
  </si>
  <si>
    <t>Referido familia Kora</t>
  </si>
  <si>
    <t xml:space="preserve">Helena Gómez </t>
  </si>
  <si>
    <t xml:space="preserve"> debe de hacer alfabetización</t>
  </si>
  <si>
    <t xml:space="preserve">Brian Anderson </t>
  </si>
  <si>
    <t xml:space="preserve">Referido Kumot </t>
  </si>
  <si>
    <t>No admitido a observación</t>
  </si>
  <si>
    <t xml:space="preserve">Milán Anderson </t>
  </si>
  <si>
    <t xml:space="preserve">Thiago José García </t>
  </si>
  <si>
    <t xml:space="preserve">Referido egresado Isabela Salazar </t>
  </si>
  <si>
    <t>Emiliano Restrepo Bedoya</t>
  </si>
  <si>
    <t xml:space="preserve">Referido Alejandro Restrepo , estudiante </t>
  </si>
  <si>
    <t xml:space="preserve">Joaquín Ceballos </t>
  </si>
  <si>
    <t xml:space="preserve">Referido Felipe Álzate </t>
  </si>
  <si>
    <t xml:space="preserve">Mariana Cardenas </t>
  </si>
  <si>
    <t xml:space="preserve">Asisitió a cita de bachillerato </t>
  </si>
  <si>
    <t>Meison Goldsworthy</t>
  </si>
  <si>
    <t xml:space="preserve">Referido de Alejandra Marín </t>
  </si>
  <si>
    <t>Anabell Rojas Kalaptchion</t>
  </si>
  <si>
    <t>Daniel Agudelo</t>
  </si>
  <si>
    <t>Referido Psicologa</t>
  </si>
  <si>
    <t>Amelia Agudelo Montoya</t>
  </si>
  <si>
    <t xml:space="preserve">Owen Perafan </t>
  </si>
  <si>
    <t>Samanta Cordoba</t>
  </si>
  <si>
    <t>Emily Abril Moir</t>
  </si>
  <si>
    <t>Refrido</t>
  </si>
  <si>
    <t>No admitida , se recomienda REAC</t>
  </si>
  <si>
    <t>Pablo Gómez</t>
  </si>
  <si>
    <t xml:space="preserve">Miles Hennessy Kozik </t>
  </si>
  <si>
    <t xml:space="preserve">Referido Catalina Rojas </t>
  </si>
  <si>
    <t xml:space="preserve">Lucas Maestre Ramírez </t>
  </si>
  <si>
    <t>Referido Angélica Moreno</t>
  </si>
  <si>
    <t xml:space="preserve">Isabella Picón Ruíz </t>
  </si>
  <si>
    <t xml:space="preserve">Ezequiel Taborda </t>
  </si>
  <si>
    <t xml:space="preserve">Jacobo Restrepo </t>
  </si>
  <si>
    <t xml:space="preserve">Tomás Acevedo Sánchez </t>
  </si>
  <si>
    <t xml:space="preserve">María Sandoval </t>
  </si>
  <si>
    <t xml:space="preserve">Alejandro Rojas Cruz </t>
  </si>
  <si>
    <t xml:space="preserve">Jacob Campbell </t>
  </si>
  <si>
    <t xml:space="preserve">Martín Monsalve Vallejo </t>
  </si>
  <si>
    <t xml:space="preserve">Nicolás Betancur González </t>
  </si>
  <si>
    <t>Referido egresado Nicolás Rueda</t>
  </si>
  <si>
    <t>Salvatore Bohorquez</t>
  </si>
  <si>
    <t>Fiorella Bohorquez</t>
  </si>
  <si>
    <t>Belen Carrasquilla</t>
  </si>
  <si>
    <t>No responde para resultados, solo hizo pruebas</t>
  </si>
  <si>
    <t>Matías Carrasquilla</t>
  </si>
  <si>
    <t xml:space="preserve">Cipriano Restrepo Botero </t>
  </si>
  <si>
    <t xml:space="preserve">Hijo Egresado </t>
  </si>
  <si>
    <t xml:space="preserve">Agustina Restrepo Botero </t>
  </si>
  <si>
    <t xml:space="preserve">Hija egresada </t>
  </si>
  <si>
    <t xml:space="preserve">Desiste del proceso , cupo en otro colegio </t>
  </si>
  <si>
    <t xml:space="preserve">Alejandro Hincapié Mora </t>
  </si>
  <si>
    <t xml:space="preserve">Referido Carolina Hoyos </t>
  </si>
  <si>
    <t xml:space="preserve">Sara Hncapié Mora </t>
  </si>
  <si>
    <t xml:space="preserve">Simón Velásquez Vélez </t>
  </si>
  <si>
    <t xml:space="preserve">Endic Peña </t>
  </si>
  <si>
    <t xml:space="preserve">Mateo Gómez </t>
  </si>
  <si>
    <t>Referido María Isabel Alzate</t>
  </si>
  <si>
    <t xml:space="preserve">Referido padre realizo refuerzos años atrás </t>
  </si>
  <si>
    <t xml:space="preserve">Pablo Marín Muñoz </t>
  </si>
  <si>
    <t xml:space="preserve">Aron Rivera Santiago </t>
  </si>
  <si>
    <t xml:space="preserve">Referido Maximiliano Tirado </t>
  </si>
  <si>
    <t xml:space="preserve">Enero </t>
  </si>
  <si>
    <t xml:space="preserve">Samuel Jimenez </t>
  </si>
  <si>
    <t xml:space="preserve">Savannah Harper Olson </t>
  </si>
  <si>
    <t xml:space="preserve">Zoe Olson Bustos </t>
  </si>
  <si>
    <t xml:space="preserve">Theodore </t>
  </si>
  <si>
    <t xml:space="preserve">Aurora </t>
  </si>
  <si>
    <t xml:space="preserve">Juan Angel </t>
  </si>
  <si>
    <t xml:space="preserve">Matías Vásquez </t>
  </si>
  <si>
    <t xml:space="preserve">Carlos Esteban Aristizábal </t>
  </si>
  <si>
    <t xml:space="preserve">Referido Maria del mar aristizábal </t>
  </si>
  <si>
    <t xml:space="preserve">Isabela Aristizábal </t>
  </si>
  <si>
    <t xml:space="preserve">Maria Fernanda Lugo </t>
  </si>
  <si>
    <t xml:space="preserve">Laura Sofía Rendón </t>
  </si>
  <si>
    <t xml:space="preserve">Dante Ramos </t>
  </si>
  <si>
    <t xml:space="preserve">Máximo Peteuzzi </t>
  </si>
  <si>
    <t xml:space="preserve">Keila Pacheco Guaimanía </t>
  </si>
  <si>
    <t>Elena Hopps</t>
  </si>
  <si>
    <t xml:space="preserve">Amalia Dangón Fernández </t>
  </si>
  <si>
    <t xml:space="preserve">Alicia Hopps </t>
  </si>
  <si>
    <t>Gael Chavarro</t>
  </si>
  <si>
    <t>Zoe Chavarro</t>
  </si>
  <si>
    <t xml:space="preserve">Juan Pablo Medina </t>
  </si>
  <si>
    <t xml:space="preserve">Juan Pablo Pernia </t>
  </si>
  <si>
    <t>Referido Juliana Gómez</t>
  </si>
  <si>
    <t>Martín Valencia Arteaga</t>
  </si>
  <si>
    <t>Referido Fabiana , hijos egresados</t>
  </si>
  <si>
    <t xml:space="preserve">Marzo </t>
  </si>
  <si>
    <t>Elena Montoya Bordes</t>
  </si>
  <si>
    <t xml:space="preserve">Cristóbal Jaramillo </t>
  </si>
  <si>
    <t>Ingresa para calendario B</t>
  </si>
  <si>
    <t xml:space="preserve">Nicolás Pabón </t>
  </si>
  <si>
    <t>Referido Leonardo Vásquez</t>
  </si>
  <si>
    <t>Desean proceso para 2026</t>
  </si>
  <si>
    <t xml:space="preserve">Nicolás Álvarez </t>
  </si>
  <si>
    <t xml:space="preserve">Oliver Rodríguez </t>
  </si>
  <si>
    <t>Lucas Salomon Cruz</t>
  </si>
  <si>
    <t>Hermano isaac cruz</t>
  </si>
  <si>
    <t xml:space="preserve">Josman Samuel Giraldo </t>
  </si>
  <si>
    <t>Maximiliano Marulanda</t>
  </si>
  <si>
    <t>Se matricula en 1° pero esta en transición</t>
  </si>
  <si>
    <t>Juan Andrés Martínez</t>
  </si>
  <si>
    <t>No admitido a pasantía</t>
  </si>
  <si>
    <t xml:space="preserve">Maximiliano Gómez Mendoza </t>
  </si>
  <si>
    <t xml:space="preserve">Salomón Henao Carmona </t>
  </si>
  <si>
    <t>Vinieron años atrás</t>
  </si>
  <si>
    <t>Estudiante no desea cambio de colegio</t>
  </si>
  <si>
    <t>Juan Pablo Mejía Cacéres</t>
  </si>
  <si>
    <t xml:space="preserve">Emanuel Salamanca </t>
  </si>
  <si>
    <t>Sebastian Fuenmayor</t>
  </si>
  <si>
    <t>Búsqueda personal</t>
  </si>
  <si>
    <t>Santiago Fuenmayor</t>
  </si>
  <si>
    <t>Sofía Olbekson</t>
  </si>
  <si>
    <t>Lucas Olbekson</t>
  </si>
  <si>
    <t xml:space="preserve">Nicolás Díaz López </t>
  </si>
  <si>
    <t>No admitido se interrumpe pasantía</t>
  </si>
  <si>
    <t xml:space="preserve">Matias Zapata Betancur </t>
  </si>
  <si>
    <t xml:space="preserve">Vinieron a cita de preescolar , cupo tambien en transición </t>
  </si>
  <si>
    <t xml:space="preserve">Mayo </t>
  </si>
  <si>
    <t xml:space="preserve">Celeste Arismendi López </t>
  </si>
  <si>
    <t>Internet-feria conocer</t>
  </si>
  <si>
    <t xml:space="preserve">Desean colegio bilingüe </t>
  </si>
  <si>
    <t xml:space="preserve">Gabriel Saenz </t>
  </si>
  <si>
    <t>Benjamín Restrepo</t>
  </si>
  <si>
    <t>Nicolás Noreña</t>
  </si>
  <si>
    <t>Optaron por el colegio avanzar</t>
  </si>
  <si>
    <t xml:space="preserve">Alejandro Betancur Díaz </t>
  </si>
  <si>
    <t>Fería conocer de hace 2 años</t>
  </si>
  <si>
    <t xml:space="preserve">Miguel Ángel Grajales </t>
  </si>
  <si>
    <t xml:space="preserve">Vecinos del sector </t>
  </si>
  <si>
    <t xml:space="preserve">Alicia Piedrahita </t>
  </si>
  <si>
    <t xml:space="preserve">Referido estudiantes </t>
  </si>
  <si>
    <t>Matricula transición</t>
  </si>
  <si>
    <t>Helena Gaviria Molina</t>
  </si>
  <si>
    <t xml:space="preserve">Luciana Hernández </t>
  </si>
  <si>
    <t xml:space="preserve">Samuel Correa Betancur </t>
  </si>
  <si>
    <t xml:space="preserve">Se quedarán en el colegio actual </t>
  </si>
  <si>
    <t xml:space="preserve">Vicente Restrepo </t>
  </si>
  <si>
    <t xml:space="preserve">Joaquín Rojas Amariles </t>
  </si>
  <si>
    <t>Santiago Mejía Sierra</t>
  </si>
  <si>
    <t>Referido neuropsicologa</t>
  </si>
  <si>
    <t>No continuan por los costos</t>
  </si>
  <si>
    <t xml:space="preserve">Luciana Triana Ortíz </t>
  </si>
  <si>
    <t>Referido familia Elias Ortíz</t>
  </si>
  <si>
    <t xml:space="preserve">Junio </t>
  </si>
  <si>
    <t xml:space="preserve">Valentino Salinas </t>
  </si>
  <si>
    <t>Referido psicologa</t>
  </si>
  <si>
    <t>Luis Cepeda</t>
  </si>
  <si>
    <t>Se interrumpe proceso, se recomienda REAC</t>
  </si>
  <si>
    <t xml:space="preserve">Sofía Sierra Osorio </t>
  </si>
  <si>
    <t xml:space="preserve">Benjamín Correa </t>
  </si>
  <si>
    <t>Referido mamá Rosario Aristizábal</t>
  </si>
  <si>
    <t xml:space="preserve">Luis Guillermo Londoño </t>
  </si>
  <si>
    <t xml:space="preserve">Saben hace tiempo del colegio </t>
  </si>
  <si>
    <t>María del mar Velásquez</t>
  </si>
  <si>
    <t xml:space="preserve">Gael Isaza </t>
  </si>
  <si>
    <t xml:space="preserve">Salvador Pérez </t>
  </si>
  <si>
    <t>Referido rectora Montessori</t>
  </si>
  <si>
    <t xml:space="preserve">Maria Belen Yepes Osorio </t>
  </si>
  <si>
    <t>Desiste del proceso, cupo en otro colegio</t>
  </si>
  <si>
    <t xml:space="preserve">Jerónimo Carvajal </t>
  </si>
  <si>
    <t>Referido Neuropsicologa</t>
  </si>
  <si>
    <t xml:space="preserve">Julio </t>
  </si>
  <si>
    <t xml:space="preserve">Agustín Posada Restrepo </t>
  </si>
  <si>
    <t>Se hace proceso en preescolar</t>
  </si>
  <si>
    <t>Elías Londoño Domínguez</t>
  </si>
  <si>
    <t>Referido familia Higuita Montoya</t>
  </si>
  <si>
    <t>Arielle Londoño Domínguez</t>
  </si>
  <si>
    <t>Samuel González</t>
  </si>
  <si>
    <t>Tomás Schemel Medina</t>
  </si>
  <si>
    <t xml:space="preserve">Juan Pablo Bran Cano </t>
  </si>
  <si>
    <t>Referido  familia Martín serna</t>
  </si>
  <si>
    <t xml:space="preserve">Salomé Montoya </t>
  </si>
  <si>
    <t xml:space="preserve">Referido Familia Romero </t>
  </si>
  <si>
    <t>Jose David Yepes</t>
  </si>
  <si>
    <t>Referido doctor Hugo Gallego</t>
  </si>
  <si>
    <t>Isaac Yepes</t>
  </si>
  <si>
    <t>Pablo Jaramillo Mosquera</t>
  </si>
  <si>
    <t>Tomás Arango Acevedo</t>
  </si>
  <si>
    <t>Referido Carolina Bolivar</t>
  </si>
  <si>
    <t xml:space="preserve">Amelia Balderrama </t>
  </si>
  <si>
    <t>Referido Alicia Piedrahita</t>
  </si>
  <si>
    <t xml:space="preserve">Martina Correa Patiño </t>
  </si>
  <si>
    <t>Martín Gómez Ospina</t>
  </si>
  <si>
    <t>Egresada</t>
  </si>
  <si>
    <t>Isabella Mesa Villegas</t>
  </si>
  <si>
    <t>Referido Alicia Barrientos</t>
  </si>
  <si>
    <t xml:space="preserve">Emilia Salazar González </t>
  </si>
  <si>
    <t xml:space="preserve">Joaquín Duarte Henao </t>
  </si>
  <si>
    <t xml:space="preserve">Vicente Arango </t>
  </si>
  <si>
    <t>Referido Ana Henao</t>
  </si>
  <si>
    <t>Referido  ana henao</t>
  </si>
  <si>
    <t>No responden</t>
  </si>
  <si>
    <t>Isaac Villegas</t>
  </si>
  <si>
    <t>Amelia Loaiza Rivera</t>
  </si>
  <si>
    <t>Referido maestras country club</t>
  </si>
  <si>
    <t xml:space="preserve">Lucas Tique </t>
  </si>
  <si>
    <t>Referido especialista</t>
  </si>
  <si>
    <t xml:space="preserve">Simón Pulido </t>
  </si>
  <si>
    <t>Gregorio Betancur</t>
  </si>
  <si>
    <t xml:space="preserve">Buscando </t>
  </si>
  <si>
    <t>Juan José bermúdez</t>
  </si>
  <si>
    <t xml:space="preserve">Dominik Tomás Yain </t>
  </si>
  <si>
    <t xml:space="preserve">CRM  y referido egresado </t>
  </si>
  <si>
    <t>Sofía Gómez Ramírez</t>
  </si>
  <si>
    <t>Referido, estudiantes vereda el plan</t>
  </si>
  <si>
    <t>optaron por otro modelo</t>
  </si>
  <si>
    <t>Amalia Bernal Franco</t>
  </si>
  <si>
    <t>Jerónimo Casas</t>
  </si>
  <si>
    <t>Martina Busgos</t>
  </si>
  <si>
    <t>Sofía Basoc</t>
  </si>
  <si>
    <t>Emilio Uricoechea</t>
  </si>
  <si>
    <t>Matías Baracaldo</t>
  </si>
  <si>
    <t>Referido e internet</t>
  </si>
  <si>
    <t>Desiste del proceso ( autismo nivel 1)</t>
  </si>
  <si>
    <t>Maiana Ayala Cadavid</t>
  </si>
  <si>
    <t xml:space="preserve">Simón Romero </t>
  </si>
  <si>
    <t>Emiliano Aragot Salas</t>
  </si>
  <si>
    <t>Emanuel García Gómez</t>
  </si>
  <si>
    <t>Referido familia que es psicologa</t>
  </si>
  <si>
    <t>Rafael Gallo Vélez</t>
  </si>
  <si>
    <t>Referido Johana Bojanini</t>
  </si>
  <si>
    <t>Luciana Jaramillo Gaviria</t>
  </si>
  <si>
    <t>Amelia Restrepo Bedout</t>
  </si>
  <si>
    <t>Vicente Restrepo Bedout</t>
  </si>
  <si>
    <t>Jacob Saldarriaga Bohorquez</t>
  </si>
  <si>
    <t>Lo han visto en el camino</t>
  </si>
  <si>
    <t>Proceso para 6°</t>
  </si>
  <si>
    <t>Maia Saldarriaga Bohorquez</t>
  </si>
  <si>
    <t xml:space="preserve">Salomé De Jesús Carvajal </t>
  </si>
  <si>
    <t>Milgaros Vesga Wagner</t>
  </si>
  <si>
    <t>Amaia Isabel Rivera</t>
  </si>
  <si>
    <t>Isaac Montoya Ramírez</t>
  </si>
  <si>
    <t>referido profesora actual</t>
  </si>
  <si>
    <t>Maximiliano Cajiaco</t>
  </si>
  <si>
    <t>referido</t>
  </si>
  <si>
    <t>Desean algo más bilingue</t>
  </si>
  <si>
    <t>Jerónimo Escobar Vaquero</t>
  </si>
  <si>
    <t>Referifo</t>
  </si>
  <si>
    <t>Autismo nivel 1</t>
  </si>
  <si>
    <t>Isabella Celiz Díaz</t>
  </si>
  <si>
    <t>Manuel David Villalobos</t>
  </si>
  <si>
    <t>Emilio Gutierrez Sánchez</t>
  </si>
  <si>
    <t>Issajar Redondo mena</t>
  </si>
  <si>
    <t>Veljama Redondo mena</t>
  </si>
  <si>
    <t>Sofía Úsuga Gómez</t>
  </si>
  <si>
    <t>Juan José Zapata</t>
  </si>
  <si>
    <t>Pablo Castillo taborde</t>
  </si>
  <si>
    <t>Milán Restrepo Ceballos</t>
  </si>
  <si>
    <t>Milagros Dinh</t>
  </si>
  <si>
    <t>Martín Tsapuris</t>
  </si>
  <si>
    <t>Matías Jaramillo</t>
  </si>
  <si>
    <t>cupo 2027</t>
  </si>
  <si>
    <t>Félix Jaramillo</t>
  </si>
  <si>
    <t>Lincoln Alexander Judkins</t>
  </si>
  <si>
    <t xml:space="preserve">Autismo severo </t>
  </si>
  <si>
    <t>Maximino Carvajal Matíz</t>
  </si>
  <si>
    <t>Referido Growth</t>
  </si>
  <si>
    <t>Jonathan Azzalini</t>
  </si>
  <si>
    <t>CRM</t>
  </si>
  <si>
    <t xml:space="preserve">Julieta Gonzaléz </t>
  </si>
  <si>
    <t>Referido Dra.Johana Martínez</t>
  </si>
  <si>
    <t xml:space="preserve">Pedro Cruz Giraldo </t>
  </si>
  <si>
    <t>Ana díaz Ramírez</t>
  </si>
  <si>
    <t xml:space="preserve">david ceballos, papá aspirante </t>
  </si>
  <si>
    <t>Matias Cataño</t>
  </si>
  <si>
    <t>Anastasiia Artemova</t>
  </si>
  <si>
    <t>Katerina Kuvshinova</t>
  </si>
  <si>
    <t> </t>
  </si>
  <si>
    <t xml:space="preserve">Pruebas </t>
  </si>
  <si>
    <t>Matricula</t>
  </si>
  <si>
    <t>Gabriela Rodríguez</t>
  </si>
  <si>
    <t>8°</t>
  </si>
  <si>
    <t>Maria Clara Suárez</t>
  </si>
  <si>
    <t>11°</t>
  </si>
  <si>
    <t>Esteban Yepes Franco</t>
  </si>
  <si>
    <t>9°</t>
  </si>
  <si>
    <t>Jerónimo Ospina Palacio</t>
  </si>
  <si>
    <t>Alegra Aponte Montoya</t>
  </si>
  <si>
    <t>6°</t>
  </si>
  <si>
    <t>Jerónimo Gómez Moncada</t>
  </si>
  <si>
    <t>Maria José Tapasco Quintero</t>
  </si>
  <si>
    <t>7°</t>
  </si>
  <si>
    <t>Sasha Figueroa</t>
  </si>
  <si>
    <t>Matias Vallejo Aguilera</t>
  </si>
  <si>
    <t>Gabriela Patiño Sánchez</t>
  </si>
  <si>
    <t>Alejandro Rojas Montes</t>
  </si>
  <si>
    <t>Antonella Valencia</t>
  </si>
  <si>
    <t>Maria Camila Díaz</t>
  </si>
  <si>
    <t>luciana Restrepo Walker</t>
  </si>
  <si>
    <t>10°</t>
  </si>
  <si>
    <t xml:space="preserve">No admitida </t>
  </si>
  <si>
    <t>Maria Valentina Muñoz Muñoz</t>
  </si>
  <si>
    <t>Enrique Braidy</t>
  </si>
  <si>
    <t>Pedro Juan Cespedes</t>
  </si>
  <si>
    <t>Amalia Jimenez Sanin</t>
  </si>
  <si>
    <t>María José Marulanda Fiscó</t>
  </si>
  <si>
    <t xml:space="preserve">Manuel Torres </t>
  </si>
  <si>
    <t>Andrea Carolina Verbel</t>
  </si>
  <si>
    <t>Manuela Velez olarte</t>
  </si>
  <si>
    <t>Martina Velez olarte</t>
  </si>
  <si>
    <t>Daniel Vélez</t>
  </si>
  <si>
    <t>Matías López</t>
  </si>
  <si>
    <t>Isabel Restrepo Botero</t>
  </si>
  <si>
    <t>Miguel SantaMaria Valencia</t>
  </si>
  <si>
    <t>Ahinoa Rondon</t>
  </si>
  <si>
    <t>Juan Pablo caraballo</t>
  </si>
  <si>
    <t>Sofia Molina Hoyos</t>
  </si>
  <si>
    <t>Juan Sebastián Serna Guarin</t>
  </si>
  <si>
    <t>Ian Dicson Salazar</t>
  </si>
  <si>
    <t>Juan Jacobo García Montoya</t>
  </si>
  <si>
    <t>Valerio Yafreda</t>
  </si>
  <si>
    <t>Samuel espitia Cardozo</t>
  </si>
  <si>
    <t>Emilio Vásquez Yepes</t>
  </si>
  <si>
    <t>Juan Sebastian Pulgarín</t>
  </si>
  <si>
    <t>Simón Aguirre</t>
  </si>
  <si>
    <t>Angelina Wengert</t>
  </si>
  <si>
    <t>Simon Gaviria Correa</t>
  </si>
  <si>
    <t>Sofía Loaiza Aguirre</t>
  </si>
  <si>
    <t>Samuel Rojas Londoño</t>
  </si>
  <si>
    <t>No admitido a pasantía (se le recomienda flex)</t>
  </si>
  <si>
    <t>Alejandro Ramirez del  Castillo</t>
  </si>
  <si>
    <t>Sofia Restrepo Gómez</t>
  </si>
  <si>
    <t>Santiago Olarte Ortiz</t>
  </si>
  <si>
    <t>Emiliana Castrillon Tobon</t>
  </si>
  <si>
    <t xml:space="preserve">Desiste del proceso </t>
  </si>
  <si>
    <t>Juan Felipe Velásquez Buelvas</t>
  </si>
  <si>
    <t>Sofía Arango Escobar</t>
  </si>
  <si>
    <t>Luisa Saldarriaga Saldarriaga</t>
  </si>
  <si>
    <t xml:space="preserve">Matías Osorio Ramírez </t>
  </si>
  <si>
    <t>Candelaria Correa Vargas</t>
  </si>
  <si>
    <t>Jacobo García Tobón</t>
  </si>
  <si>
    <t>Valentina Ramírez</t>
  </si>
  <si>
    <t>Luis Felipe Agudelo Chalarca</t>
  </si>
  <si>
    <t>Solo hizo pruebas</t>
  </si>
  <si>
    <t>Elena Vesga Lotero</t>
  </si>
  <si>
    <t>Matías Fournier Sarmiento</t>
  </si>
  <si>
    <t>Isabella Arrázola</t>
  </si>
  <si>
    <t>No desea continuar el proceso</t>
  </si>
  <si>
    <t>Miranda Garnica</t>
  </si>
  <si>
    <t>Antonio Escobar</t>
  </si>
  <si>
    <t>Thomas Otálvaro Londoño</t>
  </si>
  <si>
    <t>Miguel Tobón Restrepo</t>
  </si>
  <si>
    <t>Isabella Cortés Puerta</t>
  </si>
  <si>
    <t>Lorenzo Sánchez Builes</t>
  </si>
  <si>
    <t>Nicolás Labrador Medina</t>
  </si>
  <si>
    <t>Nicolás Buitrago Gaviria</t>
  </si>
  <si>
    <t>Emiliana Chejne Posada</t>
  </si>
  <si>
    <t>Samuel García Castaño</t>
  </si>
  <si>
    <t>Sofía Jaramillo Noriega</t>
  </si>
  <si>
    <t>Juan Martín Patiño Arcila</t>
  </si>
  <si>
    <t>Emiliano Castro Maldonado</t>
  </si>
  <si>
    <t>Samuel Toro Ochoa</t>
  </si>
  <si>
    <t>María José Villa Herrera</t>
  </si>
  <si>
    <t>Juan José Cardona Vargas</t>
  </si>
  <si>
    <t>Samuel Roldán Posada</t>
  </si>
  <si>
    <t>Amalia Vera Botero</t>
  </si>
  <si>
    <t>Martín Maya Estrada</t>
  </si>
  <si>
    <t>Samuel Guerra Gallo</t>
  </si>
  <si>
    <t>Miguel Ángel Benítez González</t>
  </si>
  <si>
    <t>Jacobo García Cortés</t>
  </si>
  <si>
    <t>Isaac Molina Botero</t>
  </si>
  <si>
    <t>Juan Pablo Osorio Pérez</t>
  </si>
  <si>
    <t xml:space="preserve">Luis Fernando Londoño Valencia </t>
  </si>
  <si>
    <t>Amy Carolina Rojas Delgado</t>
  </si>
  <si>
    <t>Maximiliano Arce Grajales</t>
  </si>
  <si>
    <t>Sara Cardenas Beltrán</t>
  </si>
  <si>
    <t>Juan Camilo Restrepo Molina</t>
  </si>
  <si>
    <t>Valeria Hernández Restrepo</t>
  </si>
  <si>
    <t xml:space="preserve">Desisten del proceso - fue admitida </t>
  </si>
  <si>
    <t>Agustín Echeverri López</t>
  </si>
  <si>
    <t>Desisten del proceso - fue admitido</t>
  </si>
  <si>
    <t>Julián Gómez</t>
  </si>
  <si>
    <t xml:space="preserve">Ana María Corredor </t>
  </si>
  <si>
    <t xml:space="preserve">Susana Aristizabal Bernal </t>
  </si>
  <si>
    <t xml:space="preserve">Daniel Felipe Contreras </t>
  </si>
  <si>
    <t xml:space="preserve">Mariana Restrepo Roldán </t>
  </si>
  <si>
    <t xml:space="preserve">Manuela Mosquera </t>
  </si>
  <si>
    <t xml:space="preserve">Pedro Cano Botero </t>
  </si>
  <si>
    <t xml:space="preserve">Salomé Fernández Quiceno </t>
  </si>
  <si>
    <t xml:space="preserve">Camila López Ramírez </t>
  </si>
  <si>
    <t>No admitida a observación</t>
  </si>
  <si>
    <t xml:space="preserve">Santiago Céspedes Pizarro </t>
  </si>
  <si>
    <t>Miguel Andrés Cornejo Jiménez</t>
  </si>
  <si>
    <t>María José Lizarazo</t>
  </si>
  <si>
    <t>No realizan observación</t>
  </si>
  <si>
    <t>María José Cambindo</t>
  </si>
  <si>
    <t>Juan José Mina</t>
  </si>
  <si>
    <t xml:space="preserve">Juan Pablo Álzate </t>
  </si>
  <si>
    <t xml:space="preserve">Tomás Londoño Zapata </t>
  </si>
  <si>
    <t xml:space="preserve">No desea continuar el proceso </t>
  </si>
  <si>
    <t>Emiliana Cano Villa</t>
  </si>
  <si>
    <t>Alejandro Echavarría Martínez</t>
  </si>
  <si>
    <t>Valentina Zuluaga Velásquez</t>
  </si>
  <si>
    <t xml:space="preserve">Miguel Marín Gaviria </t>
  </si>
  <si>
    <t xml:space="preserve">María Antonia Hernández </t>
  </si>
  <si>
    <t xml:space="preserve">Samanta Rodríguez Galvis </t>
  </si>
  <si>
    <t>Simón García Arcila</t>
  </si>
  <si>
    <t>Hicieron proceso en el 2023 y en el 2026 no se admite</t>
  </si>
  <si>
    <t xml:space="preserve">Josep Nicolás Jaen </t>
  </si>
  <si>
    <t>Antonia Cárdenas Mesa</t>
  </si>
  <si>
    <t>Alma Sofía Ramírez</t>
  </si>
  <si>
    <t>Camila Posada Posada</t>
  </si>
  <si>
    <t>Luciana Posada Posada</t>
  </si>
  <si>
    <t>Matías Pedroza Montoya</t>
  </si>
  <si>
    <t xml:space="preserve">Lucas Ospina Giraldo </t>
  </si>
  <si>
    <t xml:space="preserve">Maria Camila Henao </t>
  </si>
  <si>
    <t>es admitida , desisten del proceso por el hermano de preescolar</t>
  </si>
  <si>
    <t xml:space="preserve">Jacobo Ortíz Soto </t>
  </si>
  <si>
    <t xml:space="preserve">Es admitido , desiste del proceso </t>
  </si>
  <si>
    <t>Samuel Díaz Granados</t>
  </si>
  <si>
    <t>Sara Contreras Chavarría</t>
  </si>
  <si>
    <t xml:space="preserve">Camila Guerrero Jaramillo </t>
  </si>
  <si>
    <t xml:space="preserve">Es admitida , desiste del proceso </t>
  </si>
  <si>
    <t xml:space="preserve">Jacobo Cuellar Molina </t>
  </si>
  <si>
    <t xml:space="preserve">Emma Luciana Ramírez </t>
  </si>
  <si>
    <t xml:space="preserve">Esteban Builes Rodríguez </t>
  </si>
  <si>
    <t xml:space="preserve">Se interrumpe pasantía , no admitido </t>
  </si>
  <si>
    <t xml:space="preserve">Maria José Pérez Salazar </t>
  </si>
  <si>
    <t xml:space="preserve">Daniela Linares Aronna </t>
  </si>
  <si>
    <t xml:space="preserve">Nicolás Ruíz Velásquez </t>
  </si>
  <si>
    <t xml:space="preserve">Luciana Pérez Montaño </t>
  </si>
  <si>
    <t xml:space="preserve">Juana Velásquez Ramírez </t>
  </si>
  <si>
    <t>Juan Manuel Benítez</t>
  </si>
  <si>
    <t xml:space="preserve">Samuel Ramírez Gallego </t>
  </si>
  <si>
    <t xml:space="preserve">Santiago Hincapie </t>
  </si>
  <si>
    <t xml:space="preserve">Susana Bustamante </t>
  </si>
  <si>
    <t xml:space="preserve">Avril González </t>
  </si>
  <si>
    <t xml:space="preserve">Luciana Manga Montoya </t>
  </si>
  <si>
    <t xml:space="preserve">Laura Avendaño Estrada </t>
  </si>
  <si>
    <t xml:space="preserve">Felipe Arias Carreño </t>
  </si>
  <si>
    <t>Juan Gregorio Bohórquez</t>
  </si>
  <si>
    <t>Miguel Angel Vera Quiceno</t>
  </si>
  <si>
    <t>Juan Nicolás Casallas de la Torre</t>
  </si>
  <si>
    <t>Matricula 2024</t>
  </si>
  <si>
    <t>Jacobo Sandoval Ruíz</t>
  </si>
  <si>
    <t>Maximiliano Lema</t>
  </si>
  <si>
    <t xml:space="preserve">No continuan proceso </t>
  </si>
  <si>
    <t>Isabel Díez Uribe</t>
  </si>
  <si>
    <t>Desiste del proceso , es admitida</t>
  </si>
  <si>
    <t>Tomás Andrés Lozano</t>
  </si>
  <si>
    <t>Jerónimo Bohorquez Gómez</t>
  </si>
  <si>
    <t xml:space="preserve">Kenneth Mateus Acevedo </t>
  </si>
  <si>
    <t>Alejandro Calle Sierra</t>
  </si>
  <si>
    <t>Violeta Vélez Parra</t>
  </si>
  <si>
    <t>Juan Pablo Arismendy Santoya</t>
  </si>
  <si>
    <t xml:space="preserve">Nahuel Tamayo </t>
  </si>
  <si>
    <t xml:space="preserve">Agustín Uribe Velásquez </t>
  </si>
  <si>
    <t>Emily Arenas Alba</t>
  </si>
  <si>
    <t>Matías Radi Sierra</t>
  </si>
  <si>
    <t>Marías Salome Jaramillo</t>
  </si>
  <si>
    <t>Manuela Vidalis Rodríguez</t>
  </si>
  <si>
    <t xml:space="preserve">Mariana Casiano Guzmán </t>
  </si>
  <si>
    <t xml:space="preserve">Pablo Wills Casinao </t>
  </si>
  <si>
    <t>Desiste del proceso , se le extendió la pasantía</t>
  </si>
  <si>
    <t xml:space="preserve">Johanes Castaño Sepúlveda </t>
  </si>
  <si>
    <t>Valery Guzmán Rodríguez</t>
  </si>
  <si>
    <t xml:space="preserve">Matías Vicente Aguilar </t>
  </si>
  <si>
    <t>Mariana Rincón Gallego</t>
  </si>
  <si>
    <t>Daniel Rubiano La torre</t>
  </si>
  <si>
    <t>Elena Hernández Echeverrí</t>
  </si>
  <si>
    <t>Matías Zapata Quintero</t>
  </si>
  <si>
    <t>Nicolás Blanco Gómez</t>
  </si>
  <si>
    <t xml:space="preserve">Desisten del proceso, no termina observación </t>
  </si>
  <si>
    <t xml:space="preserve">Martín Casas Arango </t>
  </si>
  <si>
    <t xml:space="preserve">Cristóbal Franco López </t>
  </si>
  <si>
    <t xml:space="preserve">Salomón Restrepo </t>
  </si>
  <si>
    <t xml:space="preserve">Lorenzo Vasquéz </t>
  </si>
  <si>
    <t xml:space="preserve">Matías Castro </t>
  </si>
  <si>
    <t xml:space="preserve">internet </t>
  </si>
  <si>
    <t>Desiste del proceso por ubicación (pruebas)</t>
  </si>
  <si>
    <t xml:space="preserve">Ana Sofía Baena </t>
  </si>
  <si>
    <t>Luciana del Valle Usúga</t>
  </si>
  <si>
    <t>Vinieron tiempo atrás</t>
  </si>
  <si>
    <t xml:space="preserve">Antonio Zuluaga </t>
  </si>
  <si>
    <t xml:space="preserve">Ex alumno </t>
  </si>
  <si>
    <t xml:space="preserve">Mariana Uribe </t>
  </si>
  <si>
    <t xml:space="preserve">Santiago Giraldo Aristizábal </t>
  </si>
  <si>
    <t xml:space="preserve">Sebastian Giraldo </t>
  </si>
  <si>
    <t>Sara Montoya Acosta</t>
  </si>
  <si>
    <t>Mariana Vásquez Baena</t>
  </si>
  <si>
    <t>Desiste del proceso, fue admitida</t>
  </si>
  <si>
    <t>Santiago Bolivar</t>
  </si>
  <si>
    <t xml:space="preserve">Lucía Arango Torres </t>
  </si>
  <si>
    <t xml:space="preserve">María Caridad Rodríguez </t>
  </si>
  <si>
    <t xml:space="preserve">Samuel Roldán Posada </t>
  </si>
  <si>
    <t xml:space="preserve">David Londoño </t>
  </si>
  <si>
    <t>Referido de Xioani Sierra</t>
  </si>
  <si>
    <t xml:space="preserve">Nicolás Ospina Ruíz </t>
  </si>
  <si>
    <t xml:space="preserve">Maria Angel Foronda </t>
  </si>
  <si>
    <t>Samuel Sierra Mona</t>
  </si>
  <si>
    <t xml:space="preserve">Jacobo Freyre Alzate </t>
  </si>
  <si>
    <t xml:space="preserve">Sofía salas díaz </t>
  </si>
  <si>
    <t>Juan Andrés Salas</t>
  </si>
  <si>
    <t>No asistió a cita de información</t>
  </si>
  <si>
    <t xml:space="preserve">Tomás Begue Contreras </t>
  </si>
  <si>
    <t>desiste del proceso por tiempo de finalización</t>
  </si>
  <si>
    <t>Sara Montoya Mesa</t>
  </si>
  <si>
    <t xml:space="preserve">Samuel Herrera Noriega </t>
  </si>
  <si>
    <t>Martín Díaz Pérez</t>
  </si>
  <si>
    <t xml:space="preserve">Matías Jailler Pinzón </t>
  </si>
  <si>
    <t>desiste del proceso por tema social</t>
  </si>
  <si>
    <t xml:space="preserve">Manolo Arrubla Ospina </t>
  </si>
  <si>
    <t xml:space="preserve">Rosario Arrubla Ospina </t>
  </si>
  <si>
    <t xml:space="preserve">Julieta Camacho García </t>
  </si>
  <si>
    <t>Ana María Vásquez</t>
  </si>
  <si>
    <t xml:space="preserve">David García Sánchez </t>
  </si>
  <si>
    <t>Desiste del proceso por metodología (solo hizo pruebas)</t>
  </si>
  <si>
    <t xml:space="preserve">Maria Clara Montoya </t>
  </si>
  <si>
    <t xml:space="preserve">Esteban Guerra </t>
  </si>
  <si>
    <t xml:space="preserve">Luisa María Vargas </t>
  </si>
  <si>
    <t xml:space="preserve">Referido Emiliana Muriel </t>
  </si>
  <si>
    <t xml:space="preserve">Sebastián Espinosa </t>
  </si>
  <si>
    <t>Referido Adriana Fontán</t>
  </si>
  <si>
    <t>Pendiente por entregar pruebas</t>
  </si>
  <si>
    <t>Shanti Torres Shore</t>
  </si>
  <si>
    <t>Referido Nahuel Ismael</t>
  </si>
  <si>
    <t>Pedro Sanin</t>
  </si>
  <si>
    <t>Julián Steven Díaz</t>
  </si>
  <si>
    <t>Susana Meneses Burgos</t>
  </si>
  <si>
    <t>Referido Sofía Rojas</t>
  </si>
  <si>
    <t xml:space="preserve">Mariana Sulvarán </t>
  </si>
  <si>
    <t xml:space="preserve">Mariana Pérez Echeverri </t>
  </si>
  <si>
    <t>No continua proceso por decisión estudiante</t>
  </si>
  <si>
    <t>Nicolás Pérez Echeverri</t>
  </si>
  <si>
    <t xml:space="preserve">Sabrina Uribe </t>
  </si>
  <si>
    <t xml:space="preserve">Saray Amelie Delgado </t>
  </si>
  <si>
    <t xml:space="preserve">Referido Mariana Erazo </t>
  </si>
  <si>
    <t xml:space="preserve">Juan Pablo Bernal </t>
  </si>
  <si>
    <t xml:space="preserve">Camila Rivera Molina </t>
  </si>
  <si>
    <t xml:space="preserve">Preston Sanz De Santiago </t>
  </si>
  <si>
    <t>Maria Angel Tamayo Escobar</t>
  </si>
  <si>
    <t>Pasaron por el sector</t>
  </si>
  <si>
    <t>Desiste del proceso por cantidad de bases (solo hizo pruebas)</t>
  </si>
  <si>
    <t xml:space="preserve">Matías Jaramillo </t>
  </si>
  <si>
    <t>Pasaron por la vía</t>
  </si>
  <si>
    <t>Danny Andrés Granada Hernández</t>
  </si>
  <si>
    <t xml:space="preserve">Presentó pruebas , desiste del proceso </t>
  </si>
  <si>
    <t xml:space="preserve">Monserrat Mejía Hoyos </t>
  </si>
  <si>
    <t xml:space="preserve">Padre egresado del colegio </t>
  </si>
  <si>
    <t>no admitida</t>
  </si>
  <si>
    <t xml:space="preserve">José Julian Palacio Arango </t>
  </si>
  <si>
    <t xml:space="preserve">Santiago Zuluaga Velàsquez </t>
  </si>
  <si>
    <t xml:space="preserve">Hermano de estudiante </t>
  </si>
  <si>
    <t xml:space="preserve">Jose María Roa </t>
  </si>
  <si>
    <t>Referido Andrés Cifuentes</t>
  </si>
  <si>
    <t>Simón Ramírez</t>
  </si>
  <si>
    <t>Referido Maria Elena Saldarriaga</t>
  </si>
  <si>
    <t xml:space="preserve">Miguel Escobar </t>
  </si>
  <si>
    <t>Referido Juan carlos Arango</t>
  </si>
  <si>
    <t xml:space="preserve">Sara Lotero </t>
  </si>
  <si>
    <t>Sobrino Juan Pablo Muñoz</t>
  </si>
  <si>
    <t xml:space="preserve">Samuel Mayungo </t>
  </si>
  <si>
    <t>Tía Egresada ana maria correa</t>
  </si>
  <si>
    <t>Desiste del proceso se fue a vivir a EEUU (solo hizo pruebas)</t>
  </si>
  <si>
    <t xml:space="preserve">Cristóbal Vélez </t>
  </si>
  <si>
    <t>Zara Valentina Velandia</t>
  </si>
  <si>
    <t>María Antonia Echeverrí</t>
  </si>
  <si>
    <t xml:space="preserve">Martin Castaño </t>
  </si>
  <si>
    <t xml:space="preserve">Maria del mar trujillo </t>
  </si>
  <si>
    <t>Desiste del proceso (solo hizo pruebas)</t>
  </si>
  <si>
    <t xml:space="preserve">Máximo Álvarez </t>
  </si>
  <si>
    <t xml:space="preserve">Susana Acosta </t>
  </si>
  <si>
    <t xml:space="preserve">Valentina Granados </t>
  </si>
  <si>
    <t xml:space="preserve">Samuel Granados </t>
  </si>
  <si>
    <t xml:space="preserve">Samuel Jesús Escobar </t>
  </si>
  <si>
    <t>Referido Estefaía Escobar Egresada</t>
  </si>
  <si>
    <t xml:space="preserve">Ricardo Anderson </t>
  </si>
  <si>
    <t>Referido kumot</t>
  </si>
  <si>
    <t>Emiliano Bedoya</t>
  </si>
  <si>
    <t>Desiste del proceso -pruebas</t>
  </si>
  <si>
    <t xml:space="preserve">Juanita Combariza </t>
  </si>
  <si>
    <t>Salome Adarve Muñoz</t>
  </si>
  <si>
    <t>Referido Rosario Arrubla</t>
  </si>
  <si>
    <t>Antonia Uribe Sabogal</t>
  </si>
  <si>
    <t>Maria Paula García Romero</t>
  </si>
  <si>
    <t xml:space="preserve">Cristobal Jané </t>
  </si>
  <si>
    <t xml:space="preserve">Egresado Gregorio Gaviria </t>
  </si>
  <si>
    <t xml:space="preserve">Samanta Jaramillo Restrepo </t>
  </si>
  <si>
    <t xml:space="preserve">Desiste del proceos iba a ser admitida </t>
  </si>
  <si>
    <t xml:space="preserve">Alejandro Jaramillo </t>
  </si>
  <si>
    <t xml:space="preserve">Referido Margarita García </t>
  </si>
  <si>
    <t xml:space="preserve">Karim Mansour Monsalve </t>
  </si>
  <si>
    <t xml:space="preserve">estudiante con condiciones no aptas para el colegio </t>
  </si>
  <si>
    <t>Emiliana Maya Molina</t>
  </si>
  <si>
    <t xml:space="preserve">Referido Carolina Saldarriaga </t>
  </si>
  <si>
    <t>Desiste del proceso - pruebas</t>
  </si>
  <si>
    <t xml:space="preserve">Sofia Quijano </t>
  </si>
  <si>
    <t>Sofía Cartagena Castaño</t>
  </si>
  <si>
    <t>Desiste del proceso solo hizo pruebas</t>
  </si>
  <si>
    <t xml:space="preserve">Tomás Baquero </t>
  </si>
  <si>
    <t xml:space="preserve">Referido Andrés Ochoa </t>
  </si>
  <si>
    <t>Martín Aristizábal Rivera</t>
  </si>
  <si>
    <t>Isabella Aristizábal Buitrago</t>
  </si>
  <si>
    <t>Referido egresada María Alejandra</t>
  </si>
  <si>
    <t xml:space="preserve">Magnolia Isbel Canales </t>
  </si>
  <si>
    <t>Referido Catalina Rojas</t>
  </si>
  <si>
    <t xml:space="preserve">Salomé Pineros </t>
  </si>
  <si>
    <t>Referido Psiquiatra</t>
  </si>
  <si>
    <t xml:space="preserve">Karleisy Ocampo </t>
  </si>
  <si>
    <t>Referido - rectora Monteria</t>
  </si>
  <si>
    <t xml:space="preserve">Juan Manuel Grajales </t>
  </si>
  <si>
    <t>Referido Nataly Montoya</t>
  </si>
  <si>
    <t xml:space="preserve">Leandra Ardila Giraldo </t>
  </si>
  <si>
    <t>Alicia Díaz Molina</t>
  </si>
  <si>
    <t>Referido - Susana Meneses</t>
  </si>
  <si>
    <t xml:space="preserve">Mariana Hernández </t>
  </si>
  <si>
    <t xml:space="preserve">Alison Serna Florez </t>
  </si>
  <si>
    <t>Antonia Sabogal Mazo</t>
  </si>
  <si>
    <t xml:space="preserve">Joaquín Solórzano </t>
  </si>
  <si>
    <t>Celeste Gómez</t>
  </si>
  <si>
    <t>Carolina Bermúdez</t>
  </si>
  <si>
    <t xml:space="preserve">Ana Celeste Gutierrez </t>
  </si>
  <si>
    <t xml:space="preserve">Hermana de estudiante </t>
  </si>
  <si>
    <t xml:space="preserve">Magno León Bonnells </t>
  </si>
  <si>
    <t>José Miguel Laverde</t>
  </si>
  <si>
    <t>Lo conoce hace años</t>
  </si>
  <si>
    <t xml:space="preserve">Ashely Fuentes </t>
  </si>
  <si>
    <t xml:space="preserve">Salomé Taborda </t>
  </si>
  <si>
    <t>Desiste del proceso - solo hizo pruebas</t>
  </si>
  <si>
    <t xml:space="preserve">Martín Restrepo </t>
  </si>
  <si>
    <t xml:space="preserve">Referido egresada Viviana </t>
  </si>
  <si>
    <t>Desiste del proceso por distancia -fue admitido</t>
  </si>
  <si>
    <t>Santiago Munera Calderón</t>
  </si>
  <si>
    <t xml:space="preserve">Maria Antonia Arroyave </t>
  </si>
  <si>
    <t>Referido Celeste Gómez</t>
  </si>
  <si>
    <t xml:space="preserve">José Zapata </t>
  </si>
  <si>
    <t xml:space="preserve">Referido Carmenza </t>
  </si>
  <si>
    <t>Helena Duque Vargas</t>
  </si>
  <si>
    <t>Estefany Mejía Muñoz</t>
  </si>
  <si>
    <t>Referido Beatriz Castaño</t>
  </si>
  <si>
    <t xml:space="preserve">Isabella Mejía Domenico </t>
  </si>
  <si>
    <t>Referido Anuar Sabogal</t>
  </si>
  <si>
    <t xml:space="preserve">María de los Ángeles Vergará </t>
  </si>
  <si>
    <t xml:space="preserve">Emanuel Agudelo López </t>
  </si>
  <si>
    <t>Referido Maria Antonia Palacio</t>
  </si>
  <si>
    <t xml:space="preserve">Julián Durden </t>
  </si>
  <si>
    <t xml:space="preserve">Referido egresado </t>
  </si>
  <si>
    <t>Desiste del proceso solo hace pruebas</t>
  </si>
  <si>
    <t xml:space="preserve">Simón Jaramillo </t>
  </si>
  <si>
    <t>Isabela Gómez Pineda</t>
  </si>
  <si>
    <t>Referido Miranda Garnica</t>
  </si>
  <si>
    <t xml:space="preserve">Salvador Juarez </t>
  </si>
  <si>
    <t xml:space="preserve">Amelia Moreno </t>
  </si>
  <si>
    <t xml:space="preserve">Maximiliano Isaza </t>
  </si>
  <si>
    <t xml:space="preserve">Samanta Alzate </t>
  </si>
  <si>
    <t xml:space="preserve">Desiste del proceso fue admitida </t>
  </si>
  <si>
    <t xml:space="preserve">Mateo Rodríguez </t>
  </si>
  <si>
    <t xml:space="preserve">Isabela Maya </t>
  </si>
  <si>
    <t>Referido Martín Restrepo</t>
  </si>
  <si>
    <t xml:space="preserve">Salomón Pérez </t>
  </si>
  <si>
    <t>Referido Carlos Arango</t>
  </si>
  <si>
    <t xml:space="preserve">Martín Zapata </t>
  </si>
  <si>
    <t>Referido Sofía Hernández</t>
  </si>
  <si>
    <t xml:space="preserve">Samuel Moreno Castro </t>
  </si>
  <si>
    <t>Referido Juan Botero</t>
  </si>
  <si>
    <t xml:space="preserve">Eloísa Giraldo </t>
  </si>
  <si>
    <t xml:space="preserve">Samanta Alarcón </t>
  </si>
  <si>
    <t xml:space="preserve">María Salomé Jimenez </t>
  </si>
  <si>
    <t xml:space="preserve">Salomé Fechi </t>
  </si>
  <si>
    <t>Violeta Vargas</t>
  </si>
  <si>
    <t>Desiste del proceso, se irá a estados unidos . Fue admitida</t>
  </si>
  <si>
    <t xml:space="preserve">Emiliano García </t>
  </si>
  <si>
    <t>Desiste del proceso , cupo otro colegio</t>
  </si>
  <si>
    <t>Valería Ríos</t>
  </si>
  <si>
    <t xml:space="preserve">Matías Sierra Meneses </t>
  </si>
  <si>
    <t xml:space="preserve">Referido Diana Monsalve </t>
  </si>
  <si>
    <t xml:space="preserve">Mariana Lugo </t>
  </si>
  <si>
    <t xml:space="preserve">Agustín Osorno Uribe </t>
  </si>
  <si>
    <t>Referido Ana María Rodríguez</t>
  </si>
  <si>
    <t xml:space="preserve">Angelica Rios </t>
  </si>
  <si>
    <t xml:space="preserve">María Fernanda Varela </t>
  </si>
  <si>
    <t xml:space="preserve">Emanuel Varela </t>
  </si>
  <si>
    <t xml:space="preserve">Gregorio Pérez </t>
  </si>
  <si>
    <t>Referido Ainhoa Rendón</t>
  </si>
  <si>
    <t xml:space="preserve">Jacob Harris </t>
  </si>
  <si>
    <t xml:space="preserve">Juan Martín Restrepo </t>
  </si>
  <si>
    <t>Martín Restrepo Builes</t>
  </si>
  <si>
    <t xml:space="preserve">Referido Susana Palacio </t>
  </si>
  <si>
    <t>Martín Arbeláez</t>
  </si>
  <si>
    <t>Referido psicologo Carlos López</t>
  </si>
  <si>
    <t xml:space="preserve">María del mar fuerte </t>
  </si>
  <si>
    <t xml:space="preserve">Agustín Ortiz Gómez </t>
  </si>
  <si>
    <t>Referido familia Villegas Mejía</t>
  </si>
  <si>
    <t xml:space="preserve">Salomé Castaño </t>
  </si>
  <si>
    <t xml:space="preserve">Antonella Álvarez </t>
  </si>
  <si>
    <t>Salomón Ramírez</t>
  </si>
  <si>
    <t xml:space="preserve">Referido Gregorio Pérez </t>
  </si>
  <si>
    <t>Camila Restrepo Álvarez</t>
  </si>
  <si>
    <t xml:space="preserve">Referido Gloria Duque </t>
  </si>
  <si>
    <t xml:space="preserve">Felipe Bravo </t>
  </si>
  <si>
    <t xml:space="preserve">Referido egresado Nicolás Sanín </t>
  </si>
  <si>
    <t xml:space="preserve">No admitido   </t>
  </si>
  <si>
    <t xml:space="preserve">Matías Manrique </t>
  </si>
  <si>
    <t xml:space="preserve">Zara Valentina Velandía </t>
  </si>
  <si>
    <t xml:space="preserve">Referido María isabel  Álzate </t>
  </si>
  <si>
    <t xml:space="preserve">Abril </t>
  </si>
  <si>
    <t xml:space="preserve">Gabriela Barrera </t>
  </si>
  <si>
    <t xml:space="preserve">Jacob Giraldo </t>
  </si>
  <si>
    <t>No admitido a pasantía se recomienda flex</t>
  </si>
  <si>
    <t xml:space="preserve">Emilio Bustamante </t>
  </si>
  <si>
    <t xml:space="preserve">Natalia Tobón </t>
  </si>
  <si>
    <t>Juan Sebastian Ortíz</t>
  </si>
  <si>
    <t>Sara Gómez</t>
  </si>
  <si>
    <t>Maximiliano Ortíz Bolivar</t>
  </si>
  <si>
    <t xml:space="preserve">Sofía Maya Jaramillo </t>
  </si>
  <si>
    <t>no admitida a pasantía</t>
  </si>
  <si>
    <t>Isabel Correa</t>
  </si>
  <si>
    <t xml:space="preserve">Maria Angel Gómez </t>
  </si>
  <si>
    <t>Referido, hija egresada</t>
  </si>
  <si>
    <t xml:space="preserve">Emilio Arango </t>
  </si>
  <si>
    <t>Referido Juliana Salazar</t>
  </si>
  <si>
    <t>Jacobo Parra Gómez</t>
  </si>
  <si>
    <t xml:space="preserve">Rafael Velásquez </t>
  </si>
  <si>
    <t>Paulina Kraev</t>
  </si>
  <si>
    <t xml:space="preserve">Ivanna Kraev </t>
  </si>
  <si>
    <t xml:space="preserve">Dante Duque </t>
  </si>
  <si>
    <t>Referido familias santa elena</t>
  </si>
  <si>
    <t xml:space="preserve">Alejandro Severiche </t>
  </si>
  <si>
    <t xml:space="preserve">Santiago Berrío </t>
  </si>
  <si>
    <t>Vino hace años atrás</t>
  </si>
  <si>
    <t xml:space="preserve">Vicente Moncada </t>
  </si>
  <si>
    <t>Referido Matyas Estevez</t>
  </si>
  <si>
    <t>Celeste López</t>
  </si>
  <si>
    <t>Referido Angelina Arena</t>
  </si>
  <si>
    <t xml:space="preserve">Luciana Pajón </t>
  </si>
  <si>
    <t>Referido Catalina Pineda</t>
  </si>
  <si>
    <t xml:space="preserve">Isabella Triana </t>
  </si>
  <si>
    <t>Referido familia Elias Ortiz</t>
  </si>
  <si>
    <t>Samuel Jaimes Herrera</t>
  </si>
  <si>
    <t xml:space="preserve">Emilio García Tobón </t>
  </si>
  <si>
    <t>Alessandro De-munari</t>
  </si>
  <si>
    <t>Mariana López Rivera</t>
  </si>
  <si>
    <t>Samuel Arango Gutierrez</t>
  </si>
  <si>
    <t xml:space="preserve">Referido Eliana Duque </t>
  </si>
  <si>
    <t>Felipe Lozano Forero</t>
  </si>
  <si>
    <t>Liam Villegas Restrepo</t>
  </si>
  <si>
    <t>Referido psicológa</t>
  </si>
  <si>
    <t>Antonia Susaeta González</t>
  </si>
  <si>
    <t>Estuvo en full life</t>
  </si>
  <si>
    <t xml:space="preserve">Leia Olaechea Barbosa </t>
  </si>
  <si>
    <t>Referido Alejandro Restrepo</t>
  </si>
  <si>
    <t xml:space="preserve">Emiliana Biancardi Valencia </t>
  </si>
  <si>
    <t xml:space="preserve">Emanuel Moreno </t>
  </si>
  <si>
    <t>Referido rector canadiense</t>
  </si>
  <si>
    <t xml:space="preserve">Desiste del proceso por distancia </t>
  </si>
  <si>
    <t xml:space="preserve">Sara Galeano Carmona
</t>
  </si>
  <si>
    <t>Conocian el nombre</t>
  </si>
  <si>
    <t xml:space="preserve">Isaac Londoño </t>
  </si>
  <si>
    <t xml:space="preserve">Maria Paula Suárez </t>
  </si>
  <si>
    <t>Juan Jacobo Restrepo</t>
  </si>
  <si>
    <t>Referido familia Martín Callejas</t>
  </si>
  <si>
    <t>Paloma Restrepo</t>
  </si>
  <si>
    <t>No desea continuar con el proceso</t>
  </si>
  <si>
    <t>Martín Ortega Dávila</t>
  </si>
  <si>
    <t>Juan David Anaya</t>
  </si>
  <si>
    <t>Referido coordinador vermot</t>
  </si>
  <si>
    <t>María José Florez Zuluaga</t>
  </si>
  <si>
    <t>Referido familia correa borda</t>
  </si>
  <si>
    <t>Sara Florez Zuluaga</t>
  </si>
  <si>
    <t xml:space="preserve">Sofía Tirapegui </t>
  </si>
  <si>
    <t>Daniela Tirapegui</t>
  </si>
  <si>
    <t>María Alejandra Gómez</t>
  </si>
  <si>
    <t xml:space="preserve">Emanuel Pérez </t>
  </si>
  <si>
    <t>Referido ex alumno Samuel Yi</t>
  </si>
  <si>
    <t>Martín Vélez</t>
  </si>
  <si>
    <t>La mamá es profesora del EAFIT</t>
  </si>
  <si>
    <t>Antonia Gómez</t>
  </si>
  <si>
    <t>Jerónimo Valencia Herrera</t>
  </si>
  <si>
    <t>La mamá siempre lo ha conocido</t>
  </si>
  <si>
    <t>Emiliana Vargas Kasambira</t>
  </si>
  <si>
    <t>Cita virtual (2 PADRES)</t>
  </si>
  <si>
    <t>Luna del Mar Gamez</t>
  </si>
  <si>
    <t xml:space="preserve">Miguel Yepes </t>
  </si>
  <si>
    <t>Referido Alicia Díaz</t>
  </si>
  <si>
    <t xml:space="preserve">Luna Arizmendy </t>
  </si>
  <si>
    <t>Sofía Jaramillo Mosquera</t>
  </si>
  <si>
    <t>No desean continuar el proceso , perdio el año</t>
  </si>
  <si>
    <t xml:space="preserve">No desean continuar el proceso , perdio el año 7°en un colegio de 12 grados </t>
  </si>
  <si>
    <t>Santiago Álvarez Ríos</t>
  </si>
  <si>
    <t>Referido Martín Serna</t>
  </si>
  <si>
    <t>Desiste del proceso, se quedará en el colegio actual</t>
  </si>
  <si>
    <t>Aylin Arana</t>
  </si>
  <si>
    <t xml:space="preserve">referido </t>
  </si>
  <si>
    <t>Proceso en otro colegio</t>
  </si>
  <si>
    <t>Juan Andrés Arana</t>
  </si>
  <si>
    <t>Martín Santiago Hernández</t>
  </si>
  <si>
    <t>Referido Juanita Lorduy</t>
  </si>
  <si>
    <t>Nicolás Palacios Orrego</t>
  </si>
  <si>
    <t>Gabriela Anaya</t>
  </si>
  <si>
    <t>Referido Eliana Duque</t>
  </si>
  <si>
    <t xml:space="preserve">Emiliana Posada Patiño </t>
  </si>
  <si>
    <t xml:space="preserve">Margarita Álvarez </t>
  </si>
  <si>
    <t>Referido Luisa Saldarriaga</t>
  </si>
  <si>
    <t>Estudiante no desea cambio</t>
  </si>
  <si>
    <t>Maria Angel Ramírez</t>
  </si>
  <si>
    <t xml:space="preserve">la mamá lo conocia </t>
  </si>
  <si>
    <t>Desiste del proceso, no iba a ser admitida</t>
  </si>
  <si>
    <t xml:space="preserve">Emiliano Mesa </t>
  </si>
  <si>
    <t>Mía Lema García</t>
  </si>
  <si>
    <t>Fernanda Bernal Arroyave</t>
  </si>
  <si>
    <t>por matricular</t>
  </si>
  <si>
    <t>Samuel Acevedo</t>
  </si>
  <si>
    <t>Sara Bohorquéz</t>
  </si>
  <si>
    <t>Ana Sofía Díaz</t>
  </si>
  <si>
    <t>Nicolás Moreno Mafla</t>
  </si>
  <si>
    <t>Samuel Cardona</t>
  </si>
  <si>
    <t xml:space="preserve">Samuel López </t>
  </si>
  <si>
    <t>Referido Claudia Arias</t>
  </si>
  <si>
    <t>Samuel Cardona Ponce</t>
  </si>
  <si>
    <t>Referido Susana Alvarez</t>
  </si>
  <si>
    <t>Aún no toman una decisión</t>
  </si>
  <si>
    <t>Martina Juanita Navarrete</t>
  </si>
  <si>
    <t>Referido Emma Wesiack</t>
  </si>
  <si>
    <t xml:space="preserve">Eleonor Pérez </t>
  </si>
  <si>
    <t>Estudiante desea algo tradicional</t>
  </si>
  <si>
    <t>David Montoya</t>
  </si>
  <si>
    <t>Referido Luciana Praolini</t>
  </si>
  <si>
    <t>Samuel Mejía Flores</t>
  </si>
  <si>
    <t>Martín Arroyave Bolivar</t>
  </si>
  <si>
    <t>no vuelven a responder, solo hizo pruebas</t>
  </si>
  <si>
    <t>Raúl Jose Jabba</t>
  </si>
  <si>
    <t>Martín Velásquez</t>
  </si>
  <si>
    <t xml:space="preserve">María Del Mar Muñoz </t>
  </si>
  <si>
    <t xml:space="preserve">No desea  continuar con el proceso </t>
  </si>
  <si>
    <t xml:space="preserve">María Paulina Muñoz </t>
  </si>
  <si>
    <t>Flora Jiménez Marín</t>
  </si>
  <si>
    <t>Desiste del proceso, hizo 2 días de pasantía</t>
  </si>
  <si>
    <t xml:space="preserve">Amalia Cartagena </t>
  </si>
  <si>
    <t>Angel Serna Muñoz</t>
  </si>
  <si>
    <t>Internet los mejores colegios</t>
  </si>
  <si>
    <t xml:space="preserve">desiste del proceso, estudiante quiere seguir en el colegio actual </t>
  </si>
  <si>
    <t>Jerónimo Ospina</t>
  </si>
  <si>
    <t>Manuel Restrepo</t>
  </si>
  <si>
    <t>Emanuel López Sierra</t>
  </si>
  <si>
    <t xml:space="preserve">Referido Olga Angel </t>
  </si>
  <si>
    <t>Emanuel Gallego Rojas</t>
  </si>
  <si>
    <t xml:space="preserve">Buscando en redes </t>
  </si>
  <si>
    <t xml:space="preserve">Matías Solano </t>
  </si>
  <si>
    <t xml:space="preserve">CRM y referido </t>
  </si>
  <si>
    <t>Lorenzo López</t>
  </si>
  <si>
    <t xml:space="preserve">Referido Leia </t>
  </si>
  <si>
    <t>María Salomé Arango</t>
  </si>
  <si>
    <t>Dante Álzate</t>
  </si>
  <si>
    <t>Violeta Carrillo Gallo</t>
  </si>
  <si>
    <t>Referido del colegio</t>
  </si>
  <si>
    <t xml:space="preserve">Guadalupe Rendón </t>
  </si>
  <si>
    <t>Lo conocen de tiempo atrás</t>
  </si>
  <si>
    <t xml:space="preserve">Guadalupe Romero </t>
  </si>
  <si>
    <t>Emmanuel Echeverrrí</t>
  </si>
  <si>
    <t>Referido de egresados viviana zuluaga</t>
  </si>
  <si>
    <t>No se admite a pasantía</t>
  </si>
  <si>
    <t>Agustín Galllo Vélez</t>
  </si>
  <si>
    <t xml:space="preserve">Emilia Holguin </t>
  </si>
  <si>
    <t>Alejandro Patiño</t>
  </si>
  <si>
    <t>Referido egresados</t>
  </si>
  <si>
    <t>Valentina Vélez</t>
  </si>
  <si>
    <t>Emanuel Aguilar</t>
  </si>
  <si>
    <t>Jacobo Gutiérrez</t>
  </si>
  <si>
    <t>Maximiliano Castaño</t>
  </si>
  <si>
    <t xml:space="preserve">Colombo Britanico </t>
  </si>
  <si>
    <t>Perdio dos años, no se hace fuerza de continuar el proceso</t>
  </si>
  <si>
    <t>Susana Gallego López</t>
  </si>
  <si>
    <t>Columbus School</t>
  </si>
  <si>
    <t>Julieta Gómez Posada</t>
  </si>
  <si>
    <t>Colegio Alemán</t>
  </si>
  <si>
    <t>Mariana Hincapie</t>
  </si>
  <si>
    <t xml:space="preserve">Diego Echavarría </t>
  </si>
  <si>
    <t>Maria Angel Pelaez</t>
  </si>
  <si>
    <t>Cosmo</t>
  </si>
  <si>
    <t>Candelaria Ramírez</t>
  </si>
  <si>
    <t>La Colina</t>
  </si>
  <si>
    <t>Jerónimo Ramírez</t>
  </si>
  <si>
    <t>Violeta Arcila G.</t>
  </si>
  <si>
    <t>Alcaravanes</t>
  </si>
  <si>
    <t xml:space="preserve">Tomás Giraldo </t>
  </si>
  <si>
    <t xml:space="preserve">Gimnasio los cedros </t>
  </si>
  <si>
    <t>Mariana Ríos Correa</t>
  </si>
  <si>
    <t xml:space="preserve">Samuel Romero </t>
  </si>
  <si>
    <t xml:space="preserve">Anuncio en instagram </t>
  </si>
  <si>
    <t>Antonia Lozano Botero</t>
  </si>
  <si>
    <t xml:space="preserve">Ya lo conocían </t>
  </si>
  <si>
    <t xml:space="preserve">Alejandro Gallo </t>
  </si>
  <si>
    <t xml:space="preserve">Referido familia Jaramillo Palacio </t>
  </si>
  <si>
    <t>No admitido perdio 2 años</t>
  </si>
  <si>
    <t xml:space="preserve">Salomé Galeano </t>
  </si>
  <si>
    <t>Referido de Amalia y Rosario Peña</t>
  </si>
  <si>
    <t>Tiago Toro Ramírez</t>
  </si>
  <si>
    <t>Referido margarita alviar</t>
  </si>
  <si>
    <t>Elena Toro Ramírez</t>
  </si>
  <si>
    <t>Matías Vélez G</t>
  </si>
  <si>
    <t>Referido psiquiatra Santiago Duque</t>
  </si>
  <si>
    <t>Pablo Peláez</t>
  </si>
  <si>
    <t>Padre estudio años atras</t>
  </si>
  <si>
    <t>David Hernández</t>
  </si>
  <si>
    <t>Referido familia lópez gallego</t>
  </si>
  <si>
    <t>Juan Diego Díaz Serna</t>
  </si>
  <si>
    <t>Valeria Hernández</t>
  </si>
  <si>
    <t xml:space="preserve">Juan Pablo Giraldo </t>
  </si>
  <si>
    <t xml:space="preserve">Mariana Castro </t>
  </si>
  <si>
    <t>Alejandro Zuluaga</t>
  </si>
  <si>
    <t xml:space="preserve">Referido familia Solorzano </t>
  </si>
  <si>
    <t>Lila Escobar</t>
  </si>
  <si>
    <t xml:space="preserve">Sofía Naranjo </t>
  </si>
  <si>
    <t>Padre es egresado del 99</t>
  </si>
  <si>
    <t>Juanita López</t>
  </si>
  <si>
    <t>Referido Margarita Zapata</t>
  </si>
  <si>
    <t>Pablo Yacamán</t>
  </si>
  <si>
    <t>Miguel Yacamán</t>
  </si>
  <si>
    <t>Karla Sánchez</t>
  </si>
  <si>
    <t>Jeronimo Echeverrí</t>
  </si>
  <si>
    <t>Isabella Jimeno</t>
  </si>
  <si>
    <t>Ana Sofía Manjarrés</t>
  </si>
  <si>
    <t xml:space="preserve">Reingreso </t>
  </si>
  <si>
    <t xml:space="preserve">Maximiliano Mayo </t>
  </si>
  <si>
    <t>Nicolás Uribe</t>
  </si>
  <si>
    <t>Violeta Maya</t>
  </si>
  <si>
    <t xml:space="preserve">Gabriela Santos </t>
  </si>
  <si>
    <t>conocen el fontán de bogotá</t>
  </si>
  <si>
    <t>Jerónimo Garzón Cardozo</t>
  </si>
  <si>
    <t xml:space="preserve">Tomás Jurado </t>
  </si>
  <si>
    <t>Mariana del Río Ruíz</t>
  </si>
  <si>
    <t>Martina Rivas</t>
  </si>
  <si>
    <t>Lucía Velásquez</t>
  </si>
  <si>
    <t xml:space="preserve">Salomé Barrera </t>
  </si>
  <si>
    <t>Referido Sara Zapata</t>
  </si>
  <si>
    <t>Emanuel Ramírez</t>
  </si>
  <si>
    <t>Uziel Joel Ninaraqui</t>
  </si>
  <si>
    <t>Valentino Duque</t>
  </si>
  <si>
    <t>Varinka Jaramillo</t>
  </si>
  <si>
    <t>Referido Simón Acosta</t>
  </si>
  <si>
    <t>Salvador Montoya</t>
  </si>
  <si>
    <t>Bianca González</t>
  </si>
  <si>
    <t>Julio Mario Maldonado</t>
  </si>
  <si>
    <t>Maria Fernanda Maldonado</t>
  </si>
  <si>
    <t>Timofey Artemor</t>
  </si>
  <si>
    <t>Marcel Antoine Franco</t>
  </si>
  <si>
    <t>Citas de información por mes</t>
  </si>
  <si>
    <t>Citas de información acumulado por año</t>
  </si>
  <si>
    <t>Citas de información acumulado todos los años</t>
  </si>
  <si>
    <t>MES</t>
  </si>
  <si>
    <t>TOTAL</t>
  </si>
  <si>
    <t>Inicia observación por mes</t>
  </si>
  <si>
    <t>Inicia observación acumulado por año</t>
  </si>
  <si>
    <t>Inicia observación acumulado todos los años</t>
  </si>
  <si>
    <t>Matrículas por mes</t>
  </si>
  <si>
    <t>Matrículas acumulado por año</t>
  </si>
  <si>
    <t>Matrículas acumulado todos los años</t>
  </si>
  <si>
    <t>Inicio de pruebas por mes</t>
  </si>
  <si>
    <t>Inicio de pruebas acum año</t>
  </si>
  <si>
    <t>Inicio de pruebas acum todos los años</t>
  </si>
  <si>
    <t>Inicio observación por mes</t>
  </si>
  <si>
    <t>Preescolar</t>
  </si>
  <si>
    <t>Primaria</t>
  </si>
  <si>
    <t>Bachillerato</t>
  </si>
  <si>
    <t>Total</t>
  </si>
  <si>
    <t>Citas de información</t>
  </si>
  <si>
    <t>Pruebas de diagnóstico</t>
  </si>
  <si>
    <t>Semanas de observación</t>
  </si>
  <si>
    <t>Matrículas</t>
  </si>
  <si>
    <t>Embudo general</t>
  </si>
  <si>
    <t>Embudo preescolar</t>
  </si>
  <si>
    <t>Embudo primaria</t>
  </si>
  <si>
    <t>Embudo bachillerato</t>
  </si>
  <si>
    <t>ACUM 2025</t>
  </si>
  <si>
    <t>Para una matrícula se necesita:</t>
  </si>
  <si>
    <t>Conversión</t>
  </si>
  <si>
    <t>SOLO 2024</t>
  </si>
  <si>
    <t>GRAFICAR</t>
  </si>
  <si>
    <t>Citas de información semestral</t>
  </si>
  <si>
    <t>Semestre 1 / 2023</t>
  </si>
  <si>
    <t>Semestre 2 / 2023</t>
  </si>
  <si>
    <t>Semestre 1 / 2024</t>
  </si>
  <si>
    <t>Semestre 2 / 2024</t>
  </si>
  <si>
    <t>Inicio de pruebas semestral</t>
  </si>
  <si>
    <t>Inicia observación semestral</t>
  </si>
  <si>
    <t>Matrículas semestral</t>
  </si>
  <si>
    <t>Citas de información trimestral</t>
  </si>
  <si>
    <t>Trimestre 1 / 2023</t>
  </si>
  <si>
    <t>Trimestre 2 / 2023</t>
  </si>
  <si>
    <t>Trimestre 3 / 2023</t>
  </si>
  <si>
    <t>Trimestre 4 / 2023</t>
  </si>
  <si>
    <t>Trimestre 1 / 2024</t>
  </si>
  <si>
    <t>Trimestre 2 / 2024</t>
  </si>
  <si>
    <t>Trimestre 3 / 2024</t>
  </si>
  <si>
    <t>Trimestre 4 / 2024</t>
  </si>
  <si>
    <t>Trimestre 1 / 2025</t>
  </si>
  <si>
    <t>Trimestre 2 / 2025</t>
  </si>
  <si>
    <t>Trimestre 3 / 2025</t>
  </si>
  <si>
    <t>Trimestre 4 / 2025</t>
  </si>
  <si>
    <t>Inicio de pruebas trimestral</t>
  </si>
  <si>
    <t>Inicia observación trimestral</t>
  </si>
  <si>
    <t>Matrículas trimestral</t>
  </si>
  <si>
    <t>Matrículas reales 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</si>
</sst>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"/>
  </numFmts>
  <fonts count="29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w Cen MT"/>
      <family val="2"/>
    </font>
    <font>
      <sz val="11"/>
      <color rgb="FFFF0000"/>
      <name val="Aptos Narrow"/>
      <family val="2"/>
      <scheme val="minor"/>
    </font>
    <font>
      <sz val="14"/>
      <color rgb="FFFF0000"/>
      <name val="Tw Cen MT"/>
      <family val="2"/>
    </font>
    <font>
      <sz val="11"/>
      <color rgb="FFFF0000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4"/>
      <color theme="1"/>
      <name val="Tw Cen MT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7"/>
      <name val="Tw Cen MT"/>
      <family val="2"/>
    </font>
    <font>
      <sz val="12"/>
      <name val="Tw Cen MT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4" borderId="1" xfId="0" applyFont="1" applyFill="1" applyBorder="1"/>
    <xf numFmtId="14" fontId="8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0" borderId="7" xfId="0" applyFont="1" applyBorder="1" applyAlignment="1">
      <alignment vertical="center"/>
    </xf>
    <xf numFmtId="0" fontId="2" fillId="4" borderId="7" xfId="0" applyFont="1" applyFill="1" applyBorder="1"/>
    <xf numFmtId="0" fontId="0" fillId="0" borderId="7" xfId="0" applyBorder="1"/>
    <xf numFmtId="0" fontId="3" fillId="4" borderId="1" xfId="0" applyFont="1" applyFill="1" applyBorder="1" applyAlignment="1">
      <alignment horizontal="left" wrapText="1"/>
    </xf>
    <xf numFmtId="0" fontId="0" fillId="0" borderId="0" xfId="0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8" xfId="0" applyFont="1" applyFill="1" applyBorder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3" fillId="0" borderId="0" xfId="0" applyFont="1" applyAlignment="1">
      <alignment horizontal="left"/>
    </xf>
    <xf numFmtId="14" fontId="0" fillId="0" borderId="3" xfId="0" applyNumberFormat="1" applyBorder="1" applyAlignment="1">
      <alignment horizontal="center"/>
    </xf>
    <xf numFmtId="0" fontId="0" fillId="0" borderId="3" xfId="0" applyBorder="1"/>
    <xf numFmtId="0" fontId="2" fillId="4" borderId="7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0" fillId="0" borderId="8" xfId="1" applyNumberFormat="1" applyFont="1" applyFill="1" applyBorder="1" applyAlignment="1">
      <alignment horizontal="center" vertical="center"/>
    </xf>
    <xf numFmtId="164" fontId="0" fillId="5" borderId="8" xfId="1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9" fillId="3" borderId="8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9" fontId="0" fillId="0" borderId="8" xfId="2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166" fontId="19" fillId="0" borderId="1" xfId="0" applyNumberFormat="1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166" fontId="0" fillId="0" borderId="0" xfId="0" applyNumberFormat="1" applyAlignment="1">
      <alignment vertical="center"/>
    </xf>
    <xf numFmtId="43" fontId="0" fillId="0" borderId="0" xfId="1" applyFont="1"/>
    <xf numFmtId="9" fontId="0" fillId="0" borderId="0" xfId="2" applyFont="1"/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" fontId="20" fillId="0" borderId="1" xfId="0" applyNumberFormat="1" applyFont="1" applyBorder="1" applyAlignment="1">
      <alignment horizontal="left"/>
    </xf>
    <xf numFmtId="14" fontId="2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/>
    <xf numFmtId="0" fontId="4" fillId="0" borderId="11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/>
    </xf>
    <xf numFmtId="0" fontId="21" fillId="0" borderId="0" xfId="0" applyFont="1"/>
    <xf numFmtId="165" fontId="0" fillId="10" borderId="0" xfId="1" applyNumberFormat="1" applyFont="1" applyFill="1" applyAlignment="1">
      <alignment vertical="center"/>
    </xf>
    <xf numFmtId="0" fontId="0" fillId="0" borderId="8" xfId="0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/>
    </xf>
    <xf numFmtId="165" fontId="0" fillId="0" borderId="0" xfId="0" applyNumberFormat="1"/>
    <xf numFmtId="0" fontId="18" fillId="0" borderId="2" xfId="0" applyFont="1" applyBorder="1" applyAlignment="1">
      <alignment horizontal="centerContinuous" vertical="center"/>
    </xf>
    <xf numFmtId="0" fontId="18" fillId="0" borderId="4" xfId="0" applyFont="1" applyBorder="1" applyAlignment="1">
      <alignment horizontal="centerContinuous" vertical="center"/>
    </xf>
    <xf numFmtId="0" fontId="18" fillId="0" borderId="3" xfId="0" applyFont="1" applyBorder="1" applyAlignment="1">
      <alignment horizontal="centerContinuous" vertical="center"/>
    </xf>
    <xf numFmtId="0" fontId="18" fillId="0" borderId="1" xfId="0" applyFont="1" applyBorder="1" applyAlignment="1">
      <alignment horizontal="centerContinuous" vertical="center" wrapText="1"/>
    </xf>
    <xf numFmtId="0" fontId="9" fillId="13" borderId="2" xfId="0" applyFont="1" applyFill="1" applyBorder="1" applyAlignment="1">
      <alignment horizontal="centerContinuous" vertical="center"/>
    </xf>
    <xf numFmtId="0" fontId="9" fillId="13" borderId="4" xfId="0" applyFont="1" applyFill="1" applyBorder="1" applyAlignment="1">
      <alignment horizontal="centerContinuous" vertical="center"/>
    </xf>
    <xf numFmtId="0" fontId="9" fillId="2" borderId="2" xfId="0" applyFont="1" applyFill="1" applyBorder="1" applyAlignment="1">
      <alignment horizontal="centerContinuous" vertical="center"/>
    </xf>
    <xf numFmtId="0" fontId="9" fillId="2" borderId="4" xfId="0" applyFont="1" applyFill="1" applyBorder="1" applyAlignment="1">
      <alignment horizontal="centerContinuous" vertical="center"/>
    </xf>
    <xf numFmtId="0" fontId="9" fillId="12" borderId="2" xfId="0" applyFont="1" applyFill="1" applyBorder="1" applyAlignment="1">
      <alignment horizontal="centerContinuous" vertical="center"/>
    </xf>
    <xf numFmtId="0" fontId="9" fillId="12" borderId="4" xfId="0" applyFont="1" applyFill="1" applyBorder="1" applyAlignment="1">
      <alignment horizontal="centerContinuous" vertical="center"/>
    </xf>
    <xf numFmtId="0" fontId="22" fillId="14" borderId="10" xfId="0" applyFont="1" applyFill="1" applyBorder="1" applyAlignment="1">
      <alignment horizontal="centerContinuous" vertical="center"/>
    </xf>
    <xf numFmtId="0" fontId="22" fillId="14" borderId="0" xfId="0" applyFont="1" applyFill="1" applyAlignment="1">
      <alignment horizontal="centerContinuous" vertical="center"/>
    </xf>
    <xf numFmtId="0" fontId="15" fillId="12" borderId="1" xfId="0" applyFont="1" applyFill="1" applyBorder="1" applyAlignment="1">
      <alignment vertical="center" wrapText="1"/>
    </xf>
    <xf numFmtId="166" fontId="15" fillId="12" borderId="1" xfId="0" applyNumberFormat="1" applyFont="1" applyFill="1" applyBorder="1" applyAlignment="1">
      <alignment horizontal="center" vertical="center"/>
    </xf>
    <xf numFmtId="166" fontId="19" fillId="1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166" fontId="15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 wrapText="1"/>
    </xf>
    <xf numFmtId="166" fontId="15" fillId="13" borderId="1" xfId="0" applyNumberFormat="1" applyFont="1" applyFill="1" applyBorder="1" applyAlignment="1">
      <alignment horizontal="center" vertical="center"/>
    </xf>
    <xf numFmtId="166" fontId="19" fillId="13" borderId="1" xfId="0" applyNumberFormat="1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3" fillId="15" borderId="8" xfId="0" applyFont="1" applyFill="1" applyBorder="1" applyAlignment="1">
      <alignment horizontal="center" vertical="center"/>
    </xf>
    <xf numFmtId="0" fontId="24" fillId="15" borderId="11" xfId="0" applyFont="1" applyFill="1" applyBorder="1" applyAlignment="1">
      <alignment horizontal="center" vertical="center"/>
    </xf>
    <xf numFmtId="0" fontId="23" fillId="15" borderId="11" xfId="0" applyFont="1" applyFill="1" applyBorder="1" applyAlignment="1">
      <alignment horizontal="center" vertical="center"/>
    </xf>
    <xf numFmtId="0" fontId="24" fillId="15" borderId="8" xfId="0" applyFont="1" applyFill="1" applyBorder="1" applyAlignment="1">
      <alignment horizontal="center" vertical="center"/>
    </xf>
    <xf numFmtId="9" fontId="25" fillId="12" borderId="1" xfId="2" applyFont="1" applyFill="1" applyBorder="1" applyAlignment="1">
      <alignment vertical="center"/>
    </xf>
    <xf numFmtId="9" fontId="25" fillId="2" borderId="1" xfId="2" applyFont="1" applyFill="1" applyBorder="1" applyAlignment="1">
      <alignment vertical="center"/>
    </xf>
    <xf numFmtId="9" fontId="25" fillId="13" borderId="1" xfId="2" applyFont="1" applyFill="1" applyBorder="1" applyAlignment="1">
      <alignment vertical="center"/>
    </xf>
    <xf numFmtId="0" fontId="9" fillId="0" borderId="0" xfId="0" applyFont="1"/>
    <xf numFmtId="0" fontId="9" fillId="16" borderId="1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9" fontId="10" fillId="0" borderId="0" xfId="2" applyFont="1"/>
    <xf numFmtId="9" fontId="0" fillId="0" borderId="0" xfId="2" applyFont="1" applyAlignment="1">
      <alignment horizontal="center"/>
    </xf>
    <xf numFmtId="0" fontId="9" fillId="7" borderId="10" xfId="0" applyFont="1" applyFill="1" applyBorder="1" applyAlignment="1">
      <alignment horizontal="centerContinuous" vertical="center"/>
    </xf>
    <xf numFmtId="0" fontId="9" fillId="7" borderId="0" xfId="0" applyFont="1" applyFill="1" applyAlignment="1">
      <alignment horizontal="centerContinuous" vertical="center"/>
    </xf>
    <xf numFmtId="0" fontId="9" fillId="8" borderId="2" xfId="0" applyFont="1" applyFill="1" applyBorder="1" applyAlignment="1">
      <alignment horizontal="centerContinuous" vertical="center"/>
    </xf>
    <xf numFmtId="0" fontId="9" fillId="8" borderId="4" xfId="0" applyFont="1" applyFill="1" applyBorder="1" applyAlignment="1">
      <alignment horizontal="centerContinuous" vertical="center"/>
    </xf>
    <xf numFmtId="0" fontId="9" fillId="9" borderId="2" xfId="0" applyFont="1" applyFill="1" applyBorder="1" applyAlignment="1">
      <alignment horizontal="centerContinuous" vertical="center"/>
    </xf>
    <xf numFmtId="0" fontId="9" fillId="9" borderId="4" xfId="0" applyFont="1" applyFill="1" applyBorder="1" applyAlignment="1">
      <alignment horizontal="centerContinuous" vertical="center"/>
    </xf>
    <xf numFmtId="0" fontId="4" fillId="0" borderId="13" xfId="0" applyFont="1" applyBorder="1" applyAlignment="1">
      <alignment vertical="center"/>
    </xf>
    <xf numFmtId="0" fontId="3" fillId="4" borderId="13" xfId="0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4" borderId="14" xfId="0" applyFont="1" applyFill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3" xfId="0" applyNumberFormat="1" applyBorder="1"/>
    <xf numFmtId="0" fontId="3" fillId="4" borderId="13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0" fontId="3" fillId="4" borderId="7" xfId="0" applyFont="1" applyFill="1" applyBorder="1" applyAlignment="1">
      <alignment horizontal="left" wrapText="1"/>
    </xf>
    <xf numFmtId="14" fontId="0" fillId="0" borderId="13" xfId="0" applyNumberFormat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4" fontId="0" fillId="0" borderId="14" xfId="0" applyNumberFormat="1" applyBorder="1"/>
    <xf numFmtId="0" fontId="3" fillId="4" borderId="14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3" fillId="4" borderId="14" xfId="0" applyFont="1" applyFill="1" applyBorder="1" applyAlignment="1">
      <alignment horizontal="left" wrapText="1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/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left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4" borderId="22" xfId="0" applyFon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2" xfId="0" applyBorder="1"/>
    <xf numFmtId="0" fontId="4" fillId="0" borderId="22" xfId="0" applyFont="1" applyBorder="1" applyAlignment="1">
      <alignment vertical="center"/>
    </xf>
    <xf numFmtId="14" fontId="0" fillId="0" borderId="22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/>
    <xf numFmtId="14" fontId="0" fillId="0" borderId="13" xfId="0" applyNumberFormat="1" applyBorder="1" applyAlignment="1">
      <alignment vertical="center"/>
    </xf>
    <xf numFmtId="0" fontId="3" fillId="0" borderId="13" xfId="0" applyFont="1" applyBorder="1" applyAlignment="1">
      <alignment horizontal="left" wrapText="1"/>
    </xf>
    <xf numFmtId="14" fontId="0" fillId="0" borderId="7" xfId="0" applyNumberFormat="1" applyBorder="1" applyAlignment="1">
      <alignment vertical="center"/>
    </xf>
    <xf numFmtId="0" fontId="3" fillId="0" borderId="7" xfId="0" applyFont="1" applyBorder="1" applyAlignment="1">
      <alignment horizontal="left" wrapText="1"/>
    </xf>
    <xf numFmtId="0" fontId="4" fillId="0" borderId="17" xfId="0" applyFont="1" applyBorder="1" applyAlignment="1">
      <alignment vertical="center"/>
    </xf>
    <xf numFmtId="14" fontId="0" fillId="0" borderId="17" xfId="0" applyNumberFormat="1" applyBorder="1"/>
    <xf numFmtId="0" fontId="0" fillId="0" borderId="17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4" borderId="17" xfId="0" applyFont="1" applyFill="1" applyBorder="1" applyAlignment="1">
      <alignment horizontal="left" wrapText="1"/>
    </xf>
    <xf numFmtId="14" fontId="0" fillId="0" borderId="14" xfId="0" applyNumberFormat="1" applyBorder="1" applyAlignment="1">
      <alignment vertical="center"/>
    </xf>
    <xf numFmtId="0" fontId="3" fillId="0" borderId="14" xfId="0" applyFont="1" applyBorder="1" applyAlignment="1">
      <alignment horizontal="left" wrapText="1"/>
    </xf>
    <xf numFmtId="0" fontId="4" fillId="9" borderId="1" xfId="0" applyFont="1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0" fontId="3" fillId="9" borderId="13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wrapText="1"/>
    </xf>
    <xf numFmtId="0" fontId="0" fillId="9" borderId="13" xfId="0" applyFill="1" applyBorder="1" applyAlignment="1">
      <alignment vertical="center"/>
    </xf>
    <xf numFmtId="0" fontId="0" fillId="9" borderId="13" xfId="0" applyFill="1" applyBorder="1" applyAlignment="1">
      <alignment horizontal="center" vertical="center"/>
    </xf>
    <xf numFmtId="14" fontId="0" fillId="9" borderId="13" xfId="0" applyNumberFormat="1" applyFill="1" applyBorder="1" applyAlignment="1">
      <alignment horizontal="center" vertical="center"/>
    </xf>
    <xf numFmtId="0" fontId="26" fillId="0" borderId="13" xfId="0" applyFont="1" applyBorder="1"/>
    <xf numFmtId="0" fontId="4" fillId="0" borderId="1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14" fontId="0" fillId="4" borderId="14" xfId="0" applyNumberFormat="1" applyFill="1" applyBorder="1"/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0" fontId="0" fillId="4" borderId="0" xfId="0" applyFill="1"/>
    <xf numFmtId="0" fontId="4" fillId="4" borderId="13" xfId="0" applyFont="1" applyFill="1" applyBorder="1" applyAlignment="1">
      <alignment vertical="center"/>
    </xf>
    <xf numFmtId="14" fontId="0" fillId="4" borderId="13" xfId="0" applyNumberFormat="1" applyFill="1" applyBorder="1"/>
    <xf numFmtId="0" fontId="0" fillId="4" borderId="13" xfId="0" applyFill="1" applyBorder="1"/>
    <xf numFmtId="0" fontId="0" fillId="4" borderId="13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6" fillId="4" borderId="13" xfId="0" applyFont="1" applyFill="1" applyBorder="1" applyAlignment="1">
      <alignment vertical="center"/>
    </xf>
    <xf numFmtId="14" fontId="0" fillId="4" borderId="14" xfId="0" applyNumberFormat="1" applyFill="1" applyBorder="1" applyAlignment="1">
      <alignment horizontal="center"/>
    </xf>
    <xf numFmtId="0" fontId="4" fillId="4" borderId="15" xfId="0" applyFont="1" applyFill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/>
    <xf numFmtId="0" fontId="4" fillId="4" borderId="18" xfId="0" applyFont="1" applyFill="1" applyBorder="1" applyAlignment="1">
      <alignment vertic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/>
    <xf numFmtId="0" fontId="4" fillId="4" borderId="19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14" fontId="0" fillId="4" borderId="22" xfId="0" applyNumberFormat="1" applyFill="1" applyBorder="1"/>
    <xf numFmtId="0" fontId="0" fillId="4" borderId="22" xfId="0" applyFill="1" applyBorder="1" applyAlignment="1">
      <alignment horizontal="center"/>
    </xf>
    <xf numFmtId="0" fontId="0" fillId="4" borderId="22" xfId="0" applyFill="1" applyBorder="1"/>
    <xf numFmtId="14" fontId="0" fillId="4" borderId="22" xfId="0" applyNumberFormat="1" applyFill="1" applyBorder="1" applyAlignment="1">
      <alignment horizontal="center"/>
    </xf>
    <xf numFmtId="14" fontId="0" fillId="4" borderId="0" xfId="0" applyNumberFormat="1" applyFill="1"/>
    <xf numFmtId="0" fontId="0" fillId="4" borderId="15" xfId="0" applyFill="1" applyBorder="1"/>
    <xf numFmtId="0" fontId="4" fillId="4" borderId="17" xfId="0" applyFont="1" applyFill="1" applyBorder="1" applyAlignment="1">
      <alignment vertical="center"/>
    </xf>
    <xf numFmtId="14" fontId="0" fillId="4" borderId="17" xfId="0" applyNumberFormat="1" applyFill="1" applyBorder="1"/>
    <xf numFmtId="0" fontId="0" fillId="4" borderId="17" xfId="0" applyFill="1" applyBorder="1" applyAlignment="1">
      <alignment horizontal="center"/>
    </xf>
    <xf numFmtId="0" fontId="0" fillId="4" borderId="17" xfId="0" applyFill="1" applyBorder="1"/>
    <xf numFmtId="0" fontId="0" fillId="0" borderId="16" xfId="0" applyBorder="1"/>
    <xf numFmtId="0" fontId="0" fillId="0" borderId="21" xfId="0" applyBorder="1"/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14" fontId="5" fillId="0" borderId="1" xfId="0" applyNumberFormat="1" applyFont="1" applyBorder="1"/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wrapText="1"/>
    </xf>
    <xf numFmtId="0" fontId="4" fillId="4" borderId="20" xfId="0" applyFont="1" applyFill="1" applyBorder="1" applyAlignment="1">
      <alignment vertical="center"/>
    </xf>
    <xf numFmtId="14" fontId="0" fillId="4" borderId="13" xfId="0" applyNumberFormat="1" applyFill="1" applyBorder="1" applyAlignment="1">
      <alignment horizontal="center" wrapText="1"/>
    </xf>
    <xf numFmtId="14" fontId="0" fillId="0" borderId="20" xfId="0" applyNumberFormat="1" applyBorder="1"/>
    <xf numFmtId="14" fontId="0" fillId="0" borderId="17" xfId="0" applyNumberFormat="1" applyBorder="1" applyAlignment="1">
      <alignment horizontal="center"/>
    </xf>
    <xf numFmtId="0" fontId="27" fillId="17" borderId="11" xfId="0" applyFont="1" applyFill="1" applyBorder="1"/>
    <xf numFmtId="0" fontId="3" fillId="4" borderId="15" xfId="0" applyFont="1" applyFill="1" applyBorder="1" applyAlignment="1">
      <alignment horizontal="left"/>
    </xf>
    <xf numFmtId="0" fontId="28" fillId="4" borderId="13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255"/>
    </xf>
    <xf numFmtId="0" fontId="11" fillId="0" borderId="7" xfId="0" applyFont="1" applyBorder="1" applyAlignment="1">
      <alignment horizontal="center" vertical="center" textRotation="255"/>
    </xf>
    <xf numFmtId="0" fontId="11" fillId="0" borderId="8" xfId="0" applyFont="1" applyBorder="1" applyAlignment="1">
      <alignment horizontal="center" vertical="center" textRotation="255"/>
    </xf>
    <xf numFmtId="0" fontId="11" fillId="0" borderId="11" xfId="0" applyFont="1" applyBorder="1" applyAlignment="1">
      <alignment horizontal="center" vertical="center" textRotation="255"/>
    </xf>
    <xf numFmtId="0" fontId="9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0" fillId="0" borderId="9" xfId="0" applyBorder="1" applyAlignment="1">
      <alignment horizontal="center" vertical="center" textRotation="255"/>
    </xf>
    <xf numFmtId="0" fontId="14" fillId="0" borderId="1" xfId="0" applyFont="1" applyBorder="1" applyAlignment="1">
      <alignment horizontal="center" vertical="center" textRotation="255"/>
    </xf>
    <xf numFmtId="0" fontId="16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 textRotation="255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textRotation="255"/>
    </xf>
    <xf numFmtId="0" fontId="18" fillId="0" borderId="1" xfId="0" applyFont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5">
  <dgm:title val=""/>
  <dgm:desc val=""/>
  <dgm:catLst>
    <dgm:cat type="accent2" pri="11500"/>
  </dgm:catLst>
  <dgm:styleLbl name="node0">
    <dgm:fillClrLst meth="cycle">
      <a:schemeClr val="accent2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>
        <a:alpha val="90000"/>
      </a:schemeClr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>
        <a:alpha val="90000"/>
      </a:schemeClr>
      <a:schemeClr val="accent2">
        <a:alpha val="5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/>
    <dgm:txEffectClrLst/>
  </dgm:styleLbl>
  <dgm:styleLbl name="lnNode1">
    <dgm:fillClrLst>
      <a:schemeClr val="accent2">
        <a:shade val="90000"/>
      </a:schemeClr>
      <a:schemeClr val="accent2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shade val="80000"/>
        <a:alpha val="50000"/>
      </a:schemeClr>
      <a:schemeClr val="accent2">
        <a:alpha val="2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  <a:alpha val="90000"/>
      </a:schemeClr>
      <a:schemeClr val="accent2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>
        <a:shade val="90000"/>
      </a:schemeClr>
      <a:schemeClr val="accent2">
        <a:tint val="50000"/>
      </a:schemeClr>
    </dgm:fillClrLst>
    <dgm:linClrLst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fgSibTrans2D1">
    <dgm:fillClrLst>
      <a:schemeClr val="accent2">
        <a:shade val="90000"/>
      </a:schemeClr>
      <a:schemeClr val="accent2">
        <a:tint val="50000"/>
      </a:schemeClr>
    </dgm:fillClrLst>
    <dgm:linClrLst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bgSibTrans2D1">
    <dgm:fillClrLst>
      <a:schemeClr val="accent2">
        <a:shade val="90000"/>
      </a:schemeClr>
      <a:schemeClr val="accent2">
        <a:tint val="50000"/>
      </a:schemeClr>
    </dgm:fillClrLst>
    <dgm:linClrLst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sibTrans1D1">
    <dgm:fillClrLst>
      <a:schemeClr val="accent2">
        <a:shade val="90000"/>
      </a:schemeClr>
      <a:schemeClr val="accent2">
        <a:tint val="50000"/>
      </a:schemeClr>
    </dgm:fillClrLst>
    <dgm:linClrLst>
      <a:schemeClr val="accent2">
        <a:shade val="90000"/>
      </a:schemeClr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2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shade val="80000"/>
      </a:schemeClr>
    </dgm:fillClrLst>
    <dgm:linClrLst meth="repeat">
      <a:schemeClr val="accent2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2">
        <a:tint val="90000"/>
      </a:schemeClr>
    </dgm:fillClrLst>
    <dgm:linClrLst meth="repeat">
      <a:schemeClr val="accent2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2">
        <a:tint val="5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2">
        <a:shade val="8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2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>
        <a:alpha val="90000"/>
      </a:schemeClr>
      <a:schemeClr val="accent2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alpha val="90000"/>
        <a:tint val="40000"/>
      </a:schemeClr>
      <a:schemeClr val="accent2">
        <a:alpha val="5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3_5">
  <dgm:title val=""/>
  <dgm:desc val=""/>
  <dgm:catLst>
    <dgm:cat type="accent3" pri="11500"/>
  </dgm:catLst>
  <dgm:styleLbl name="node0">
    <dgm:fillClrLst meth="cycle">
      <a:schemeClr val="accent3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>
        <a:alpha val="9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>
        <a:alpha val="90000"/>
      </a:schemeClr>
      <a:schemeClr val="accent3">
        <a:alpha val="5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/>
    <dgm:txEffectClrLst/>
  </dgm:styleLbl>
  <dgm:styleLbl name="lnNode1">
    <dgm:fillClrLst>
      <a:schemeClr val="accent3">
        <a:shade val="90000"/>
      </a:schemeClr>
      <a:schemeClr val="accent3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shade val="80000"/>
        <a:alpha val="50000"/>
      </a:schemeClr>
      <a:schemeClr val="accent3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3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  <a:alpha val="90000"/>
      </a:schemeClr>
      <a:schemeClr val="accent3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>
        <a:shade val="90000"/>
      </a:schemeClr>
      <a:schemeClr val="accent3">
        <a:tint val="50000"/>
      </a:schemeClr>
    </dgm:fillClrLst>
    <dgm:linClrLst>
      <a:schemeClr val="accent3">
        <a:shade val="90000"/>
      </a:schemeClr>
      <a:schemeClr val="accent3">
        <a:tint val="50000"/>
      </a:schemeClr>
    </dgm:linClrLst>
    <dgm:effectClrLst/>
    <dgm:txLinClrLst/>
    <dgm:txFillClrLst/>
    <dgm:txEffectClrLst/>
  </dgm:styleLbl>
  <dgm:styleLbl name="fgSibTrans2D1">
    <dgm:fillClrLst>
      <a:schemeClr val="accent3">
        <a:shade val="90000"/>
      </a:schemeClr>
      <a:schemeClr val="accent3">
        <a:tint val="50000"/>
      </a:schemeClr>
    </dgm:fillClrLst>
    <dgm:linClrLst>
      <a:schemeClr val="accent3">
        <a:shade val="90000"/>
      </a:schemeClr>
      <a:schemeClr val="accent3">
        <a:tint val="50000"/>
      </a:schemeClr>
    </dgm:linClrLst>
    <dgm:effectClrLst/>
    <dgm:txLinClrLst/>
    <dgm:txFillClrLst/>
    <dgm:txEffectClrLst/>
  </dgm:styleLbl>
  <dgm:styleLbl name="bgSibTrans2D1">
    <dgm:fillClrLst>
      <a:schemeClr val="accent3">
        <a:shade val="90000"/>
      </a:schemeClr>
      <a:schemeClr val="accent3">
        <a:tint val="50000"/>
      </a:schemeClr>
    </dgm:fillClrLst>
    <dgm:linClrLst>
      <a:schemeClr val="accent3">
        <a:shade val="90000"/>
      </a:schemeClr>
      <a:schemeClr val="accent3">
        <a:tint val="50000"/>
      </a:schemeClr>
    </dgm:linClrLst>
    <dgm:effectClrLst/>
    <dgm:txLinClrLst/>
    <dgm:txFillClrLst/>
    <dgm:txEffectClrLst/>
  </dgm:styleLbl>
  <dgm:styleLbl name="sibTrans1D1">
    <dgm:fillClrLst>
      <a:schemeClr val="accent3">
        <a:shade val="90000"/>
      </a:schemeClr>
      <a:schemeClr val="accent3">
        <a:tint val="50000"/>
      </a:schemeClr>
    </dgm:fillClrLst>
    <dgm:linClrLst>
      <a:schemeClr val="accent3">
        <a:shade val="90000"/>
      </a:schemeClr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3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shade val="8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3">
        <a:tint val="90000"/>
      </a:schemeClr>
    </dgm:fillClrLst>
    <dgm:linClrLst meth="repeat">
      <a:schemeClr val="accent3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3">
        <a:tint val="50000"/>
      </a:schemeClr>
    </dgm:fillClrLst>
    <dgm:linClrLst meth="repeat">
      <a:schemeClr val="accent3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3">
        <a:shade val="8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3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>
        <a:tint val="50000"/>
      </a:schemeClr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>
        <a:alpha val="90000"/>
      </a:schemeClr>
      <a:schemeClr val="accent3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alpha val="90000"/>
        <a:tint val="40000"/>
      </a:schemeClr>
      <a:schemeClr val="accent3">
        <a:alpha val="5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4_5">
  <dgm:title val=""/>
  <dgm:desc val=""/>
  <dgm:catLst>
    <dgm:cat type="accent4" pri="11500"/>
  </dgm:catLst>
  <dgm:styleLbl name="node0">
    <dgm:fillClrLst meth="cycle">
      <a:schemeClr val="accent4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>
        <a:alpha val="9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>
        <a:alpha val="90000"/>
      </a:schemeClr>
      <a:schemeClr val="accent4">
        <a:alpha val="5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/>
    <dgm:txEffectClrLst/>
  </dgm:styleLbl>
  <dgm:styleLbl name="lnNode1">
    <dgm:fillClrLst>
      <a:schemeClr val="accent4">
        <a:shade val="90000"/>
      </a:schemeClr>
      <a:schemeClr val="accent4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shade val="80000"/>
        <a:alpha val="50000"/>
      </a:schemeClr>
      <a:schemeClr val="accent4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  <a:alpha val="90000"/>
      </a:schemeClr>
      <a:schemeClr val="accent4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>
        <a:shade val="90000"/>
      </a:schemeClr>
      <a:schemeClr val="accent4">
        <a:tint val="50000"/>
      </a:schemeClr>
    </dgm:fillClrLst>
    <dgm:linClrLst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fgSibTrans2D1">
    <dgm:fillClrLst>
      <a:schemeClr val="accent4">
        <a:shade val="90000"/>
      </a:schemeClr>
      <a:schemeClr val="accent4">
        <a:tint val="50000"/>
      </a:schemeClr>
    </dgm:fillClrLst>
    <dgm:linClrLst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bgSibTrans2D1">
    <dgm:fillClrLst>
      <a:schemeClr val="accent4">
        <a:shade val="90000"/>
      </a:schemeClr>
      <a:schemeClr val="accent4">
        <a:tint val="50000"/>
      </a:schemeClr>
    </dgm:fillClrLst>
    <dgm:linClrLst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sibTrans1D1">
    <dgm:fillClrLst>
      <a:schemeClr val="accent4">
        <a:shade val="90000"/>
      </a:schemeClr>
      <a:schemeClr val="accent4">
        <a:tint val="50000"/>
      </a:schemeClr>
    </dgm:fillClrLst>
    <dgm:linClrLst>
      <a:schemeClr val="accent4">
        <a:shade val="90000"/>
      </a:schemeClr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4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4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>
        <a:shade val="80000"/>
      </a:schemeClr>
    </dgm:fillClrLst>
    <dgm:linClrLst meth="repeat">
      <a:schemeClr val="accent4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4">
        <a:shade val="8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>
        <a:alpha val="90000"/>
      </a:schemeClr>
      <a:schemeClr val="accent4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alpha val="90000"/>
        <a:tint val="40000"/>
      </a:schemeClr>
      <a:schemeClr val="accent4">
        <a:alpha val="50000"/>
        <a:tint val="40000"/>
      </a:schemeClr>
    </dgm:fillClrLst>
    <dgm:linClrLst meth="repeat">
      <a:schemeClr val="accent4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4">
        <a:alpha val="90000"/>
        <a:tint val="40000"/>
      </a:schemeClr>
    </dgm:fillClrLst>
    <dgm:linClrLst meth="repeat">
      <a:schemeClr val="accent4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4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55383BB-D657-46CD-AE8D-BFC48AC42F57}" type="doc">
      <dgm:prSet loTypeId="urn:microsoft.com/office/officeart/2005/8/layout/pyramid3" loCatId="pyramid" qsTypeId="urn:microsoft.com/office/officeart/2005/8/quickstyle/simple1" qsCatId="simple" csTypeId="urn:microsoft.com/office/officeart/2005/8/colors/accent1_5" csCatId="accent1" phldr="1"/>
      <dgm:spPr/>
    </dgm:pt>
    <dgm:pt modelId="{D97249ED-C7BE-4FD3-93CC-9F4C9A0468C7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634</a:t>
          </a:r>
        </a:p>
      </dgm:t>
    </dgm:pt>
    <dgm:pt modelId="{0B15DAC8-265E-4C42-A1B8-B252D4B586DD}" type="parTrans" cxnId="{7957CB33-0B61-436E-BEB3-F054288DED24}">
      <dgm:prSet/>
      <dgm:spPr/>
      <dgm:t>
        <a:bodyPr/>
        <a:lstStyle/>
        <a:p>
          <a:endParaRPr lang="es-CO"/>
        </a:p>
      </dgm:t>
    </dgm:pt>
    <dgm:pt modelId="{FA6940C5-F15E-4CED-A9C2-CAE8B456AD6E}" type="sibTrans" cxnId="{7957CB33-0B61-436E-BEB3-F054288DED24}">
      <dgm:prSet/>
      <dgm:spPr/>
      <dgm:t>
        <a:bodyPr/>
        <a:lstStyle/>
        <a:p>
          <a:endParaRPr lang="es-CO"/>
        </a:p>
      </dgm:t>
    </dgm:pt>
    <dgm:pt modelId="{E07B827A-A5DC-4C41-8F57-68C551553D06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184</a:t>
          </a:r>
        </a:p>
      </dgm:t>
    </dgm:pt>
    <dgm:pt modelId="{7A059D46-E601-40E9-B2CD-6CA7589988C1}" type="parTrans" cxnId="{A3A59F57-1442-424F-938E-D89C1DC4D533}">
      <dgm:prSet/>
      <dgm:spPr/>
      <dgm:t>
        <a:bodyPr/>
        <a:lstStyle/>
        <a:p>
          <a:endParaRPr lang="es-CO"/>
        </a:p>
      </dgm:t>
    </dgm:pt>
    <dgm:pt modelId="{C4A12907-2051-4258-8559-AE376A419793}" type="sibTrans" cxnId="{A3A59F57-1442-424F-938E-D89C1DC4D533}">
      <dgm:prSet/>
      <dgm:spPr/>
      <dgm:t>
        <a:bodyPr/>
        <a:lstStyle/>
        <a:p>
          <a:endParaRPr lang="es-CO"/>
        </a:p>
      </dgm:t>
    </dgm:pt>
    <dgm:pt modelId="{4137A5BD-2255-4367-9E79-504F8FB45289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116</a:t>
          </a:r>
        </a:p>
        <a:p>
          <a:endParaRPr lang="es-CO"/>
        </a:p>
      </dgm:t>
    </dgm:pt>
    <dgm:pt modelId="{A53D6FFE-AB47-4DFB-A52C-C958F8A57056}" type="parTrans" cxnId="{366DAF9F-AA4D-48E7-9C5A-E6613F42F1CA}">
      <dgm:prSet/>
      <dgm:spPr/>
      <dgm:t>
        <a:bodyPr/>
        <a:lstStyle/>
        <a:p>
          <a:endParaRPr lang="es-CO"/>
        </a:p>
      </dgm:t>
    </dgm:pt>
    <dgm:pt modelId="{C4D9849C-EF34-43AE-BC4E-20275B688E69}" type="sibTrans" cxnId="{366DAF9F-AA4D-48E7-9C5A-E6613F42F1CA}">
      <dgm:prSet/>
      <dgm:spPr/>
      <dgm:t>
        <a:bodyPr/>
        <a:lstStyle/>
        <a:p>
          <a:endParaRPr lang="es-CO"/>
        </a:p>
      </dgm:t>
    </dgm:pt>
    <dgm:pt modelId="{100B9DBD-56E5-478A-9488-85E274EDE618}">
      <dgm:prSet/>
      <dgm:spPr/>
      <dgm:t>
        <a:bodyPr/>
        <a:lstStyle/>
        <a:p>
          <a:r>
            <a:rPr lang="es-CO">
              <a:solidFill>
                <a:schemeClr val="bg1"/>
              </a:solidFill>
            </a:rPr>
            <a:t>164</a:t>
          </a:r>
        </a:p>
      </dgm:t>
    </dgm:pt>
    <dgm:pt modelId="{A5BBCBE8-D54A-46C8-97BF-594269019072}" type="parTrans" cxnId="{C2B30EE3-6AFB-4314-B679-5957151B3E4D}">
      <dgm:prSet/>
      <dgm:spPr/>
      <dgm:t>
        <a:bodyPr/>
        <a:lstStyle/>
        <a:p>
          <a:endParaRPr lang="es-CO"/>
        </a:p>
      </dgm:t>
    </dgm:pt>
    <dgm:pt modelId="{F6EB5A2E-74F9-49D0-85F6-7ABF37CBC00F}" type="sibTrans" cxnId="{C2B30EE3-6AFB-4314-B679-5957151B3E4D}">
      <dgm:prSet/>
      <dgm:spPr/>
      <dgm:t>
        <a:bodyPr/>
        <a:lstStyle/>
        <a:p>
          <a:endParaRPr lang="es-CO"/>
        </a:p>
      </dgm:t>
    </dgm:pt>
    <dgm:pt modelId="{E5AFC336-EAA3-4A4F-A0D6-71A40E6708BF}" type="pres">
      <dgm:prSet presAssocID="{F55383BB-D657-46CD-AE8D-BFC48AC42F57}" presName="Name0" presStyleCnt="0">
        <dgm:presLayoutVars>
          <dgm:dir/>
          <dgm:animLvl val="lvl"/>
          <dgm:resizeHandles val="exact"/>
        </dgm:presLayoutVars>
      </dgm:prSet>
      <dgm:spPr/>
    </dgm:pt>
    <dgm:pt modelId="{F857AEDC-C79F-4AB3-B787-2BD6726048AF}" type="pres">
      <dgm:prSet presAssocID="{D97249ED-C7BE-4FD3-93CC-9F4C9A0468C7}" presName="Name8" presStyleCnt="0"/>
      <dgm:spPr/>
    </dgm:pt>
    <dgm:pt modelId="{16B3940B-629E-40A6-B7A7-3727B9A3F425}" type="pres">
      <dgm:prSet presAssocID="{D97249ED-C7BE-4FD3-93CC-9F4C9A0468C7}" presName="level" presStyleLbl="node1" presStyleIdx="0" presStyleCnt="4">
        <dgm:presLayoutVars>
          <dgm:chMax val="1"/>
          <dgm:bulletEnabled val="1"/>
        </dgm:presLayoutVars>
      </dgm:prSet>
      <dgm:spPr/>
    </dgm:pt>
    <dgm:pt modelId="{C2B0F1CC-685A-4A79-A47C-0A27E778D9A5}" type="pres">
      <dgm:prSet presAssocID="{D97249ED-C7BE-4FD3-93CC-9F4C9A0468C7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B082FF63-AF88-4E69-8913-4306CE5A9834}" type="pres">
      <dgm:prSet presAssocID="{100B9DBD-56E5-478A-9488-85E274EDE618}" presName="Name8" presStyleCnt="0"/>
      <dgm:spPr/>
    </dgm:pt>
    <dgm:pt modelId="{A6881247-4847-437F-A320-C67FDE8C54EA}" type="pres">
      <dgm:prSet presAssocID="{100B9DBD-56E5-478A-9488-85E274EDE618}" presName="level" presStyleLbl="node1" presStyleIdx="1" presStyleCnt="4">
        <dgm:presLayoutVars>
          <dgm:chMax val="1"/>
          <dgm:bulletEnabled val="1"/>
        </dgm:presLayoutVars>
      </dgm:prSet>
      <dgm:spPr/>
    </dgm:pt>
    <dgm:pt modelId="{147045D1-0B19-4313-B01D-8396AC3B6DEA}" type="pres">
      <dgm:prSet presAssocID="{100B9DBD-56E5-478A-9488-85E274EDE61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2D9C4A0-BBA9-49C1-ABE2-5F96106C183F}" type="pres">
      <dgm:prSet presAssocID="{E07B827A-A5DC-4C41-8F57-68C551553D06}" presName="Name8" presStyleCnt="0"/>
      <dgm:spPr/>
    </dgm:pt>
    <dgm:pt modelId="{D8F5F74D-8AC6-4AE9-B1AE-E4539E8D8CD9}" type="pres">
      <dgm:prSet presAssocID="{E07B827A-A5DC-4C41-8F57-68C551553D06}" presName="level" presStyleLbl="node1" presStyleIdx="2" presStyleCnt="4">
        <dgm:presLayoutVars>
          <dgm:chMax val="1"/>
          <dgm:bulletEnabled val="1"/>
        </dgm:presLayoutVars>
      </dgm:prSet>
      <dgm:spPr/>
    </dgm:pt>
    <dgm:pt modelId="{AA2347AF-127B-4996-B446-97D023E775AE}" type="pres">
      <dgm:prSet presAssocID="{E07B827A-A5DC-4C41-8F57-68C551553D06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649C418-931C-49C5-A017-9AF1B133BD67}" type="pres">
      <dgm:prSet presAssocID="{4137A5BD-2255-4367-9E79-504F8FB45289}" presName="Name8" presStyleCnt="0"/>
      <dgm:spPr/>
    </dgm:pt>
    <dgm:pt modelId="{2A09B3D3-0C42-442E-89C4-DD8DB745F4CE}" type="pres">
      <dgm:prSet presAssocID="{4137A5BD-2255-4367-9E79-504F8FB45289}" presName="level" presStyleLbl="node1" presStyleIdx="3" presStyleCnt="4">
        <dgm:presLayoutVars>
          <dgm:chMax val="1"/>
          <dgm:bulletEnabled val="1"/>
        </dgm:presLayoutVars>
      </dgm:prSet>
      <dgm:spPr/>
    </dgm:pt>
    <dgm:pt modelId="{5676EC12-C480-4E56-9FE3-4E5DD5C5F273}" type="pres">
      <dgm:prSet presAssocID="{4137A5BD-2255-4367-9E79-504F8FB45289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7957CB33-0B61-436E-BEB3-F054288DED24}" srcId="{F55383BB-D657-46CD-AE8D-BFC48AC42F57}" destId="{D97249ED-C7BE-4FD3-93CC-9F4C9A0468C7}" srcOrd="0" destOrd="0" parTransId="{0B15DAC8-265E-4C42-A1B8-B252D4B586DD}" sibTransId="{FA6940C5-F15E-4CED-A9C2-CAE8B456AD6E}"/>
    <dgm:cxn modelId="{CD4DCC37-BC8A-44B9-8748-5FE059DF55FE}" type="presOf" srcId="{4137A5BD-2255-4367-9E79-504F8FB45289}" destId="{2A09B3D3-0C42-442E-89C4-DD8DB745F4CE}" srcOrd="0" destOrd="0" presId="urn:microsoft.com/office/officeart/2005/8/layout/pyramid3"/>
    <dgm:cxn modelId="{EE7D295D-F628-4C92-91F8-5A3F0C4B9703}" type="presOf" srcId="{100B9DBD-56E5-478A-9488-85E274EDE618}" destId="{A6881247-4847-437F-A320-C67FDE8C54EA}" srcOrd="0" destOrd="0" presId="urn:microsoft.com/office/officeart/2005/8/layout/pyramid3"/>
    <dgm:cxn modelId="{4B275567-88AA-4555-8506-252EFD01F1CA}" type="presOf" srcId="{4137A5BD-2255-4367-9E79-504F8FB45289}" destId="{5676EC12-C480-4E56-9FE3-4E5DD5C5F273}" srcOrd="1" destOrd="0" presId="urn:microsoft.com/office/officeart/2005/8/layout/pyramid3"/>
    <dgm:cxn modelId="{2D691F77-4BA5-4A87-9079-6E8D039854B5}" type="presOf" srcId="{E07B827A-A5DC-4C41-8F57-68C551553D06}" destId="{AA2347AF-127B-4996-B446-97D023E775AE}" srcOrd="1" destOrd="0" presId="urn:microsoft.com/office/officeart/2005/8/layout/pyramid3"/>
    <dgm:cxn modelId="{A3A59F57-1442-424F-938E-D89C1DC4D533}" srcId="{F55383BB-D657-46CD-AE8D-BFC48AC42F57}" destId="{E07B827A-A5DC-4C41-8F57-68C551553D06}" srcOrd="2" destOrd="0" parTransId="{7A059D46-E601-40E9-B2CD-6CA7589988C1}" sibTransId="{C4A12907-2051-4258-8559-AE376A419793}"/>
    <dgm:cxn modelId="{95057B79-F4E4-48BC-BAD7-04D2547D77FC}" type="presOf" srcId="{D97249ED-C7BE-4FD3-93CC-9F4C9A0468C7}" destId="{16B3940B-629E-40A6-B7A7-3727B9A3F425}" srcOrd="0" destOrd="0" presId="urn:microsoft.com/office/officeart/2005/8/layout/pyramid3"/>
    <dgm:cxn modelId="{A9397E79-8101-4F29-873B-EBF9E2D4BA5D}" type="presOf" srcId="{F55383BB-D657-46CD-AE8D-BFC48AC42F57}" destId="{E5AFC336-EAA3-4A4F-A0D6-71A40E6708BF}" srcOrd="0" destOrd="0" presId="urn:microsoft.com/office/officeart/2005/8/layout/pyramid3"/>
    <dgm:cxn modelId="{C312C07B-7DB5-4738-A159-D9A65CAFCC10}" type="presOf" srcId="{E07B827A-A5DC-4C41-8F57-68C551553D06}" destId="{D8F5F74D-8AC6-4AE9-B1AE-E4539E8D8CD9}" srcOrd="0" destOrd="0" presId="urn:microsoft.com/office/officeart/2005/8/layout/pyramid3"/>
    <dgm:cxn modelId="{366DAF9F-AA4D-48E7-9C5A-E6613F42F1CA}" srcId="{F55383BB-D657-46CD-AE8D-BFC48AC42F57}" destId="{4137A5BD-2255-4367-9E79-504F8FB45289}" srcOrd="3" destOrd="0" parTransId="{A53D6FFE-AB47-4DFB-A52C-C958F8A57056}" sibTransId="{C4D9849C-EF34-43AE-BC4E-20275B688E69}"/>
    <dgm:cxn modelId="{F27211A8-6E01-43CE-B9E8-1D8E1101A06C}" type="presOf" srcId="{100B9DBD-56E5-478A-9488-85E274EDE618}" destId="{147045D1-0B19-4313-B01D-8396AC3B6DEA}" srcOrd="1" destOrd="0" presId="urn:microsoft.com/office/officeart/2005/8/layout/pyramid3"/>
    <dgm:cxn modelId="{6A1D12BD-2CE1-483A-B744-72EA762EC64F}" type="presOf" srcId="{D97249ED-C7BE-4FD3-93CC-9F4C9A0468C7}" destId="{C2B0F1CC-685A-4A79-A47C-0A27E778D9A5}" srcOrd="1" destOrd="0" presId="urn:microsoft.com/office/officeart/2005/8/layout/pyramid3"/>
    <dgm:cxn modelId="{C2B30EE3-6AFB-4314-B679-5957151B3E4D}" srcId="{F55383BB-D657-46CD-AE8D-BFC48AC42F57}" destId="{100B9DBD-56E5-478A-9488-85E274EDE618}" srcOrd="1" destOrd="0" parTransId="{A5BBCBE8-D54A-46C8-97BF-594269019072}" sibTransId="{F6EB5A2E-74F9-49D0-85F6-7ABF37CBC00F}"/>
    <dgm:cxn modelId="{CC3F4804-3915-4ABC-A33D-A55AF862A92A}" type="presParOf" srcId="{E5AFC336-EAA3-4A4F-A0D6-71A40E6708BF}" destId="{F857AEDC-C79F-4AB3-B787-2BD6726048AF}" srcOrd="0" destOrd="0" presId="urn:microsoft.com/office/officeart/2005/8/layout/pyramid3"/>
    <dgm:cxn modelId="{979A4209-FC9B-48A9-BBF4-4E42897A7624}" type="presParOf" srcId="{F857AEDC-C79F-4AB3-B787-2BD6726048AF}" destId="{16B3940B-629E-40A6-B7A7-3727B9A3F425}" srcOrd="0" destOrd="0" presId="urn:microsoft.com/office/officeart/2005/8/layout/pyramid3"/>
    <dgm:cxn modelId="{74F5EFD5-160B-4691-9CED-57EECC5E1D75}" type="presParOf" srcId="{F857AEDC-C79F-4AB3-B787-2BD6726048AF}" destId="{C2B0F1CC-685A-4A79-A47C-0A27E778D9A5}" srcOrd="1" destOrd="0" presId="urn:microsoft.com/office/officeart/2005/8/layout/pyramid3"/>
    <dgm:cxn modelId="{5EC1D0C9-BB38-4B7C-A90D-70665D9B0B2B}" type="presParOf" srcId="{E5AFC336-EAA3-4A4F-A0D6-71A40E6708BF}" destId="{B082FF63-AF88-4E69-8913-4306CE5A9834}" srcOrd="1" destOrd="0" presId="urn:microsoft.com/office/officeart/2005/8/layout/pyramid3"/>
    <dgm:cxn modelId="{182E8E7B-BDCA-44E5-99D4-2EA5762F876F}" type="presParOf" srcId="{B082FF63-AF88-4E69-8913-4306CE5A9834}" destId="{A6881247-4847-437F-A320-C67FDE8C54EA}" srcOrd="0" destOrd="0" presId="urn:microsoft.com/office/officeart/2005/8/layout/pyramid3"/>
    <dgm:cxn modelId="{FD05ABF5-6E74-465D-8BC7-BB0DB0AB797F}" type="presParOf" srcId="{B082FF63-AF88-4E69-8913-4306CE5A9834}" destId="{147045D1-0B19-4313-B01D-8396AC3B6DEA}" srcOrd="1" destOrd="0" presId="urn:microsoft.com/office/officeart/2005/8/layout/pyramid3"/>
    <dgm:cxn modelId="{C188041A-FDAE-4F7E-AB62-0FA016653D0C}" type="presParOf" srcId="{E5AFC336-EAA3-4A4F-A0D6-71A40E6708BF}" destId="{92D9C4A0-BBA9-49C1-ABE2-5F96106C183F}" srcOrd="2" destOrd="0" presId="urn:microsoft.com/office/officeart/2005/8/layout/pyramid3"/>
    <dgm:cxn modelId="{E59ADB7F-C3CC-4D57-87B0-6FD2540DD747}" type="presParOf" srcId="{92D9C4A0-BBA9-49C1-ABE2-5F96106C183F}" destId="{D8F5F74D-8AC6-4AE9-B1AE-E4539E8D8CD9}" srcOrd="0" destOrd="0" presId="urn:microsoft.com/office/officeart/2005/8/layout/pyramid3"/>
    <dgm:cxn modelId="{9CB2876C-3630-4E32-B345-CD753D30D8C6}" type="presParOf" srcId="{92D9C4A0-BBA9-49C1-ABE2-5F96106C183F}" destId="{AA2347AF-127B-4996-B446-97D023E775AE}" srcOrd="1" destOrd="0" presId="urn:microsoft.com/office/officeart/2005/8/layout/pyramid3"/>
    <dgm:cxn modelId="{16C63AFA-AF7C-4A93-A567-C320EC900603}" type="presParOf" srcId="{E5AFC336-EAA3-4A4F-A0D6-71A40E6708BF}" destId="{C649C418-931C-49C5-A017-9AF1B133BD67}" srcOrd="3" destOrd="0" presId="urn:microsoft.com/office/officeart/2005/8/layout/pyramid3"/>
    <dgm:cxn modelId="{6454BC34-13D9-4EFD-B98C-01804C63675B}" type="presParOf" srcId="{C649C418-931C-49C5-A017-9AF1B133BD67}" destId="{2A09B3D3-0C42-442E-89C4-DD8DB745F4CE}" srcOrd="0" destOrd="0" presId="urn:microsoft.com/office/officeart/2005/8/layout/pyramid3"/>
    <dgm:cxn modelId="{E76E6210-DFA3-4421-A039-A825FD18CE7E}" type="presParOf" srcId="{C649C418-931C-49C5-A017-9AF1B133BD67}" destId="{5676EC12-C480-4E56-9FE3-4E5DD5C5F273}" srcOrd="1" destOrd="0" presId="urn:microsoft.com/office/officeart/2005/8/layout/pyramid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55383BB-D657-46CD-AE8D-BFC48AC42F57}" type="doc">
      <dgm:prSet loTypeId="urn:microsoft.com/office/officeart/2005/8/layout/pyramid3" loCatId="pyramid" qsTypeId="urn:microsoft.com/office/officeart/2005/8/quickstyle/simple1" qsCatId="simple" csTypeId="urn:microsoft.com/office/officeart/2005/8/colors/accent2_5" csCatId="accent2" phldr="1"/>
      <dgm:spPr/>
    </dgm:pt>
    <dgm:pt modelId="{D97249ED-C7BE-4FD3-93CC-9F4C9A0468C7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116</a:t>
          </a:r>
        </a:p>
      </dgm:t>
    </dgm:pt>
    <dgm:pt modelId="{0B15DAC8-265E-4C42-A1B8-B252D4B586DD}" type="parTrans" cxnId="{7957CB33-0B61-436E-BEB3-F054288DED24}">
      <dgm:prSet/>
      <dgm:spPr/>
      <dgm:t>
        <a:bodyPr/>
        <a:lstStyle/>
        <a:p>
          <a:endParaRPr lang="es-CO"/>
        </a:p>
      </dgm:t>
    </dgm:pt>
    <dgm:pt modelId="{FA6940C5-F15E-4CED-A9C2-CAE8B456AD6E}" type="sibTrans" cxnId="{7957CB33-0B61-436E-BEB3-F054288DED24}">
      <dgm:prSet/>
      <dgm:spPr/>
      <dgm:t>
        <a:bodyPr/>
        <a:lstStyle/>
        <a:p>
          <a:endParaRPr lang="es-CO"/>
        </a:p>
      </dgm:t>
    </dgm:pt>
    <dgm:pt modelId="{E07B827A-A5DC-4C41-8F57-68C551553D06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20</a:t>
          </a:r>
        </a:p>
      </dgm:t>
    </dgm:pt>
    <dgm:pt modelId="{7A059D46-E601-40E9-B2CD-6CA7589988C1}" type="parTrans" cxnId="{A3A59F57-1442-424F-938E-D89C1DC4D533}">
      <dgm:prSet/>
      <dgm:spPr/>
      <dgm:t>
        <a:bodyPr/>
        <a:lstStyle/>
        <a:p>
          <a:endParaRPr lang="es-CO"/>
        </a:p>
      </dgm:t>
    </dgm:pt>
    <dgm:pt modelId="{C4A12907-2051-4258-8559-AE376A419793}" type="sibTrans" cxnId="{A3A59F57-1442-424F-938E-D89C1DC4D533}">
      <dgm:prSet/>
      <dgm:spPr/>
      <dgm:t>
        <a:bodyPr/>
        <a:lstStyle/>
        <a:p>
          <a:endParaRPr lang="es-CO"/>
        </a:p>
      </dgm:t>
    </dgm:pt>
    <dgm:pt modelId="{4137A5BD-2255-4367-9E79-504F8FB45289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15</a:t>
          </a:r>
        </a:p>
        <a:p>
          <a:endParaRPr lang="es-CO"/>
        </a:p>
      </dgm:t>
    </dgm:pt>
    <dgm:pt modelId="{A53D6FFE-AB47-4DFB-A52C-C958F8A57056}" type="parTrans" cxnId="{366DAF9F-AA4D-48E7-9C5A-E6613F42F1CA}">
      <dgm:prSet/>
      <dgm:spPr/>
      <dgm:t>
        <a:bodyPr/>
        <a:lstStyle/>
        <a:p>
          <a:endParaRPr lang="es-CO"/>
        </a:p>
      </dgm:t>
    </dgm:pt>
    <dgm:pt modelId="{C4D9849C-EF34-43AE-BC4E-20275B688E69}" type="sibTrans" cxnId="{366DAF9F-AA4D-48E7-9C5A-E6613F42F1CA}">
      <dgm:prSet/>
      <dgm:spPr/>
      <dgm:t>
        <a:bodyPr/>
        <a:lstStyle/>
        <a:p>
          <a:endParaRPr lang="es-CO"/>
        </a:p>
      </dgm:t>
    </dgm:pt>
    <dgm:pt modelId="{E5AFC336-EAA3-4A4F-A0D6-71A40E6708BF}" type="pres">
      <dgm:prSet presAssocID="{F55383BB-D657-46CD-AE8D-BFC48AC42F57}" presName="Name0" presStyleCnt="0">
        <dgm:presLayoutVars>
          <dgm:dir/>
          <dgm:animLvl val="lvl"/>
          <dgm:resizeHandles val="exact"/>
        </dgm:presLayoutVars>
      </dgm:prSet>
      <dgm:spPr/>
    </dgm:pt>
    <dgm:pt modelId="{F857AEDC-C79F-4AB3-B787-2BD6726048AF}" type="pres">
      <dgm:prSet presAssocID="{D97249ED-C7BE-4FD3-93CC-9F4C9A0468C7}" presName="Name8" presStyleCnt="0"/>
      <dgm:spPr/>
    </dgm:pt>
    <dgm:pt modelId="{16B3940B-629E-40A6-B7A7-3727B9A3F425}" type="pres">
      <dgm:prSet presAssocID="{D97249ED-C7BE-4FD3-93CC-9F4C9A0468C7}" presName="level" presStyleLbl="node1" presStyleIdx="0" presStyleCnt="3">
        <dgm:presLayoutVars>
          <dgm:chMax val="1"/>
          <dgm:bulletEnabled val="1"/>
        </dgm:presLayoutVars>
      </dgm:prSet>
      <dgm:spPr/>
    </dgm:pt>
    <dgm:pt modelId="{C2B0F1CC-685A-4A79-A47C-0A27E778D9A5}" type="pres">
      <dgm:prSet presAssocID="{D97249ED-C7BE-4FD3-93CC-9F4C9A0468C7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2D9C4A0-BBA9-49C1-ABE2-5F96106C183F}" type="pres">
      <dgm:prSet presAssocID="{E07B827A-A5DC-4C41-8F57-68C551553D06}" presName="Name8" presStyleCnt="0"/>
      <dgm:spPr/>
    </dgm:pt>
    <dgm:pt modelId="{D8F5F74D-8AC6-4AE9-B1AE-E4539E8D8CD9}" type="pres">
      <dgm:prSet presAssocID="{E07B827A-A5DC-4C41-8F57-68C551553D06}" presName="level" presStyleLbl="node1" presStyleIdx="1" presStyleCnt="3">
        <dgm:presLayoutVars>
          <dgm:chMax val="1"/>
          <dgm:bulletEnabled val="1"/>
        </dgm:presLayoutVars>
      </dgm:prSet>
      <dgm:spPr/>
    </dgm:pt>
    <dgm:pt modelId="{AA2347AF-127B-4996-B446-97D023E775AE}" type="pres">
      <dgm:prSet presAssocID="{E07B827A-A5DC-4C41-8F57-68C551553D06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649C418-931C-49C5-A017-9AF1B133BD67}" type="pres">
      <dgm:prSet presAssocID="{4137A5BD-2255-4367-9E79-504F8FB45289}" presName="Name8" presStyleCnt="0"/>
      <dgm:spPr/>
    </dgm:pt>
    <dgm:pt modelId="{2A09B3D3-0C42-442E-89C4-DD8DB745F4CE}" type="pres">
      <dgm:prSet presAssocID="{4137A5BD-2255-4367-9E79-504F8FB45289}" presName="level" presStyleLbl="node1" presStyleIdx="2" presStyleCnt="3">
        <dgm:presLayoutVars>
          <dgm:chMax val="1"/>
          <dgm:bulletEnabled val="1"/>
        </dgm:presLayoutVars>
      </dgm:prSet>
      <dgm:spPr/>
    </dgm:pt>
    <dgm:pt modelId="{5676EC12-C480-4E56-9FE3-4E5DD5C5F273}" type="pres">
      <dgm:prSet presAssocID="{4137A5BD-2255-4367-9E79-504F8FB45289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7957CB33-0B61-436E-BEB3-F054288DED24}" srcId="{F55383BB-D657-46CD-AE8D-BFC48AC42F57}" destId="{D97249ED-C7BE-4FD3-93CC-9F4C9A0468C7}" srcOrd="0" destOrd="0" parTransId="{0B15DAC8-265E-4C42-A1B8-B252D4B586DD}" sibTransId="{FA6940C5-F15E-4CED-A9C2-CAE8B456AD6E}"/>
    <dgm:cxn modelId="{CD4DCC37-BC8A-44B9-8748-5FE059DF55FE}" type="presOf" srcId="{4137A5BD-2255-4367-9E79-504F8FB45289}" destId="{2A09B3D3-0C42-442E-89C4-DD8DB745F4CE}" srcOrd="0" destOrd="0" presId="urn:microsoft.com/office/officeart/2005/8/layout/pyramid3"/>
    <dgm:cxn modelId="{4B275567-88AA-4555-8506-252EFD01F1CA}" type="presOf" srcId="{4137A5BD-2255-4367-9E79-504F8FB45289}" destId="{5676EC12-C480-4E56-9FE3-4E5DD5C5F273}" srcOrd="1" destOrd="0" presId="urn:microsoft.com/office/officeart/2005/8/layout/pyramid3"/>
    <dgm:cxn modelId="{2D691F77-4BA5-4A87-9079-6E8D039854B5}" type="presOf" srcId="{E07B827A-A5DC-4C41-8F57-68C551553D06}" destId="{AA2347AF-127B-4996-B446-97D023E775AE}" srcOrd="1" destOrd="0" presId="urn:microsoft.com/office/officeart/2005/8/layout/pyramid3"/>
    <dgm:cxn modelId="{A3A59F57-1442-424F-938E-D89C1DC4D533}" srcId="{F55383BB-D657-46CD-AE8D-BFC48AC42F57}" destId="{E07B827A-A5DC-4C41-8F57-68C551553D06}" srcOrd="1" destOrd="0" parTransId="{7A059D46-E601-40E9-B2CD-6CA7589988C1}" sibTransId="{C4A12907-2051-4258-8559-AE376A419793}"/>
    <dgm:cxn modelId="{95057B79-F4E4-48BC-BAD7-04D2547D77FC}" type="presOf" srcId="{D97249ED-C7BE-4FD3-93CC-9F4C9A0468C7}" destId="{16B3940B-629E-40A6-B7A7-3727B9A3F425}" srcOrd="0" destOrd="0" presId="urn:microsoft.com/office/officeart/2005/8/layout/pyramid3"/>
    <dgm:cxn modelId="{A9397E79-8101-4F29-873B-EBF9E2D4BA5D}" type="presOf" srcId="{F55383BB-D657-46CD-AE8D-BFC48AC42F57}" destId="{E5AFC336-EAA3-4A4F-A0D6-71A40E6708BF}" srcOrd="0" destOrd="0" presId="urn:microsoft.com/office/officeart/2005/8/layout/pyramid3"/>
    <dgm:cxn modelId="{C312C07B-7DB5-4738-A159-D9A65CAFCC10}" type="presOf" srcId="{E07B827A-A5DC-4C41-8F57-68C551553D06}" destId="{D8F5F74D-8AC6-4AE9-B1AE-E4539E8D8CD9}" srcOrd="0" destOrd="0" presId="urn:microsoft.com/office/officeart/2005/8/layout/pyramid3"/>
    <dgm:cxn modelId="{366DAF9F-AA4D-48E7-9C5A-E6613F42F1CA}" srcId="{F55383BB-D657-46CD-AE8D-BFC48AC42F57}" destId="{4137A5BD-2255-4367-9E79-504F8FB45289}" srcOrd="2" destOrd="0" parTransId="{A53D6FFE-AB47-4DFB-A52C-C958F8A57056}" sibTransId="{C4D9849C-EF34-43AE-BC4E-20275B688E69}"/>
    <dgm:cxn modelId="{6A1D12BD-2CE1-483A-B744-72EA762EC64F}" type="presOf" srcId="{D97249ED-C7BE-4FD3-93CC-9F4C9A0468C7}" destId="{C2B0F1CC-685A-4A79-A47C-0A27E778D9A5}" srcOrd="1" destOrd="0" presId="urn:microsoft.com/office/officeart/2005/8/layout/pyramid3"/>
    <dgm:cxn modelId="{CC3F4804-3915-4ABC-A33D-A55AF862A92A}" type="presParOf" srcId="{E5AFC336-EAA3-4A4F-A0D6-71A40E6708BF}" destId="{F857AEDC-C79F-4AB3-B787-2BD6726048AF}" srcOrd="0" destOrd="0" presId="urn:microsoft.com/office/officeart/2005/8/layout/pyramid3"/>
    <dgm:cxn modelId="{979A4209-FC9B-48A9-BBF4-4E42897A7624}" type="presParOf" srcId="{F857AEDC-C79F-4AB3-B787-2BD6726048AF}" destId="{16B3940B-629E-40A6-B7A7-3727B9A3F425}" srcOrd="0" destOrd="0" presId="urn:microsoft.com/office/officeart/2005/8/layout/pyramid3"/>
    <dgm:cxn modelId="{74F5EFD5-160B-4691-9CED-57EECC5E1D75}" type="presParOf" srcId="{F857AEDC-C79F-4AB3-B787-2BD6726048AF}" destId="{C2B0F1CC-685A-4A79-A47C-0A27E778D9A5}" srcOrd="1" destOrd="0" presId="urn:microsoft.com/office/officeart/2005/8/layout/pyramid3"/>
    <dgm:cxn modelId="{C188041A-FDAE-4F7E-AB62-0FA016653D0C}" type="presParOf" srcId="{E5AFC336-EAA3-4A4F-A0D6-71A40E6708BF}" destId="{92D9C4A0-BBA9-49C1-ABE2-5F96106C183F}" srcOrd="1" destOrd="0" presId="urn:microsoft.com/office/officeart/2005/8/layout/pyramid3"/>
    <dgm:cxn modelId="{E59ADB7F-C3CC-4D57-87B0-6FD2540DD747}" type="presParOf" srcId="{92D9C4A0-BBA9-49C1-ABE2-5F96106C183F}" destId="{D8F5F74D-8AC6-4AE9-B1AE-E4539E8D8CD9}" srcOrd="0" destOrd="0" presId="urn:microsoft.com/office/officeart/2005/8/layout/pyramid3"/>
    <dgm:cxn modelId="{9CB2876C-3630-4E32-B345-CD753D30D8C6}" type="presParOf" srcId="{92D9C4A0-BBA9-49C1-ABE2-5F96106C183F}" destId="{AA2347AF-127B-4996-B446-97D023E775AE}" srcOrd="1" destOrd="0" presId="urn:microsoft.com/office/officeart/2005/8/layout/pyramid3"/>
    <dgm:cxn modelId="{16C63AFA-AF7C-4A93-A567-C320EC900603}" type="presParOf" srcId="{E5AFC336-EAA3-4A4F-A0D6-71A40E6708BF}" destId="{C649C418-931C-49C5-A017-9AF1B133BD67}" srcOrd="2" destOrd="0" presId="urn:microsoft.com/office/officeart/2005/8/layout/pyramid3"/>
    <dgm:cxn modelId="{6454BC34-13D9-4EFD-B98C-01804C63675B}" type="presParOf" srcId="{C649C418-931C-49C5-A017-9AF1B133BD67}" destId="{2A09B3D3-0C42-442E-89C4-DD8DB745F4CE}" srcOrd="0" destOrd="0" presId="urn:microsoft.com/office/officeart/2005/8/layout/pyramid3"/>
    <dgm:cxn modelId="{E76E6210-DFA3-4421-A039-A825FD18CE7E}" type="presParOf" srcId="{C649C418-931C-49C5-A017-9AF1B133BD67}" destId="{5676EC12-C480-4E56-9FE3-4E5DD5C5F273}" srcOrd="1" destOrd="0" presId="urn:microsoft.com/office/officeart/2005/8/layout/pyramid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F55383BB-D657-46CD-AE8D-BFC48AC42F57}" type="doc">
      <dgm:prSet loTypeId="urn:microsoft.com/office/officeart/2005/8/layout/pyramid3" loCatId="pyramid" qsTypeId="urn:microsoft.com/office/officeart/2005/8/quickstyle/simple1" qsCatId="simple" csTypeId="urn:microsoft.com/office/officeart/2005/8/colors/accent3_5" csCatId="accent3" phldr="1"/>
      <dgm:spPr/>
    </dgm:pt>
    <dgm:pt modelId="{D97249ED-C7BE-4FD3-93CC-9F4C9A0468C7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199</a:t>
          </a:r>
        </a:p>
      </dgm:t>
    </dgm:pt>
    <dgm:pt modelId="{0B15DAC8-265E-4C42-A1B8-B252D4B586DD}" type="parTrans" cxnId="{7957CB33-0B61-436E-BEB3-F054288DED24}">
      <dgm:prSet/>
      <dgm:spPr/>
      <dgm:t>
        <a:bodyPr/>
        <a:lstStyle/>
        <a:p>
          <a:endParaRPr lang="es-CO"/>
        </a:p>
      </dgm:t>
    </dgm:pt>
    <dgm:pt modelId="{FA6940C5-F15E-4CED-A9C2-CAE8B456AD6E}" type="sibTrans" cxnId="{7957CB33-0B61-436E-BEB3-F054288DED24}">
      <dgm:prSet/>
      <dgm:spPr/>
      <dgm:t>
        <a:bodyPr/>
        <a:lstStyle/>
        <a:p>
          <a:endParaRPr lang="es-CO"/>
        </a:p>
      </dgm:t>
    </dgm:pt>
    <dgm:pt modelId="{E07B827A-A5DC-4C41-8F57-68C551553D06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61</a:t>
          </a:r>
        </a:p>
      </dgm:t>
    </dgm:pt>
    <dgm:pt modelId="{7A059D46-E601-40E9-B2CD-6CA7589988C1}" type="parTrans" cxnId="{A3A59F57-1442-424F-938E-D89C1DC4D533}">
      <dgm:prSet/>
      <dgm:spPr/>
      <dgm:t>
        <a:bodyPr/>
        <a:lstStyle/>
        <a:p>
          <a:endParaRPr lang="es-CO"/>
        </a:p>
      </dgm:t>
    </dgm:pt>
    <dgm:pt modelId="{C4A12907-2051-4258-8559-AE376A419793}" type="sibTrans" cxnId="{A3A59F57-1442-424F-938E-D89C1DC4D533}">
      <dgm:prSet/>
      <dgm:spPr/>
      <dgm:t>
        <a:bodyPr/>
        <a:lstStyle/>
        <a:p>
          <a:endParaRPr lang="es-CO"/>
        </a:p>
      </dgm:t>
    </dgm:pt>
    <dgm:pt modelId="{4137A5BD-2255-4367-9E79-504F8FB45289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43</a:t>
          </a:r>
        </a:p>
        <a:p>
          <a:endParaRPr lang="es-CO"/>
        </a:p>
      </dgm:t>
    </dgm:pt>
    <dgm:pt modelId="{A53D6FFE-AB47-4DFB-A52C-C958F8A57056}" type="parTrans" cxnId="{366DAF9F-AA4D-48E7-9C5A-E6613F42F1CA}">
      <dgm:prSet/>
      <dgm:spPr/>
      <dgm:t>
        <a:bodyPr/>
        <a:lstStyle/>
        <a:p>
          <a:endParaRPr lang="es-CO"/>
        </a:p>
      </dgm:t>
    </dgm:pt>
    <dgm:pt modelId="{C4D9849C-EF34-43AE-BC4E-20275B688E69}" type="sibTrans" cxnId="{366DAF9F-AA4D-48E7-9C5A-E6613F42F1CA}">
      <dgm:prSet/>
      <dgm:spPr/>
      <dgm:t>
        <a:bodyPr/>
        <a:lstStyle/>
        <a:p>
          <a:endParaRPr lang="es-CO"/>
        </a:p>
      </dgm:t>
    </dgm:pt>
    <dgm:pt modelId="{100B9DBD-56E5-478A-9488-85E274EDE618}">
      <dgm:prSet/>
      <dgm:spPr/>
      <dgm:t>
        <a:bodyPr/>
        <a:lstStyle/>
        <a:p>
          <a:r>
            <a:rPr lang="es-CO">
              <a:solidFill>
                <a:schemeClr val="bg1"/>
              </a:solidFill>
            </a:rPr>
            <a:t>17</a:t>
          </a:r>
        </a:p>
      </dgm:t>
    </dgm:pt>
    <dgm:pt modelId="{A5BBCBE8-D54A-46C8-97BF-594269019072}" type="parTrans" cxnId="{C2B30EE3-6AFB-4314-B679-5957151B3E4D}">
      <dgm:prSet/>
      <dgm:spPr/>
      <dgm:t>
        <a:bodyPr/>
        <a:lstStyle/>
        <a:p>
          <a:endParaRPr lang="es-CO"/>
        </a:p>
      </dgm:t>
    </dgm:pt>
    <dgm:pt modelId="{F6EB5A2E-74F9-49D0-85F6-7ABF37CBC00F}" type="sibTrans" cxnId="{C2B30EE3-6AFB-4314-B679-5957151B3E4D}">
      <dgm:prSet/>
      <dgm:spPr/>
      <dgm:t>
        <a:bodyPr/>
        <a:lstStyle/>
        <a:p>
          <a:endParaRPr lang="es-CO"/>
        </a:p>
      </dgm:t>
    </dgm:pt>
    <dgm:pt modelId="{E5AFC336-EAA3-4A4F-A0D6-71A40E6708BF}" type="pres">
      <dgm:prSet presAssocID="{F55383BB-D657-46CD-AE8D-BFC48AC42F57}" presName="Name0" presStyleCnt="0">
        <dgm:presLayoutVars>
          <dgm:dir/>
          <dgm:animLvl val="lvl"/>
          <dgm:resizeHandles val="exact"/>
        </dgm:presLayoutVars>
      </dgm:prSet>
      <dgm:spPr/>
    </dgm:pt>
    <dgm:pt modelId="{F857AEDC-C79F-4AB3-B787-2BD6726048AF}" type="pres">
      <dgm:prSet presAssocID="{D97249ED-C7BE-4FD3-93CC-9F4C9A0468C7}" presName="Name8" presStyleCnt="0"/>
      <dgm:spPr/>
    </dgm:pt>
    <dgm:pt modelId="{16B3940B-629E-40A6-B7A7-3727B9A3F425}" type="pres">
      <dgm:prSet presAssocID="{D97249ED-C7BE-4FD3-93CC-9F4C9A0468C7}" presName="level" presStyleLbl="node1" presStyleIdx="0" presStyleCnt="4">
        <dgm:presLayoutVars>
          <dgm:chMax val="1"/>
          <dgm:bulletEnabled val="1"/>
        </dgm:presLayoutVars>
      </dgm:prSet>
      <dgm:spPr/>
    </dgm:pt>
    <dgm:pt modelId="{C2B0F1CC-685A-4A79-A47C-0A27E778D9A5}" type="pres">
      <dgm:prSet presAssocID="{D97249ED-C7BE-4FD3-93CC-9F4C9A0468C7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B082FF63-AF88-4E69-8913-4306CE5A9834}" type="pres">
      <dgm:prSet presAssocID="{100B9DBD-56E5-478A-9488-85E274EDE618}" presName="Name8" presStyleCnt="0"/>
      <dgm:spPr/>
    </dgm:pt>
    <dgm:pt modelId="{A6881247-4847-437F-A320-C67FDE8C54EA}" type="pres">
      <dgm:prSet presAssocID="{100B9DBD-56E5-478A-9488-85E274EDE618}" presName="level" presStyleLbl="node1" presStyleIdx="1" presStyleCnt="4">
        <dgm:presLayoutVars>
          <dgm:chMax val="1"/>
          <dgm:bulletEnabled val="1"/>
        </dgm:presLayoutVars>
      </dgm:prSet>
      <dgm:spPr/>
    </dgm:pt>
    <dgm:pt modelId="{147045D1-0B19-4313-B01D-8396AC3B6DEA}" type="pres">
      <dgm:prSet presAssocID="{100B9DBD-56E5-478A-9488-85E274EDE61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2D9C4A0-BBA9-49C1-ABE2-5F96106C183F}" type="pres">
      <dgm:prSet presAssocID="{E07B827A-A5DC-4C41-8F57-68C551553D06}" presName="Name8" presStyleCnt="0"/>
      <dgm:spPr/>
    </dgm:pt>
    <dgm:pt modelId="{D8F5F74D-8AC6-4AE9-B1AE-E4539E8D8CD9}" type="pres">
      <dgm:prSet presAssocID="{E07B827A-A5DC-4C41-8F57-68C551553D06}" presName="level" presStyleLbl="node1" presStyleIdx="2" presStyleCnt="4">
        <dgm:presLayoutVars>
          <dgm:chMax val="1"/>
          <dgm:bulletEnabled val="1"/>
        </dgm:presLayoutVars>
      </dgm:prSet>
      <dgm:spPr/>
    </dgm:pt>
    <dgm:pt modelId="{AA2347AF-127B-4996-B446-97D023E775AE}" type="pres">
      <dgm:prSet presAssocID="{E07B827A-A5DC-4C41-8F57-68C551553D06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649C418-931C-49C5-A017-9AF1B133BD67}" type="pres">
      <dgm:prSet presAssocID="{4137A5BD-2255-4367-9E79-504F8FB45289}" presName="Name8" presStyleCnt="0"/>
      <dgm:spPr/>
    </dgm:pt>
    <dgm:pt modelId="{2A09B3D3-0C42-442E-89C4-DD8DB745F4CE}" type="pres">
      <dgm:prSet presAssocID="{4137A5BD-2255-4367-9E79-504F8FB45289}" presName="level" presStyleLbl="node1" presStyleIdx="3" presStyleCnt="4">
        <dgm:presLayoutVars>
          <dgm:chMax val="1"/>
          <dgm:bulletEnabled val="1"/>
        </dgm:presLayoutVars>
      </dgm:prSet>
      <dgm:spPr/>
    </dgm:pt>
    <dgm:pt modelId="{5676EC12-C480-4E56-9FE3-4E5DD5C5F273}" type="pres">
      <dgm:prSet presAssocID="{4137A5BD-2255-4367-9E79-504F8FB45289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7957CB33-0B61-436E-BEB3-F054288DED24}" srcId="{F55383BB-D657-46CD-AE8D-BFC48AC42F57}" destId="{D97249ED-C7BE-4FD3-93CC-9F4C9A0468C7}" srcOrd="0" destOrd="0" parTransId="{0B15DAC8-265E-4C42-A1B8-B252D4B586DD}" sibTransId="{FA6940C5-F15E-4CED-A9C2-CAE8B456AD6E}"/>
    <dgm:cxn modelId="{CD4DCC37-BC8A-44B9-8748-5FE059DF55FE}" type="presOf" srcId="{4137A5BD-2255-4367-9E79-504F8FB45289}" destId="{2A09B3D3-0C42-442E-89C4-DD8DB745F4CE}" srcOrd="0" destOrd="0" presId="urn:microsoft.com/office/officeart/2005/8/layout/pyramid3"/>
    <dgm:cxn modelId="{EE7D295D-F628-4C92-91F8-5A3F0C4B9703}" type="presOf" srcId="{100B9DBD-56E5-478A-9488-85E274EDE618}" destId="{A6881247-4847-437F-A320-C67FDE8C54EA}" srcOrd="0" destOrd="0" presId="urn:microsoft.com/office/officeart/2005/8/layout/pyramid3"/>
    <dgm:cxn modelId="{4B275567-88AA-4555-8506-252EFD01F1CA}" type="presOf" srcId="{4137A5BD-2255-4367-9E79-504F8FB45289}" destId="{5676EC12-C480-4E56-9FE3-4E5DD5C5F273}" srcOrd="1" destOrd="0" presId="urn:microsoft.com/office/officeart/2005/8/layout/pyramid3"/>
    <dgm:cxn modelId="{2D691F77-4BA5-4A87-9079-6E8D039854B5}" type="presOf" srcId="{E07B827A-A5DC-4C41-8F57-68C551553D06}" destId="{AA2347AF-127B-4996-B446-97D023E775AE}" srcOrd="1" destOrd="0" presId="urn:microsoft.com/office/officeart/2005/8/layout/pyramid3"/>
    <dgm:cxn modelId="{A3A59F57-1442-424F-938E-D89C1DC4D533}" srcId="{F55383BB-D657-46CD-AE8D-BFC48AC42F57}" destId="{E07B827A-A5DC-4C41-8F57-68C551553D06}" srcOrd="2" destOrd="0" parTransId="{7A059D46-E601-40E9-B2CD-6CA7589988C1}" sibTransId="{C4A12907-2051-4258-8559-AE376A419793}"/>
    <dgm:cxn modelId="{95057B79-F4E4-48BC-BAD7-04D2547D77FC}" type="presOf" srcId="{D97249ED-C7BE-4FD3-93CC-9F4C9A0468C7}" destId="{16B3940B-629E-40A6-B7A7-3727B9A3F425}" srcOrd="0" destOrd="0" presId="urn:microsoft.com/office/officeart/2005/8/layout/pyramid3"/>
    <dgm:cxn modelId="{A9397E79-8101-4F29-873B-EBF9E2D4BA5D}" type="presOf" srcId="{F55383BB-D657-46CD-AE8D-BFC48AC42F57}" destId="{E5AFC336-EAA3-4A4F-A0D6-71A40E6708BF}" srcOrd="0" destOrd="0" presId="urn:microsoft.com/office/officeart/2005/8/layout/pyramid3"/>
    <dgm:cxn modelId="{C312C07B-7DB5-4738-A159-D9A65CAFCC10}" type="presOf" srcId="{E07B827A-A5DC-4C41-8F57-68C551553D06}" destId="{D8F5F74D-8AC6-4AE9-B1AE-E4539E8D8CD9}" srcOrd="0" destOrd="0" presId="urn:microsoft.com/office/officeart/2005/8/layout/pyramid3"/>
    <dgm:cxn modelId="{366DAF9F-AA4D-48E7-9C5A-E6613F42F1CA}" srcId="{F55383BB-D657-46CD-AE8D-BFC48AC42F57}" destId="{4137A5BD-2255-4367-9E79-504F8FB45289}" srcOrd="3" destOrd="0" parTransId="{A53D6FFE-AB47-4DFB-A52C-C958F8A57056}" sibTransId="{C4D9849C-EF34-43AE-BC4E-20275B688E69}"/>
    <dgm:cxn modelId="{F27211A8-6E01-43CE-B9E8-1D8E1101A06C}" type="presOf" srcId="{100B9DBD-56E5-478A-9488-85E274EDE618}" destId="{147045D1-0B19-4313-B01D-8396AC3B6DEA}" srcOrd="1" destOrd="0" presId="urn:microsoft.com/office/officeart/2005/8/layout/pyramid3"/>
    <dgm:cxn modelId="{6A1D12BD-2CE1-483A-B744-72EA762EC64F}" type="presOf" srcId="{D97249ED-C7BE-4FD3-93CC-9F4C9A0468C7}" destId="{C2B0F1CC-685A-4A79-A47C-0A27E778D9A5}" srcOrd="1" destOrd="0" presId="urn:microsoft.com/office/officeart/2005/8/layout/pyramid3"/>
    <dgm:cxn modelId="{C2B30EE3-6AFB-4314-B679-5957151B3E4D}" srcId="{F55383BB-D657-46CD-AE8D-BFC48AC42F57}" destId="{100B9DBD-56E5-478A-9488-85E274EDE618}" srcOrd="1" destOrd="0" parTransId="{A5BBCBE8-D54A-46C8-97BF-594269019072}" sibTransId="{F6EB5A2E-74F9-49D0-85F6-7ABF37CBC00F}"/>
    <dgm:cxn modelId="{CC3F4804-3915-4ABC-A33D-A55AF862A92A}" type="presParOf" srcId="{E5AFC336-EAA3-4A4F-A0D6-71A40E6708BF}" destId="{F857AEDC-C79F-4AB3-B787-2BD6726048AF}" srcOrd="0" destOrd="0" presId="urn:microsoft.com/office/officeart/2005/8/layout/pyramid3"/>
    <dgm:cxn modelId="{979A4209-FC9B-48A9-BBF4-4E42897A7624}" type="presParOf" srcId="{F857AEDC-C79F-4AB3-B787-2BD6726048AF}" destId="{16B3940B-629E-40A6-B7A7-3727B9A3F425}" srcOrd="0" destOrd="0" presId="urn:microsoft.com/office/officeart/2005/8/layout/pyramid3"/>
    <dgm:cxn modelId="{74F5EFD5-160B-4691-9CED-57EECC5E1D75}" type="presParOf" srcId="{F857AEDC-C79F-4AB3-B787-2BD6726048AF}" destId="{C2B0F1CC-685A-4A79-A47C-0A27E778D9A5}" srcOrd="1" destOrd="0" presId="urn:microsoft.com/office/officeart/2005/8/layout/pyramid3"/>
    <dgm:cxn modelId="{5EC1D0C9-BB38-4B7C-A90D-70665D9B0B2B}" type="presParOf" srcId="{E5AFC336-EAA3-4A4F-A0D6-71A40E6708BF}" destId="{B082FF63-AF88-4E69-8913-4306CE5A9834}" srcOrd="1" destOrd="0" presId="urn:microsoft.com/office/officeart/2005/8/layout/pyramid3"/>
    <dgm:cxn modelId="{182E8E7B-BDCA-44E5-99D4-2EA5762F876F}" type="presParOf" srcId="{B082FF63-AF88-4E69-8913-4306CE5A9834}" destId="{A6881247-4847-437F-A320-C67FDE8C54EA}" srcOrd="0" destOrd="0" presId="urn:microsoft.com/office/officeart/2005/8/layout/pyramid3"/>
    <dgm:cxn modelId="{FD05ABF5-6E74-465D-8BC7-BB0DB0AB797F}" type="presParOf" srcId="{B082FF63-AF88-4E69-8913-4306CE5A9834}" destId="{147045D1-0B19-4313-B01D-8396AC3B6DEA}" srcOrd="1" destOrd="0" presId="urn:microsoft.com/office/officeart/2005/8/layout/pyramid3"/>
    <dgm:cxn modelId="{C188041A-FDAE-4F7E-AB62-0FA016653D0C}" type="presParOf" srcId="{E5AFC336-EAA3-4A4F-A0D6-71A40E6708BF}" destId="{92D9C4A0-BBA9-49C1-ABE2-5F96106C183F}" srcOrd="2" destOrd="0" presId="urn:microsoft.com/office/officeart/2005/8/layout/pyramid3"/>
    <dgm:cxn modelId="{E59ADB7F-C3CC-4D57-87B0-6FD2540DD747}" type="presParOf" srcId="{92D9C4A0-BBA9-49C1-ABE2-5F96106C183F}" destId="{D8F5F74D-8AC6-4AE9-B1AE-E4539E8D8CD9}" srcOrd="0" destOrd="0" presId="urn:microsoft.com/office/officeart/2005/8/layout/pyramid3"/>
    <dgm:cxn modelId="{9CB2876C-3630-4E32-B345-CD753D30D8C6}" type="presParOf" srcId="{92D9C4A0-BBA9-49C1-ABE2-5F96106C183F}" destId="{AA2347AF-127B-4996-B446-97D023E775AE}" srcOrd="1" destOrd="0" presId="urn:microsoft.com/office/officeart/2005/8/layout/pyramid3"/>
    <dgm:cxn modelId="{16C63AFA-AF7C-4A93-A567-C320EC900603}" type="presParOf" srcId="{E5AFC336-EAA3-4A4F-A0D6-71A40E6708BF}" destId="{C649C418-931C-49C5-A017-9AF1B133BD67}" srcOrd="3" destOrd="0" presId="urn:microsoft.com/office/officeart/2005/8/layout/pyramid3"/>
    <dgm:cxn modelId="{6454BC34-13D9-4EFD-B98C-01804C63675B}" type="presParOf" srcId="{C649C418-931C-49C5-A017-9AF1B133BD67}" destId="{2A09B3D3-0C42-442E-89C4-DD8DB745F4CE}" srcOrd="0" destOrd="0" presId="urn:microsoft.com/office/officeart/2005/8/layout/pyramid3"/>
    <dgm:cxn modelId="{E76E6210-DFA3-4421-A039-A825FD18CE7E}" type="presParOf" srcId="{C649C418-931C-49C5-A017-9AF1B133BD67}" destId="{5676EC12-C480-4E56-9FE3-4E5DD5C5F273}" srcOrd="1" destOrd="0" presId="urn:microsoft.com/office/officeart/2005/8/layout/pyramid3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F55383BB-D657-46CD-AE8D-BFC48AC42F57}" type="doc">
      <dgm:prSet loTypeId="urn:microsoft.com/office/officeart/2005/8/layout/pyramid3" loCatId="pyramid" qsTypeId="urn:microsoft.com/office/officeart/2005/8/quickstyle/simple1" qsCatId="simple" csTypeId="urn:microsoft.com/office/officeart/2005/8/colors/accent4_5" csCatId="accent4" phldr="1"/>
      <dgm:spPr/>
    </dgm:pt>
    <dgm:pt modelId="{D97249ED-C7BE-4FD3-93CC-9F4C9A0468C7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319</a:t>
          </a:r>
        </a:p>
      </dgm:t>
    </dgm:pt>
    <dgm:pt modelId="{0B15DAC8-265E-4C42-A1B8-B252D4B586DD}" type="parTrans" cxnId="{7957CB33-0B61-436E-BEB3-F054288DED24}">
      <dgm:prSet/>
      <dgm:spPr/>
      <dgm:t>
        <a:bodyPr/>
        <a:lstStyle/>
        <a:p>
          <a:endParaRPr lang="es-CO"/>
        </a:p>
      </dgm:t>
    </dgm:pt>
    <dgm:pt modelId="{FA6940C5-F15E-4CED-A9C2-CAE8B456AD6E}" type="sibTrans" cxnId="{7957CB33-0B61-436E-BEB3-F054288DED24}">
      <dgm:prSet/>
      <dgm:spPr/>
      <dgm:t>
        <a:bodyPr/>
        <a:lstStyle/>
        <a:p>
          <a:endParaRPr lang="es-CO"/>
        </a:p>
      </dgm:t>
    </dgm:pt>
    <dgm:pt modelId="{E07B827A-A5DC-4C41-8F57-68C551553D06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103</a:t>
          </a:r>
        </a:p>
      </dgm:t>
    </dgm:pt>
    <dgm:pt modelId="{7A059D46-E601-40E9-B2CD-6CA7589988C1}" type="parTrans" cxnId="{A3A59F57-1442-424F-938E-D89C1DC4D533}">
      <dgm:prSet/>
      <dgm:spPr/>
      <dgm:t>
        <a:bodyPr/>
        <a:lstStyle/>
        <a:p>
          <a:endParaRPr lang="es-CO"/>
        </a:p>
      </dgm:t>
    </dgm:pt>
    <dgm:pt modelId="{C4A12907-2051-4258-8559-AE376A419793}" type="sibTrans" cxnId="{A3A59F57-1442-424F-938E-D89C1DC4D533}">
      <dgm:prSet/>
      <dgm:spPr/>
      <dgm:t>
        <a:bodyPr/>
        <a:lstStyle/>
        <a:p>
          <a:endParaRPr lang="es-CO"/>
        </a:p>
      </dgm:t>
    </dgm:pt>
    <dgm:pt modelId="{4137A5BD-2255-4367-9E79-504F8FB45289}">
      <dgm:prSet phldrT="[Texto]"/>
      <dgm:spPr/>
      <dgm:t>
        <a:bodyPr/>
        <a:lstStyle/>
        <a:p>
          <a:r>
            <a:rPr lang="es-CO">
              <a:solidFill>
                <a:schemeClr val="bg1"/>
              </a:solidFill>
            </a:rPr>
            <a:t>58</a:t>
          </a:r>
        </a:p>
        <a:p>
          <a:endParaRPr lang="es-CO"/>
        </a:p>
      </dgm:t>
    </dgm:pt>
    <dgm:pt modelId="{A53D6FFE-AB47-4DFB-A52C-C958F8A57056}" type="parTrans" cxnId="{366DAF9F-AA4D-48E7-9C5A-E6613F42F1CA}">
      <dgm:prSet/>
      <dgm:spPr/>
      <dgm:t>
        <a:bodyPr/>
        <a:lstStyle/>
        <a:p>
          <a:endParaRPr lang="es-CO"/>
        </a:p>
      </dgm:t>
    </dgm:pt>
    <dgm:pt modelId="{C4D9849C-EF34-43AE-BC4E-20275B688E69}" type="sibTrans" cxnId="{366DAF9F-AA4D-48E7-9C5A-E6613F42F1CA}">
      <dgm:prSet/>
      <dgm:spPr/>
      <dgm:t>
        <a:bodyPr/>
        <a:lstStyle/>
        <a:p>
          <a:endParaRPr lang="es-CO"/>
        </a:p>
      </dgm:t>
    </dgm:pt>
    <dgm:pt modelId="{100B9DBD-56E5-478A-9488-85E274EDE618}">
      <dgm:prSet/>
      <dgm:spPr/>
      <dgm:t>
        <a:bodyPr/>
        <a:lstStyle/>
        <a:p>
          <a:r>
            <a:rPr lang="es-CO">
              <a:solidFill>
                <a:schemeClr val="bg1"/>
              </a:solidFill>
            </a:rPr>
            <a:t>147</a:t>
          </a:r>
        </a:p>
      </dgm:t>
    </dgm:pt>
    <dgm:pt modelId="{A5BBCBE8-D54A-46C8-97BF-594269019072}" type="parTrans" cxnId="{C2B30EE3-6AFB-4314-B679-5957151B3E4D}">
      <dgm:prSet/>
      <dgm:spPr/>
      <dgm:t>
        <a:bodyPr/>
        <a:lstStyle/>
        <a:p>
          <a:endParaRPr lang="es-CO"/>
        </a:p>
      </dgm:t>
    </dgm:pt>
    <dgm:pt modelId="{F6EB5A2E-74F9-49D0-85F6-7ABF37CBC00F}" type="sibTrans" cxnId="{C2B30EE3-6AFB-4314-B679-5957151B3E4D}">
      <dgm:prSet/>
      <dgm:spPr/>
      <dgm:t>
        <a:bodyPr/>
        <a:lstStyle/>
        <a:p>
          <a:endParaRPr lang="es-CO"/>
        </a:p>
      </dgm:t>
    </dgm:pt>
    <dgm:pt modelId="{E5AFC336-EAA3-4A4F-A0D6-71A40E6708BF}" type="pres">
      <dgm:prSet presAssocID="{F55383BB-D657-46CD-AE8D-BFC48AC42F57}" presName="Name0" presStyleCnt="0">
        <dgm:presLayoutVars>
          <dgm:dir/>
          <dgm:animLvl val="lvl"/>
          <dgm:resizeHandles val="exact"/>
        </dgm:presLayoutVars>
      </dgm:prSet>
      <dgm:spPr/>
    </dgm:pt>
    <dgm:pt modelId="{F857AEDC-C79F-4AB3-B787-2BD6726048AF}" type="pres">
      <dgm:prSet presAssocID="{D97249ED-C7BE-4FD3-93CC-9F4C9A0468C7}" presName="Name8" presStyleCnt="0"/>
      <dgm:spPr/>
    </dgm:pt>
    <dgm:pt modelId="{16B3940B-629E-40A6-B7A7-3727B9A3F425}" type="pres">
      <dgm:prSet presAssocID="{D97249ED-C7BE-4FD3-93CC-9F4C9A0468C7}" presName="level" presStyleLbl="node1" presStyleIdx="0" presStyleCnt="4">
        <dgm:presLayoutVars>
          <dgm:chMax val="1"/>
          <dgm:bulletEnabled val="1"/>
        </dgm:presLayoutVars>
      </dgm:prSet>
      <dgm:spPr/>
    </dgm:pt>
    <dgm:pt modelId="{C2B0F1CC-685A-4A79-A47C-0A27E778D9A5}" type="pres">
      <dgm:prSet presAssocID="{D97249ED-C7BE-4FD3-93CC-9F4C9A0468C7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B082FF63-AF88-4E69-8913-4306CE5A9834}" type="pres">
      <dgm:prSet presAssocID="{100B9DBD-56E5-478A-9488-85E274EDE618}" presName="Name8" presStyleCnt="0"/>
      <dgm:spPr/>
    </dgm:pt>
    <dgm:pt modelId="{A6881247-4847-437F-A320-C67FDE8C54EA}" type="pres">
      <dgm:prSet presAssocID="{100B9DBD-56E5-478A-9488-85E274EDE618}" presName="level" presStyleLbl="node1" presStyleIdx="1" presStyleCnt="4">
        <dgm:presLayoutVars>
          <dgm:chMax val="1"/>
          <dgm:bulletEnabled val="1"/>
        </dgm:presLayoutVars>
      </dgm:prSet>
      <dgm:spPr/>
    </dgm:pt>
    <dgm:pt modelId="{147045D1-0B19-4313-B01D-8396AC3B6DEA}" type="pres">
      <dgm:prSet presAssocID="{100B9DBD-56E5-478A-9488-85E274EDE61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2D9C4A0-BBA9-49C1-ABE2-5F96106C183F}" type="pres">
      <dgm:prSet presAssocID="{E07B827A-A5DC-4C41-8F57-68C551553D06}" presName="Name8" presStyleCnt="0"/>
      <dgm:spPr/>
    </dgm:pt>
    <dgm:pt modelId="{D8F5F74D-8AC6-4AE9-B1AE-E4539E8D8CD9}" type="pres">
      <dgm:prSet presAssocID="{E07B827A-A5DC-4C41-8F57-68C551553D06}" presName="level" presStyleLbl="node1" presStyleIdx="2" presStyleCnt="4">
        <dgm:presLayoutVars>
          <dgm:chMax val="1"/>
          <dgm:bulletEnabled val="1"/>
        </dgm:presLayoutVars>
      </dgm:prSet>
      <dgm:spPr/>
    </dgm:pt>
    <dgm:pt modelId="{AA2347AF-127B-4996-B446-97D023E775AE}" type="pres">
      <dgm:prSet presAssocID="{E07B827A-A5DC-4C41-8F57-68C551553D06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649C418-931C-49C5-A017-9AF1B133BD67}" type="pres">
      <dgm:prSet presAssocID="{4137A5BD-2255-4367-9E79-504F8FB45289}" presName="Name8" presStyleCnt="0"/>
      <dgm:spPr/>
    </dgm:pt>
    <dgm:pt modelId="{2A09B3D3-0C42-442E-89C4-DD8DB745F4CE}" type="pres">
      <dgm:prSet presAssocID="{4137A5BD-2255-4367-9E79-504F8FB45289}" presName="level" presStyleLbl="node1" presStyleIdx="3" presStyleCnt="4">
        <dgm:presLayoutVars>
          <dgm:chMax val="1"/>
          <dgm:bulletEnabled val="1"/>
        </dgm:presLayoutVars>
      </dgm:prSet>
      <dgm:spPr/>
    </dgm:pt>
    <dgm:pt modelId="{5676EC12-C480-4E56-9FE3-4E5DD5C5F273}" type="pres">
      <dgm:prSet presAssocID="{4137A5BD-2255-4367-9E79-504F8FB45289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7957CB33-0B61-436E-BEB3-F054288DED24}" srcId="{F55383BB-D657-46CD-AE8D-BFC48AC42F57}" destId="{D97249ED-C7BE-4FD3-93CC-9F4C9A0468C7}" srcOrd="0" destOrd="0" parTransId="{0B15DAC8-265E-4C42-A1B8-B252D4B586DD}" sibTransId="{FA6940C5-F15E-4CED-A9C2-CAE8B456AD6E}"/>
    <dgm:cxn modelId="{CD4DCC37-BC8A-44B9-8748-5FE059DF55FE}" type="presOf" srcId="{4137A5BD-2255-4367-9E79-504F8FB45289}" destId="{2A09B3D3-0C42-442E-89C4-DD8DB745F4CE}" srcOrd="0" destOrd="0" presId="urn:microsoft.com/office/officeart/2005/8/layout/pyramid3"/>
    <dgm:cxn modelId="{EE7D295D-F628-4C92-91F8-5A3F0C4B9703}" type="presOf" srcId="{100B9DBD-56E5-478A-9488-85E274EDE618}" destId="{A6881247-4847-437F-A320-C67FDE8C54EA}" srcOrd="0" destOrd="0" presId="urn:microsoft.com/office/officeart/2005/8/layout/pyramid3"/>
    <dgm:cxn modelId="{4B275567-88AA-4555-8506-252EFD01F1CA}" type="presOf" srcId="{4137A5BD-2255-4367-9E79-504F8FB45289}" destId="{5676EC12-C480-4E56-9FE3-4E5DD5C5F273}" srcOrd="1" destOrd="0" presId="urn:microsoft.com/office/officeart/2005/8/layout/pyramid3"/>
    <dgm:cxn modelId="{2D691F77-4BA5-4A87-9079-6E8D039854B5}" type="presOf" srcId="{E07B827A-A5DC-4C41-8F57-68C551553D06}" destId="{AA2347AF-127B-4996-B446-97D023E775AE}" srcOrd="1" destOrd="0" presId="urn:microsoft.com/office/officeart/2005/8/layout/pyramid3"/>
    <dgm:cxn modelId="{A3A59F57-1442-424F-938E-D89C1DC4D533}" srcId="{F55383BB-D657-46CD-AE8D-BFC48AC42F57}" destId="{E07B827A-A5DC-4C41-8F57-68C551553D06}" srcOrd="2" destOrd="0" parTransId="{7A059D46-E601-40E9-B2CD-6CA7589988C1}" sibTransId="{C4A12907-2051-4258-8559-AE376A419793}"/>
    <dgm:cxn modelId="{95057B79-F4E4-48BC-BAD7-04D2547D77FC}" type="presOf" srcId="{D97249ED-C7BE-4FD3-93CC-9F4C9A0468C7}" destId="{16B3940B-629E-40A6-B7A7-3727B9A3F425}" srcOrd="0" destOrd="0" presId="urn:microsoft.com/office/officeart/2005/8/layout/pyramid3"/>
    <dgm:cxn modelId="{A9397E79-8101-4F29-873B-EBF9E2D4BA5D}" type="presOf" srcId="{F55383BB-D657-46CD-AE8D-BFC48AC42F57}" destId="{E5AFC336-EAA3-4A4F-A0D6-71A40E6708BF}" srcOrd="0" destOrd="0" presId="urn:microsoft.com/office/officeart/2005/8/layout/pyramid3"/>
    <dgm:cxn modelId="{C312C07B-7DB5-4738-A159-D9A65CAFCC10}" type="presOf" srcId="{E07B827A-A5DC-4C41-8F57-68C551553D06}" destId="{D8F5F74D-8AC6-4AE9-B1AE-E4539E8D8CD9}" srcOrd="0" destOrd="0" presId="urn:microsoft.com/office/officeart/2005/8/layout/pyramid3"/>
    <dgm:cxn modelId="{366DAF9F-AA4D-48E7-9C5A-E6613F42F1CA}" srcId="{F55383BB-D657-46CD-AE8D-BFC48AC42F57}" destId="{4137A5BD-2255-4367-9E79-504F8FB45289}" srcOrd="3" destOrd="0" parTransId="{A53D6FFE-AB47-4DFB-A52C-C958F8A57056}" sibTransId="{C4D9849C-EF34-43AE-BC4E-20275B688E69}"/>
    <dgm:cxn modelId="{F27211A8-6E01-43CE-B9E8-1D8E1101A06C}" type="presOf" srcId="{100B9DBD-56E5-478A-9488-85E274EDE618}" destId="{147045D1-0B19-4313-B01D-8396AC3B6DEA}" srcOrd="1" destOrd="0" presId="urn:microsoft.com/office/officeart/2005/8/layout/pyramid3"/>
    <dgm:cxn modelId="{6A1D12BD-2CE1-483A-B744-72EA762EC64F}" type="presOf" srcId="{D97249ED-C7BE-4FD3-93CC-9F4C9A0468C7}" destId="{C2B0F1CC-685A-4A79-A47C-0A27E778D9A5}" srcOrd="1" destOrd="0" presId="urn:microsoft.com/office/officeart/2005/8/layout/pyramid3"/>
    <dgm:cxn modelId="{C2B30EE3-6AFB-4314-B679-5957151B3E4D}" srcId="{F55383BB-D657-46CD-AE8D-BFC48AC42F57}" destId="{100B9DBD-56E5-478A-9488-85E274EDE618}" srcOrd="1" destOrd="0" parTransId="{A5BBCBE8-D54A-46C8-97BF-594269019072}" sibTransId="{F6EB5A2E-74F9-49D0-85F6-7ABF37CBC00F}"/>
    <dgm:cxn modelId="{CC3F4804-3915-4ABC-A33D-A55AF862A92A}" type="presParOf" srcId="{E5AFC336-EAA3-4A4F-A0D6-71A40E6708BF}" destId="{F857AEDC-C79F-4AB3-B787-2BD6726048AF}" srcOrd="0" destOrd="0" presId="urn:microsoft.com/office/officeart/2005/8/layout/pyramid3"/>
    <dgm:cxn modelId="{979A4209-FC9B-48A9-BBF4-4E42897A7624}" type="presParOf" srcId="{F857AEDC-C79F-4AB3-B787-2BD6726048AF}" destId="{16B3940B-629E-40A6-B7A7-3727B9A3F425}" srcOrd="0" destOrd="0" presId="urn:microsoft.com/office/officeart/2005/8/layout/pyramid3"/>
    <dgm:cxn modelId="{74F5EFD5-160B-4691-9CED-57EECC5E1D75}" type="presParOf" srcId="{F857AEDC-C79F-4AB3-B787-2BD6726048AF}" destId="{C2B0F1CC-685A-4A79-A47C-0A27E778D9A5}" srcOrd="1" destOrd="0" presId="urn:microsoft.com/office/officeart/2005/8/layout/pyramid3"/>
    <dgm:cxn modelId="{5EC1D0C9-BB38-4B7C-A90D-70665D9B0B2B}" type="presParOf" srcId="{E5AFC336-EAA3-4A4F-A0D6-71A40E6708BF}" destId="{B082FF63-AF88-4E69-8913-4306CE5A9834}" srcOrd="1" destOrd="0" presId="urn:microsoft.com/office/officeart/2005/8/layout/pyramid3"/>
    <dgm:cxn modelId="{182E8E7B-BDCA-44E5-99D4-2EA5762F876F}" type="presParOf" srcId="{B082FF63-AF88-4E69-8913-4306CE5A9834}" destId="{A6881247-4847-437F-A320-C67FDE8C54EA}" srcOrd="0" destOrd="0" presId="urn:microsoft.com/office/officeart/2005/8/layout/pyramid3"/>
    <dgm:cxn modelId="{FD05ABF5-6E74-465D-8BC7-BB0DB0AB797F}" type="presParOf" srcId="{B082FF63-AF88-4E69-8913-4306CE5A9834}" destId="{147045D1-0B19-4313-B01D-8396AC3B6DEA}" srcOrd="1" destOrd="0" presId="urn:microsoft.com/office/officeart/2005/8/layout/pyramid3"/>
    <dgm:cxn modelId="{C188041A-FDAE-4F7E-AB62-0FA016653D0C}" type="presParOf" srcId="{E5AFC336-EAA3-4A4F-A0D6-71A40E6708BF}" destId="{92D9C4A0-BBA9-49C1-ABE2-5F96106C183F}" srcOrd="2" destOrd="0" presId="urn:microsoft.com/office/officeart/2005/8/layout/pyramid3"/>
    <dgm:cxn modelId="{E59ADB7F-C3CC-4D57-87B0-6FD2540DD747}" type="presParOf" srcId="{92D9C4A0-BBA9-49C1-ABE2-5F96106C183F}" destId="{D8F5F74D-8AC6-4AE9-B1AE-E4539E8D8CD9}" srcOrd="0" destOrd="0" presId="urn:microsoft.com/office/officeart/2005/8/layout/pyramid3"/>
    <dgm:cxn modelId="{9CB2876C-3630-4E32-B345-CD753D30D8C6}" type="presParOf" srcId="{92D9C4A0-BBA9-49C1-ABE2-5F96106C183F}" destId="{AA2347AF-127B-4996-B446-97D023E775AE}" srcOrd="1" destOrd="0" presId="urn:microsoft.com/office/officeart/2005/8/layout/pyramid3"/>
    <dgm:cxn modelId="{16C63AFA-AF7C-4A93-A567-C320EC900603}" type="presParOf" srcId="{E5AFC336-EAA3-4A4F-A0D6-71A40E6708BF}" destId="{C649C418-931C-49C5-A017-9AF1B133BD67}" srcOrd="3" destOrd="0" presId="urn:microsoft.com/office/officeart/2005/8/layout/pyramid3"/>
    <dgm:cxn modelId="{6454BC34-13D9-4EFD-B98C-01804C63675B}" type="presParOf" srcId="{C649C418-931C-49C5-A017-9AF1B133BD67}" destId="{2A09B3D3-0C42-442E-89C4-DD8DB745F4CE}" srcOrd="0" destOrd="0" presId="urn:microsoft.com/office/officeart/2005/8/layout/pyramid3"/>
    <dgm:cxn modelId="{E76E6210-DFA3-4421-A039-A825FD18CE7E}" type="presParOf" srcId="{C649C418-931C-49C5-A017-9AF1B133BD67}" destId="{5676EC12-C480-4E56-9FE3-4E5DD5C5F273}" srcOrd="1" destOrd="0" presId="urn:microsoft.com/office/officeart/2005/8/layout/pyramid3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6B3940B-629E-40A6-B7A7-3727B9A3F425}">
      <dsp:nvSpPr>
        <dsp:cNvPr id="0" name=""/>
        <dsp:cNvSpPr/>
      </dsp:nvSpPr>
      <dsp:spPr>
        <a:xfrm rot="10800000">
          <a:off x="0" y="0"/>
          <a:ext cx="3429000" cy="684212"/>
        </a:xfrm>
        <a:prstGeom prst="trapezoid">
          <a:avLst>
            <a:gd name="adj" fmla="val 62645"/>
          </a:avLst>
        </a:prstGeom>
        <a:solidFill>
          <a:schemeClr val="accen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634</a:t>
          </a:r>
        </a:p>
      </dsp:txBody>
      <dsp:txXfrm rot="-10800000">
        <a:off x="600074" y="0"/>
        <a:ext cx="2228850" cy="684212"/>
      </dsp:txXfrm>
    </dsp:sp>
    <dsp:sp modelId="{A6881247-4847-437F-A320-C67FDE8C54EA}">
      <dsp:nvSpPr>
        <dsp:cNvPr id="0" name=""/>
        <dsp:cNvSpPr/>
      </dsp:nvSpPr>
      <dsp:spPr>
        <a:xfrm rot="10800000">
          <a:off x="428625" y="684212"/>
          <a:ext cx="2571750" cy="684212"/>
        </a:xfrm>
        <a:prstGeom prst="trapezoid">
          <a:avLst>
            <a:gd name="adj" fmla="val 62645"/>
          </a:avLst>
        </a:prstGeom>
        <a:solidFill>
          <a:schemeClr val="accent1">
            <a:alpha val="90000"/>
            <a:hueOff val="0"/>
            <a:satOff val="0"/>
            <a:lumOff val="0"/>
            <a:alphaOff val="-13333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164</a:t>
          </a:r>
        </a:p>
      </dsp:txBody>
      <dsp:txXfrm rot="-10800000">
        <a:off x="878681" y="684212"/>
        <a:ext cx="1671637" cy="684212"/>
      </dsp:txXfrm>
    </dsp:sp>
    <dsp:sp modelId="{D8F5F74D-8AC6-4AE9-B1AE-E4539E8D8CD9}">
      <dsp:nvSpPr>
        <dsp:cNvPr id="0" name=""/>
        <dsp:cNvSpPr/>
      </dsp:nvSpPr>
      <dsp:spPr>
        <a:xfrm rot="10800000">
          <a:off x="857250" y="1368425"/>
          <a:ext cx="1714500" cy="684212"/>
        </a:xfrm>
        <a:prstGeom prst="trapezoid">
          <a:avLst>
            <a:gd name="adj" fmla="val 62645"/>
          </a:avLst>
        </a:prstGeom>
        <a:solidFill>
          <a:schemeClr val="accent1">
            <a:alpha val="90000"/>
            <a:hueOff val="0"/>
            <a:satOff val="0"/>
            <a:lumOff val="0"/>
            <a:alphaOff val="-26667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184</a:t>
          </a:r>
        </a:p>
      </dsp:txBody>
      <dsp:txXfrm rot="-10800000">
        <a:off x="1157287" y="1368425"/>
        <a:ext cx="1114425" cy="684212"/>
      </dsp:txXfrm>
    </dsp:sp>
    <dsp:sp modelId="{2A09B3D3-0C42-442E-89C4-DD8DB745F4CE}">
      <dsp:nvSpPr>
        <dsp:cNvPr id="0" name=""/>
        <dsp:cNvSpPr/>
      </dsp:nvSpPr>
      <dsp:spPr>
        <a:xfrm rot="10800000">
          <a:off x="1285875" y="2052637"/>
          <a:ext cx="857250" cy="684212"/>
        </a:xfrm>
        <a:prstGeom prst="trapezoid">
          <a:avLst>
            <a:gd name="adj" fmla="val 62645"/>
          </a:avLst>
        </a:prstGeom>
        <a:solidFill>
          <a:schemeClr val="accent1">
            <a:alpha val="90000"/>
            <a:hueOff val="0"/>
            <a:satOff val="0"/>
            <a:lumOff val="0"/>
            <a:alphaOff val="-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116</a:t>
          </a:r>
        </a:p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1900" kern="1200"/>
        </a:p>
      </dsp:txBody>
      <dsp:txXfrm rot="-10800000">
        <a:off x="1285875" y="2052637"/>
        <a:ext cx="857250" cy="68421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6B3940B-629E-40A6-B7A7-3727B9A3F425}">
      <dsp:nvSpPr>
        <dsp:cNvPr id="0" name=""/>
        <dsp:cNvSpPr/>
      </dsp:nvSpPr>
      <dsp:spPr>
        <a:xfrm rot="10800000">
          <a:off x="0" y="0"/>
          <a:ext cx="3429000" cy="677333"/>
        </a:xfrm>
        <a:prstGeom prst="trapezoid">
          <a:avLst>
            <a:gd name="adj" fmla="val 84375"/>
          </a:avLst>
        </a:prstGeom>
        <a:solidFill>
          <a:schemeClr val="accent2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800" kern="1200">
              <a:solidFill>
                <a:schemeClr val="bg1"/>
              </a:solidFill>
            </a:rPr>
            <a:t>116</a:t>
          </a:r>
        </a:p>
      </dsp:txBody>
      <dsp:txXfrm rot="-10800000">
        <a:off x="600074" y="0"/>
        <a:ext cx="2228850" cy="677333"/>
      </dsp:txXfrm>
    </dsp:sp>
    <dsp:sp modelId="{D8F5F74D-8AC6-4AE9-B1AE-E4539E8D8CD9}">
      <dsp:nvSpPr>
        <dsp:cNvPr id="0" name=""/>
        <dsp:cNvSpPr/>
      </dsp:nvSpPr>
      <dsp:spPr>
        <a:xfrm rot="10800000">
          <a:off x="571499" y="677333"/>
          <a:ext cx="2286000" cy="677333"/>
        </a:xfrm>
        <a:prstGeom prst="trapezoid">
          <a:avLst>
            <a:gd name="adj" fmla="val 84375"/>
          </a:avLst>
        </a:prstGeom>
        <a:solidFill>
          <a:schemeClr val="accent2">
            <a:alpha val="90000"/>
            <a:hueOff val="0"/>
            <a:satOff val="0"/>
            <a:lumOff val="0"/>
            <a:alphaOff val="-2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800" kern="1200">
              <a:solidFill>
                <a:schemeClr val="bg1"/>
              </a:solidFill>
            </a:rPr>
            <a:t>20</a:t>
          </a:r>
        </a:p>
      </dsp:txBody>
      <dsp:txXfrm rot="-10800000">
        <a:off x="971549" y="677333"/>
        <a:ext cx="1485900" cy="677333"/>
      </dsp:txXfrm>
    </dsp:sp>
    <dsp:sp modelId="{2A09B3D3-0C42-442E-89C4-DD8DB745F4CE}">
      <dsp:nvSpPr>
        <dsp:cNvPr id="0" name=""/>
        <dsp:cNvSpPr/>
      </dsp:nvSpPr>
      <dsp:spPr>
        <a:xfrm rot="10800000">
          <a:off x="1143000" y="1354666"/>
          <a:ext cx="1143000" cy="677333"/>
        </a:xfrm>
        <a:prstGeom prst="trapezoid">
          <a:avLst>
            <a:gd name="adj" fmla="val 84375"/>
          </a:avLst>
        </a:prstGeom>
        <a:solidFill>
          <a:schemeClr val="accent2">
            <a:alpha val="90000"/>
            <a:hueOff val="0"/>
            <a:satOff val="0"/>
            <a:lumOff val="0"/>
            <a:alphaOff val="-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800" kern="1200">
              <a:solidFill>
                <a:schemeClr val="bg1"/>
              </a:solidFill>
            </a:rPr>
            <a:t>15</a:t>
          </a:r>
        </a:p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1800" kern="1200"/>
        </a:p>
      </dsp:txBody>
      <dsp:txXfrm rot="-10800000">
        <a:off x="1143000" y="1354666"/>
        <a:ext cx="1143000" cy="677333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6B3940B-629E-40A6-B7A7-3727B9A3F425}">
      <dsp:nvSpPr>
        <dsp:cNvPr id="0" name=""/>
        <dsp:cNvSpPr/>
      </dsp:nvSpPr>
      <dsp:spPr>
        <a:xfrm rot="10800000">
          <a:off x="0" y="0"/>
          <a:ext cx="3429000" cy="684212"/>
        </a:xfrm>
        <a:prstGeom prst="trapezoid">
          <a:avLst>
            <a:gd name="adj" fmla="val 62645"/>
          </a:avLst>
        </a:prstGeom>
        <a:solidFill>
          <a:schemeClr val="accent3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199</a:t>
          </a:r>
        </a:p>
      </dsp:txBody>
      <dsp:txXfrm rot="-10800000">
        <a:off x="600074" y="0"/>
        <a:ext cx="2228850" cy="684212"/>
      </dsp:txXfrm>
    </dsp:sp>
    <dsp:sp modelId="{A6881247-4847-437F-A320-C67FDE8C54EA}">
      <dsp:nvSpPr>
        <dsp:cNvPr id="0" name=""/>
        <dsp:cNvSpPr/>
      </dsp:nvSpPr>
      <dsp:spPr>
        <a:xfrm rot="10800000">
          <a:off x="428625" y="684212"/>
          <a:ext cx="2571750" cy="684212"/>
        </a:xfrm>
        <a:prstGeom prst="trapezoid">
          <a:avLst>
            <a:gd name="adj" fmla="val 62645"/>
          </a:avLst>
        </a:prstGeom>
        <a:solidFill>
          <a:schemeClr val="accent3">
            <a:alpha val="90000"/>
            <a:hueOff val="0"/>
            <a:satOff val="0"/>
            <a:lumOff val="0"/>
            <a:alphaOff val="-13333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17</a:t>
          </a:r>
        </a:p>
      </dsp:txBody>
      <dsp:txXfrm rot="-10800000">
        <a:off x="878681" y="684212"/>
        <a:ext cx="1671637" cy="684212"/>
      </dsp:txXfrm>
    </dsp:sp>
    <dsp:sp modelId="{D8F5F74D-8AC6-4AE9-B1AE-E4539E8D8CD9}">
      <dsp:nvSpPr>
        <dsp:cNvPr id="0" name=""/>
        <dsp:cNvSpPr/>
      </dsp:nvSpPr>
      <dsp:spPr>
        <a:xfrm rot="10800000">
          <a:off x="857250" y="1368425"/>
          <a:ext cx="1714500" cy="684212"/>
        </a:xfrm>
        <a:prstGeom prst="trapezoid">
          <a:avLst>
            <a:gd name="adj" fmla="val 62645"/>
          </a:avLst>
        </a:prstGeom>
        <a:solidFill>
          <a:schemeClr val="accent3">
            <a:alpha val="90000"/>
            <a:hueOff val="0"/>
            <a:satOff val="0"/>
            <a:lumOff val="0"/>
            <a:alphaOff val="-26667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61</a:t>
          </a:r>
        </a:p>
      </dsp:txBody>
      <dsp:txXfrm rot="-10800000">
        <a:off x="1157287" y="1368425"/>
        <a:ext cx="1114425" cy="684212"/>
      </dsp:txXfrm>
    </dsp:sp>
    <dsp:sp modelId="{2A09B3D3-0C42-442E-89C4-DD8DB745F4CE}">
      <dsp:nvSpPr>
        <dsp:cNvPr id="0" name=""/>
        <dsp:cNvSpPr/>
      </dsp:nvSpPr>
      <dsp:spPr>
        <a:xfrm rot="10800000">
          <a:off x="1285875" y="2052637"/>
          <a:ext cx="857250" cy="684212"/>
        </a:xfrm>
        <a:prstGeom prst="trapezoid">
          <a:avLst>
            <a:gd name="adj" fmla="val 62645"/>
          </a:avLst>
        </a:prstGeom>
        <a:solidFill>
          <a:schemeClr val="accent3">
            <a:alpha val="90000"/>
            <a:hueOff val="0"/>
            <a:satOff val="0"/>
            <a:lumOff val="0"/>
            <a:alphaOff val="-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43</a:t>
          </a:r>
        </a:p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1900" kern="1200"/>
        </a:p>
      </dsp:txBody>
      <dsp:txXfrm rot="-10800000">
        <a:off x="1285875" y="2052637"/>
        <a:ext cx="857250" cy="684212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6B3940B-629E-40A6-B7A7-3727B9A3F425}">
      <dsp:nvSpPr>
        <dsp:cNvPr id="0" name=""/>
        <dsp:cNvSpPr/>
      </dsp:nvSpPr>
      <dsp:spPr>
        <a:xfrm rot="10800000">
          <a:off x="0" y="0"/>
          <a:ext cx="3429000" cy="684212"/>
        </a:xfrm>
        <a:prstGeom prst="trapezoid">
          <a:avLst>
            <a:gd name="adj" fmla="val 62645"/>
          </a:avLst>
        </a:prstGeom>
        <a:solidFill>
          <a:schemeClr val="accent4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319</a:t>
          </a:r>
        </a:p>
      </dsp:txBody>
      <dsp:txXfrm rot="-10800000">
        <a:off x="600074" y="0"/>
        <a:ext cx="2228850" cy="684212"/>
      </dsp:txXfrm>
    </dsp:sp>
    <dsp:sp modelId="{A6881247-4847-437F-A320-C67FDE8C54EA}">
      <dsp:nvSpPr>
        <dsp:cNvPr id="0" name=""/>
        <dsp:cNvSpPr/>
      </dsp:nvSpPr>
      <dsp:spPr>
        <a:xfrm rot="10800000">
          <a:off x="428625" y="684212"/>
          <a:ext cx="2571750" cy="684212"/>
        </a:xfrm>
        <a:prstGeom prst="trapezoid">
          <a:avLst>
            <a:gd name="adj" fmla="val 62645"/>
          </a:avLst>
        </a:prstGeom>
        <a:solidFill>
          <a:schemeClr val="accent4">
            <a:alpha val="90000"/>
            <a:hueOff val="0"/>
            <a:satOff val="0"/>
            <a:lumOff val="0"/>
            <a:alphaOff val="-13333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147</a:t>
          </a:r>
        </a:p>
      </dsp:txBody>
      <dsp:txXfrm rot="-10800000">
        <a:off x="878681" y="684212"/>
        <a:ext cx="1671637" cy="684212"/>
      </dsp:txXfrm>
    </dsp:sp>
    <dsp:sp modelId="{D8F5F74D-8AC6-4AE9-B1AE-E4539E8D8CD9}">
      <dsp:nvSpPr>
        <dsp:cNvPr id="0" name=""/>
        <dsp:cNvSpPr/>
      </dsp:nvSpPr>
      <dsp:spPr>
        <a:xfrm rot="10800000">
          <a:off x="857250" y="1368425"/>
          <a:ext cx="1714500" cy="684212"/>
        </a:xfrm>
        <a:prstGeom prst="trapezoid">
          <a:avLst>
            <a:gd name="adj" fmla="val 62645"/>
          </a:avLst>
        </a:prstGeom>
        <a:solidFill>
          <a:schemeClr val="accent4">
            <a:alpha val="90000"/>
            <a:hueOff val="0"/>
            <a:satOff val="0"/>
            <a:lumOff val="0"/>
            <a:alphaOff val="-26667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103</a:t>
          </a:r>
        </a:p>
      </dsp:txBody>
      <dsp:txXfrm rot="-10800000">
        <a:off x="1157287" y="1368425"/>
        <a:ext cx="1114425" cy="684212"/>
      </dsp:txXfrm>
    </dsp:sp>
    <dsp:sp modelId="{2A09B3D3-0C42-442E-89C4-DD8DB745F4CE}">
      <dsp:nvSpPr>
        <dsp:cNvPr id="0" name=""/>
        <dsp:cNvSpPr/>
      </dsp:nvSpPr>
      <dsp:spPr>
        <a:xfrm rot="10800000">
          <a:off x="1285875" y="2052637"/>
          <a:ext cx="857250" cy="684212"/>
        </a:xfrm>
        <a:prstGeom prst="trapezoid">
          <a:avLst>
            <a:gd name="adj" fmla="val 62645"/>
          </a:avLst>
        </a:prstGeom>
        <a:solidFill>
          <a:schemeClr val="accent4">
            <a:alpha val="90000"/>
            <a:hueOff val="0"/>
            <a:satOff val="0"/>
            <a:lumOff val="0"/>
            <a:alphaOff val="-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4130" tIns="24130" rIns="24130" bIns="2413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900" kern="1200">
              <a:solidFill>
                <a:schemeClr val="bg1"/>
              </a:solidFill>
            </a:rPr>
            <a:t>58</a:t>
          </a:r>
        </a:p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1900" kern="1200"/>
        </a:p>
      </dsp:txBody>
      <dsp:txXfrm rot="-10800000">
        <a:off x="1285875" y="2052637"/>
        <a:ext cx="857250" cy="68421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3">
  <dgm:title val=""/>
  <dgm:desc val=""/>
  <dgm:catLst>
    <dgm:cat type="pyramid" pri="2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T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T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rev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t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yramid3">
  <dgm:title val=""/>
  <dgm:desc val=""/>
  <dgm:catLst>
    <dgm:cat type="pyramid" pri="2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T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T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rev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t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pyramid3">
  <dgm:title val=""/>
  <dgm:desc val=""/>
  <dgm:catLst>
    <dgm:cat type="pyramid" pri="2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T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T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rev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t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pyramid3">
  <dgm:title val=""/>
  <dgm:desc val=""/>
  <dgm:catLst>
    <dgm:cat type="pyramid" pri="2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T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T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rev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t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diagramQuickStyle" Target="../diagrams/quickStyle4.xml"/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16" Type="http://schemas.openxmlformats.org/officeDocument/2006/relationships/diagramData" Target="../diagrams/data4.xml"/><Relationship Id="rId2" Type="http://schemas.openxmlformats.org/officeDocument/2006/relationships/diagramLayout" Target="../diagrams/layout1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9" Type="http://schemas.openxmlformats.org/officeDocument/2006/relationships/diagramColors" Target="../diagrams/colors4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19050</xdr:rowOff>
    </xdr:from>
    <xdr:to>
      <xdr:col>5</xdr:col>
      <xdr:colOff>127000</xdr:colOff>
      <xdr:row>11</xdr:row>
      <xdr:rowOff>171450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4297A119-91BF-5443-2859-716C3A7C1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19050</xdr:colOff>
      <xdr:row>16</xdr:row>
      <xdr:rowOff>19050</xdr:rowOff>
    </xdr:from>
    <xdr:to>
      <xdr:col>5</xdr:col>
      <xdr:colOff>127000</xdr:colOff>
      <xdr:row>24</xdr:row>
      <xdr:rowOff>171450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F633C89A-9386-43D2-AB33-9D76A6FFC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</xdr:col>
      <xdr:colOff>19050</xdr:colOff>
      <xdr:row>29</xdr:row>
      <xdr:rowOff>19050</xdr:rowOff>
    </xdr:from>
    <xdr:to>
      <xdr:col>5</xdr:col>
      <xdr:colOff>127000</xdr:colOff>
      <xdr:row>40</xdr:row>
      <xdr:rowOff>171450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45C28CF2-1490-40A6-9EC0-38727D6DE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1</xdr:col>
      <xdr:colOff>19050</xdr:colOff>
      <xdr:row>45</xdr:row>
      <xdr:rowOff>19050</xdr:rowOff>
    </xdr:from>
    <xdr:to>
      <xdr:col>5</xdr:col>
      <xdr:colOff>127000</xdr:colOff>
      <xdr:row>56</xdr:row>
      <xdr:rowOff>171450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A5EB9266-F22A-40EC-A969-F7D6D5723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1D13-0ED2-4ABE-A086-5057B159113C}">
  <dimension ref="B1:T189"/>
  <sheetViews>
    <sheetView tabSelected="1" topLeftCell="H1" workbookViewId="0">
      <pane ySplit="1" topLeftCell="A2" activePane="bottomLeft" state="frozen"/>
      <selection pane="bottomLeft" activeCell="D144" sqref="D144"/>
    </sheetView>
  </sheetViews>
  <sheetFormatPr defaultColWidth="10.85546875" defaultRowHeight="14.45"/>
  <cols>
    <col min="1" max="1" width="3.28515625" style="31" customWidth="1"/>
    <col min="2" max="2" width="13.85546875" style="31" bestFit="1" customWidth="1"/>
    <col min="3" max="3" width="11.28515625" style="31" bestFit="1" customWidth="1"/>
    <col min="4" max="4" width="40.140625" style="31" bestFit="1" customWidth="1"/>
    <col min="5" max="5" width="14.42578125" style="31" bestFit="1" customWidth="1"/>
    <col min="6" max="6" width="28.7109375" style="31" bestFit="1" customWidth="1"/>
    <col min="7" max="7" width="17.42578125" style="52" bestFit="1" customWidth="1"/>
    <col min="8" max="8" width="15.140625" style="31" bestFit="1" customWidth="1"/>
    <col min="9" max="9" width="15.140625" style="31" customWidth="1"/>
    <col min="10" max="10" width="23.28515625" style="31" bestFit="1" customWidth="1"/>
    <col min="11" max="11" width="36" style="31" bestFit="1" customWidth="1"/>
    <col min="12" max="14" width="10.85546875" style="31"/>
    <col min="15" max="15" width="7.42578125" style="31" bestFit="1" customWidth="1"/>
    <col min="16" max="16" width="4.140625" style="31" bestFit="1" customWidth="1"/>
    <col min="17" max="17" width="5.140625" style="31" bestFit="1" customWidth="1"/>
    <col min="18" max="18" width="10.85546875" style="31"/>
    <col min="19" max="19" width="5.140625" style="31" bestFit="1" customWidth="1"/>
    <col min="20" max="20" width="4.140625" style="31" bestFit="1" customWidth="1"/>
    <col min="21" max="16384" width="10.85546875" style="31"/>
  </cols>
  <sheetData>
    <row r="1" spans="2:20" ht="45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8" t="s">
        <v>10</v>
      </c>
      <c r="M1" s="38" t="s">
        <v>11</v>
      </c>
      <c r="N1" s="38" t="s">
        <v>12</v>
      </c>
      <c r="O1" s="40">
        <f>AVERAGEIF(L2:L899,"&gt;0",L2:L899)</f>
        <v>161.2608695652174</v>
      </c>
      <c r="P1" s="40">
        <f>AVERAGEIF(M2:M899,"&gt;0",M2:M899)</f>
        <v>42.611111111111114</v>
      </c>
      <c r="Q1" s="40">
        <f>AVERAGEIF(N2:N899,"&gt;0",N2:N899)</f>
        <v>195.16666666666666</v>
      </c>
      <c r="S1" s="40">
        <f>AVERAGEIF(N2:N899,"&gt;0",L2:L899)</f>
        <v>152.55555555555554</v>
      </c>
      <c r="T1" s="40">
        <f>AVERAGEIF(N2:N899,"&gt;0",M2:M899)</f>
        <v>42.611111111111114</v>
      </c>
    </row>
    <row r="2" spans="2:20" customFormat="1" ht="18">
      <c r="B2" s="7" t="s">
        <v>13</v>
      </c>
      <c r="C2" s="11">
        <v>44939</v>
      </c>
      <c r="D2" s="3" t="s">
        <v>14</v>
      </c>
      <c r="E2" s="4" t="s">
        <v>15</v>
      </c>
      <c r="F2" s="53"/>
      <c r="G2" s="5" t="s">
        <v>16</v>
      </c>
      <c r="H2" s="11">
        <v>44949</v>
      </c>
      <c r="I2" s="11">
        <v>44972</v>
      </c>
      <c r="J2" s="53"/>
      <c r="K2" s="53"/>
      <c r="L2" s="40">
        <f t="shared" ref="L2" si="0">IF(H2&gt;0,H2-C2,0)</f>
        <v>10</v>
      </c>
      <c r="M2" s="40">
        <f t="shared" ref="M2" si="1">IF(I2&gt;0,I2-H2,0)</f>
        <v>23</v>
      </c>
      <c r="N2" s="40">
        <f t="shared" ref="N2" si="2">IF(I2&gt;0,I2-C2,0)</f>
        <v>33</v>
      </c>
      <c r="Q2" s="105"/>
    </row>
    <row r="3" spans="2:20" customFormat="1" ht="18">
      <c r="B3" s="7" t="s">
        <v>13</v>
      </c>
      <c r="C3" s="11">
        <v>44944</v>
      </c>
      <c r="D3" s="3" t="s">
        <v>17</v>
      </c>
      <c r="E3" s="4" t="s">
        <v>18</v>
      </c>
      <c r="F3" s="53"/>
      <c r="G3" s="5" t="s">
        <v>19</v>
      </c>
      <c r="H3" s="53"/>
      <c r="I3" s="53"/>
      <c r="J3" s="53"/>
      <c r="K3" s="53"/>
      <c r="L3" s="40">
        <f t="shared" ref="L3:L66" si="3">IF(H3&gt;0,H3-C3,0)</f>
        <v>0</v>
      </c>
      <c r="M3" s="40">
        <f t="shared" ref="M3:M66" si="4">IF(I3&gt;0,I3-H3,0)</f>
        <v>0</v>
      </c>
      <c r="N3" s="40">
        <f t="shared" ref="N3:N66" si="5">IF(I3&gt;0,I3-C3,0)</f>
        <v>0</v>
      </c>
      <c r="Q3" s="105"/>
    </row>
    <row r="4" spans="2:20" customFormat="1" ht="18.75">
      <c r="B4" s="7" t="s">
        <v>13</v>
      </c>
      <c r="C4" s="11">
        <v>44944</v>
      </c>
      <c r="D4" s="3" t="s">
        <v>20</v>
      </c>
      <c r="E4" s="4" t="s">
        <v>18</v>
      </c>
      <c r="F4" s="53"/>
      <c r="G4" s="5" t="s">
        <v>19</v>
      </c>
      <c r="H4" s="53"/>
      <c r="I4" s="53"/>
      <c r="J4" s="53"/>
      <c r="K4" s="53"/>
      <c r="L4" s="40">
        <f t="shared" si="3"/>
        <v>0</v>
      </c>
      <c r="M4" s="40">
        <f t="shared" si="4"/>
        <v>0</v>
      </c>
      <c r="N4" s="40">
        <f t="shared" si="5"/>
        <v>0</v>
      </c>
      <c r="Q4" s="105"/>
    </row>
    <row r="5" spans="2:20" customFormat="1" ht="18.75">
      <c r="B5" s="7" t="s">
        <v>13</v>
      </c>
      <c r="C5" s="11">
        <v>44944</v>
      </c>
      <c r="D5" s="3" t="s">
        <v>21</v>
      </c>
      <c r="E5" s="4" t="s">
        <v>18</v>
      </c>
      <c r="F5" s="53"/>
      <c r="G5" s="5" t="s">
        <v>16</v>
      </c>
      <c r="H5" s="11">
        <v>45216</v>
      </c>
      <c r="I5" s="11">
        <v>45306</v>
      </c>
      <c r="J5" s="53"/>
      <c r="K5" s="53"/>
      <c r="L5" s="40">
        <f t="shared" si="3"/>
        <v>272</v>
      </c>
      <c r="M5" s="40">
        <f t="shared" si="4"/>
        <v>90</v>
      </c>
      <c r="N5" s="40">
        <f t="shared" si="5"/>
        <v>362</v>
      </c>
      <c r="Q5" s="105"/>
    </row>
    <row r="6" spans="2:20" customFormat="1" ht="18.75">
      <c r="B6" s="7" t="s">
        <v>13</v>
      </c>
      <c r="C6" s="11">
        <v>44944</v>
      </c>
      <c r="D6" s="3" t="s">
        <v>22</v>
      </c>
      <c r="E6" s="4" t="s">
        <v>18</v>
      </c>
      <c r="F6" s="53"/>
      <c r="G6" s="5" t="s">
        <v>19</v>
      </c>
      <c r="H6" s="53"/>
      <c r="I6" s="53"/>
      <c r="J6" s="53"/>
      <c r="K6" s="53"/>
      <c r="L6" s="40">
        <f t="shared" si="3"/>
        <v>0</v>
      </c>
      <c r="M6" s="40">
        <f t="shared" si="4"/>
        <v>0</v>
      </c>
      <c r="N6" s="40">
        <f t="shared" si="5"/>
        <v>0</v>
      </c>
      <c r="Q6" s="105"/>
    </row>
    <row r="7" spans="2:20" customFormat="1" ht="18.75">
      <c r="B7" s="7" t="s">
        <v>13</v>
      </c>
      <c r="C7" s="11">
        <v>44953</v>
      </c>
      <c r="D7" s="3" t="s">
        <v>23</v>
      </c>
      <c r="E7" s="4" t="s">
        <v>18</v>
      </c>
      <c r="F7" s="53"/>
      <c r="G7" s="5" t="s">
        <v>19</v>
      </c>
      <c r="H7" s="53"/>
      <c r="I7" s="53"/>
      <c r="J7" s="53"/>
      <c r="K7" s="53"/>
      <c r="L7" s="40">
        <f t="shared" si="3"/>
        <v>0</v>
      </c>
      <c r="M7" s="40">
        <f t="shared" si="4"/>
        <v>0</v>
      </c>
      <c r="N7" s="40">
        <f t="shared" si="5"/>
        <v>0</v>
      </c>
      <c r="Q7" s="105"/>
    </row>
    <row r="8" spans="2:20" customFormat="1" ht="18.75">
      <c r="B8" s="7" t="s">
        <v>24</v>
      </c>
      <c r="C8" s="11">
        <v>44958</v>
      </c>
      <c r="D8" s="3" t="s">
        <v>25</v>
      </c>
      <c r="E8" s="4" t="s">
        <v>18</v>
      </c>
      <c r="F8" s="53"/>
      <c r="G8" s="5" t="s">
        <v>19</v>
      </c>
      <c r="H8" s="53"/>
      <c r="I8" s="53"/>
      <c r="J8" s="5" t="s">
        <v>26</v>
      </c>
      <c r="K8" s="53"/>
      <c r="L8" s="40">
        <f t="shared" si="3"/>
        <v>0</v>
      </c>
      <c r="M8" s="40">
        <f t="shared" si="4"/>
        <v>0</v>
      </c>
      <c r="N8" s="40">
        <f t="shared" si="5"/>
        <v>0</v>
      </c>
      <c r="Q8" s="105"/>
    </row>
    <row r="9" spans="2:20" customFormat="1" ht="18.75">
      <c r="B9" s="7" t="s">
        <v>24</v>
      </c>
      <c r="C9" s="11">
        <v>44958</v>
      </c>
      <c r="D9" s="3" t="s">
        <v>27</v>
      </c>
      <c r="E9" s="4" t="s">
        <v>18</v>
      </c>
      <c r="F9" s="53"/>
      <c r="G9" s="5" t="s">
        <v>19</v>
      </c>
      <c r="H9" s="53"/>
      <c r="I9" s="53"/>
      <c r="J9" s="53"/>
      <c r="K9" s="53"/>
      <c r="L9" s="40">
        <f t="shared" si="3"/>
        <v>0</v>
      </c>
      <c r="M9" s="40">
        <f t="shared" si="4"/>
        <v>0</v>
      </c>
      <c r="N9" s="40">
        <f t="shared" si="5"/>
        <v>0</v>
      </c>
      <c r="Q9" s="105"/>
    </row>
    <row r="10" spans="2:20" customFormat="1" ht="18.75">
      <c r="B10" s="7" t="s">
        <v>24</v>
      </c>
      <c r="C10" s="11">
        <v>44958</v>
      </c>
      <c r="D10" s="3" t="s">
        <v>28</v>
      </c>
      <c r="E10" s="4" t="s">
        <v>18</v>
      </c>
      <c r="F10" s="53"/>
      <c r="G10" s="5" t="s">
        <v>19</v>
      </c>
      <c r="H10" s="53"/>
      <c r="I10" s="53"/>
      <c r="J10" s="53"/>
      <c r="K10" s="53"/>
      <c r="L10" s="40">
        <f t="shared" si="3"/>
        <v>0</v>
      </c>
      <c r="M10" s="40">
        <f t="shared" si="4"/>
        <v>0</v>
      </c>
      <c r="N10" s="40">
        <f t="shared" si="5"/>
        <v>0</v>
      </c>
      <c r="Q10" s="105"/>
    </row>
    <row r="11" spans="2:20" customFormat="1" ht="18.75">
      <c r="B11" s="7" t="s">
        <v>24</v>
      </c>
      <c r="C11" s="11">
        <v>44968</v>
      </c>
      <c r="D11" s="3" t="s">
        <v>29</v>
      </c>
      <c r="E11" s="4" t="s">
        <v>15</v>
      </c>
      <c r="F11" s="53"/>
      <c r="G11" s="5" t="s">
        <v>16</v>
      </c>
      <c r="H11" s="11">
        <v>45222</v>
      </c>
      <c r="I11" s="11">
        <v>45306</v>
      </c>
      <c r="J11" s="53"/>
      <c r="K11" s="53"/>
      <c r="L11" s="40">
        <f t="shared" si="3"/>
        <v>254</v>
      </c>
      <c r="M11" s="40">
        <f t="shared" si="4"/>
        <v>84</v>
      </c>
      <c r="N11" s="40">
        <f t="shared" si="5"/>
        <v>338</v>
      </c>
      <c r="Q11" s="105"/>
    </row>
    <row r="12" spans="2:20" customFormat="1" ht="18.75">
      <c r="B12" s="7" t="s">
        <v>24</v>
      </c>
      <c r="C12" s="11">
        <v>44972</v>
      </c>
      <c r="D12" s="3" t="s">
        <v>30</v>
      </c>
      <c r="E12" s="4" t="s">
        <v>18</v>
      </c>
      <c r="F12" s="53"/>
      <c r="G12" s="5" t="s">
        <v>19</v>
      </c>
      <c r="H12" s="53"/>
      <c r="I12" s="53"/>
      <c r="J12" s="53"/>
      <c r="K12" s="53"/>
      <c r="L12" s="40">
        <f t="shared" si="3"/>
        <v>0</v>
      </c>
      <c r="M12" s="40">
        <f t="shared" si="4"/>
        <v>0</v>
      </c>
      <c r="N12" s="40">
        <f t="shared" si="5"/>
        <v>0</v>
      </c>
      <c r="Q12" s="105"/>
    </row>
    <row r="13" spans="2:20" customFormat="1" ht="18">
      <c r="B13" s="7" t="s">
        <v>24</v>
      </c>
      <c r="C13" s="11">
        <v>44972</v>
      </c>
      <c r="D13" s="3" t="s">
        <v>31</v>
      </c>
      <c r="E13" s="4" t="s">
        <v>32</v>
      </c>
      <c r="F13" s="53"/>
      <c r="G13" s="5" t="s">
        <v>19</v>
      </c>
      <c r="H13" s="53"/>
      <c r="I13" s="53"/>
      <c r="J13" s="53"/>
      <c r="K13" s="53"/>
      <c r="L13" s="40">
        <f t="shared" si="3"/>
        <v>0</v>
      </c>
      <c r="M13" s="40">
        <f t="shared" si="4"/>
        <v>0</v>
      </c>
      <c r="N13" s="40">
        <f t="shared" si="5"/>
        <v>0</v>
      </c>
      <c r="Q13" s="105"/>
    </row>
    <row r="14" spans="2:20" customFormat="1" ht="18.75">
      <c r="B14" s="7" t="s">
        <v>24</v>
      </c>
      <c r="C14" s="11">
        <v>44972</v>
      </c>
      <c r="D14" s="3" t="s">
        <v>33</v>
      </c>
      <c r="E14" s="4" t="s">
        <v>15</v>
      </c>
      <c r="F14" s="53"/>
      <c r="G14" s="5" t="s">
        <v>19</v>
      </c>
      <c r="H14" s="53"/>
      <c r="I14" s="53"/>
      <c r="J14" s="53"/>
      <c r="K14" s="53"/>
      <c r="L14" s="40">
        <f t="shared" si="3"/>
        <v>0</v>
      </c>
      <c r="M14" s="40">
        <f t="shared" si="4"/>
        <v>0</v>
      </c>
      <c r="N14" s="40">
        <f t="shared" si="5"/>
        <v>0</v>
      </c>
      <c r="Q14" s="105"/>
    </row>
    <row r="15" spans="2:20" ht="18.75">
      <c r="B15" s="7" t="s">
        <v>34</v>
      </c>
      <c r="C15" s="41">
        <v>45014</v>
      </c>
      <c r="D15" s="42" t="s">
        <v>35</v>
      </c>
      <c r="E15" s="4" t="s">
        <v>15</v>
      </c>
      <c r="F15" s="43"/>
      <c r="G15" s="44" t="s">
        <v>19</v>
      </c>
      <c r="H15" s="43"/>
      <c r="I15" s="43"/>
      <c r="J15" s="43"/>
      <c r="K15" s="43"/>
      <c r="L15" s="40">
        <f t="shared" si="3"/>
        <v>0</v>
      </c>
      <c r="M15" s="40">
        <f t="shared" si="4"/>
        <v>0</v>
      </c>
      <c r="N15" s="40">
        <f t="shared" si="5"/>
        <v>0</v>
      </c>
      <c r="Q15" s="105"/>
    </row>
    <row r="16" spans="2:20" ht="18.75">
      <c r="B16" s="7" t="s">
        <v>34</v>
      </c>
      <c r="C16" s="41">
        <v>45014</v>
      </c>
      <c r="D16" s="42" t="s">
        <v>36</v>
      </c>
      <c r="E16" s="4" t="s">
        <v>15</v>
      </c>
      <c r="F16" s="43"/>
      <c r="G16" s="44" t="s">
        <v>19</v>
      </c>
      <c r="H16" s="43"/>
      <c r="I16" s="43"/>
      <c r="J16" s="43"/>
      <c r="K16" s="43"/>
      <c r="L16" s="40">
        <f t="shared" si="3"/>
        <v>0</v>
      </c>
      <c r="M16" s="40">
        <f t="shared" si="4"/>
        <v>0</v>
      </c>
      <c r="N16" s="40">
        <f t="shared" si="5"/>
        <v>0</v>
      </c>
      <c r="Q16" s="105"/>
    </row>
    <row r="17" spans="2:17" ht="18.75">
      <c r="B17" s="7" t="s">
        <v>34</v>
      </c>
      <c r="C17" s="41">
        <v>45014</v>
      </c>
      <c r="D17" s="42" t="s">
        <v>37</v>
      </c>
      <c r="E17" s="4" t="s">
        <v>15</v>
      </c>
      <c r="F17" s="43"/>
      <c r="G17" s="44" t="s">
        <v>19</v>
      </c>
      <c r="H17" s="43"/>
      <c r="I17" s="43"/>
      <c r="J17" s="43"/>
      <c r="K17" s="43"/>
      <c r="L17" s="40">
        <f t="shared" si="3"/>
        <v>0</v>
      </c>
      <c r="M17" s="40">
        <f t="shared" si="4"/>
        <v>0</v>
      </c>
      <c r="N17" s="40">
        <f t="shared" si="5"/>
        <v>0</v>
      </c>
      <c r="Q17" s="105"/>
    </row>
    <row r="18" spans="2:17" ht="18.75">
      <c r="B18" s="7" t="s">
        <v>38</v>
      </c>
      <c r="C18" s="41">
        <v>45035</v>
      </c>
      <c r="D18" s="42" t="s">
        <v>39</v>
      </c>
      <c r="E18" s="4" t="s">
        <v>32</v>
      </c>
      <c r="F18" s="43"/>
      <c r="G18" s="44" t="s">
        <v>19</v>
      </c>
      <c r="H18" s="43"/>
      <c r="I18" s="43"/>
      <c r="J18" s="43"/>
      <c r="K18" s="43"/>
      <c r="L18" s="40">
        <f t="shared" si="3"/>
        <v>0</v>
      </c>
      <c r="M18" s="40">
        <f t="shared" si="4"/>
        <v>0</v>
      </c>
      <c r="N18" s="40">
        <f t="shared" si="5"/>
        <v>0</v>
      </c>
      <c r="Q18" s="105"/>
    </row>
    <row r="19" spans="2:17" ht="18.75">
      <c r="B19" s="7" t="s">
        <v>38</v>
      </c>
      <c r="C19" s="41">
        <v>45042</v>
      </c>
      <c r="D19" s="42" t="s">
        <v>40</v>
      </c>
      <c r="E19" s="4" t="s">
        <v>18</v>
      </c>
      <c r="F19" s="43"/>
      <c r="G19" s="44" t="s">
        <v>19</v>
      </c>
      <c r="H19" s="43"/>
      <c r="I19" s="43"/>
      <c r="J19" s="43"/>
      <c r="K19" s="43"/>
      <c r="L19" s="40">
        <f t="shared" si="3"/>
        <v>0</v>
      </c>
      <c r="M19" s="40">
        <f t="shared" si="4"/>
        <v>0</v>
      </c>
      <c r="N19" s="40">
        <f t="shared" si="5"/>
        <v>0</v>
      </c>
      <c r="Q19" s="105"/>
    </row>
    <row r="20" spans="2:17" ht="18.75">
      <c r="B20" s="7" t="s">
        <v>38</v>
      </c>
      <c r="C20" s="41">
        <v>45042</v>
      </c>
      <c r="D20" s="42" t="s">
        <v>41</v>
      </c>
      <c r="E20" s="4" t="s">
        <v>18</v>
      </c>
      <c r="F20" s="43"/>
      <c r="G20" s="44" t="s">
        <v>19</v>
      </c>
      <c r="H20" s="43"/>
      <c r="I20" s="43"/>
      <c r="J20" s="43"/>
      <c r="K20" s="43"/>
      <c r="L20" s="40">
        <f t="shared" si="3"/>
        <v>0</v>
      </c>
      <c r="M20" s="40">
        <f t="shared" si="4"/>
        <v>0</v>
      </c>
      <c r="N20" s="40">
        <f t="shared" si="5"/>
        <v>0</v>
      </c>
      <c r="Q20" s="105"/>
    </row>
    <row r="21" spans="2:17" ht="18.75">
      <c r="B21" s="7" t="s">
        <v>38</v>
      </c>
      <c r="C21" s="41">
        <v>45042</v>
      </c>
      <c r="D21" s="42" t="s">
        <v>42</v>
      </c>
      <c r="E21" s="4" t="s">
        <v>18</v>
      </c>
      <c r="F21" s="43"/>
      <c r="G21" s="44" t="s">
        <v>19</v>
      </c>
      <c r="H21" s="43"/>
      <c r="I21" s="43"/>
      <c r="J21" s="43" t="s">
        <v>26</v>
      </c>
      <c r="K21" s="43"/>
      <c r="L21" s="40">
        <f t="shared" si="3"/>
        <v>0</v>
      </c>
      <c r="M21" s="40">
        <f t="shared" si="4"/>
        <v>0</v>
      </c>
      <c r="N21" s="40">
        <f t="shared" si="5"/>
        <v>0</v>
      </c>
      <c r="Q21" s="105"/>
    </row>
    <row r="22" spans="2:17" ht="18.75">
      <c r="B22" s="7" t="s">
        <v>38</v>
      </c>
      <c r="C22" s="41">
        <v>45043</v>
      </c>
      <c r="D22" s="42" t="s">
        <v>43</v>
      </c>
      <c r="E22" s="4" t="s">
        <v>18</v>
      </c>
      <c r="F22" s="43"/>
      <c r="G22" s="44" t="s">
        <v>16</v>
      </c>
      <c r="H22" s="41">
        <v>45117</v>
      </c>
      <c r="I22" s="41">
        <v>45138</v>
      </c>
      <c r="J22" s="44"/>
      <c r="K22" s="43"/>
      <c r="L22" s="40">
        <f t="shared" si="3"/>
        <v>74</v>
      </c>
      <c r="M22" s="40">
        <f t="shared" si="4"/>
        <v>21</v>
      </c>
      <c r="N22" s="40">
        <f t="shared" si="5"/>
        <v>95</v>
      </c>
      <c r="Q22" s="105"/>
    </row>
    <row r="23" spans="2:17" ht="18.75">
      <c r="B23" s="7" t="s">
        <v>38</v>
      </c>
      <c r="C23" s="41">
        <v>45043</v>
      </c>
      <c r="D23" s="42" t="s">
        <v>44</v>
      </c>
      <c r="E23" s="4" t="s">
        <v>18</v>
      </c>
      <c r="F23" s="43"/>
      <c r="G23" s="44" t="s">
        <v>19</v>
      </c>
      <c r="H23" s="43"/>
      <c r="I23" s="43"/>
      <c r="J23" s="43"/>
      <c r="K23" s="43"/>
      <c r="L23" s="40">
        <f t="shared" si="3"/>
        <v>0</v>
      </c>
      <c r="M23" s="40">
        <f t="shared" si="4"/>
        <v>0</v>
      </c>
      <c r="N23" s="40">
        <f t="shared" si="5"/>
        <v>0</v>
      </c>
      <c r="Q23" s="105"/>
    </row>
    <row r="24" spans="2:17" ht="18.75">
      <c r="B24" s="7" t="s">
        <v>38</v>
      </c>
      <c r="C24" s="41">
        <v>45043</v>
      </c>
      <c r="D24" s="42" t="s">
        <v>45</v>
      </c>
      <c r="E24" s="4" t="s">
        <v>18</v>
      </c>
      <c r="F24" s="43"/>
      <c r="G24" s="44" t="s">
        <v>19</v>
      </c>
      <c r="H24" s="43"/>
      <c r="I24" s="43"/>
      <c r="J24" s="43"/>
      <c r="K24" s="43"/>
      <c r="L24" s="40">
        <f t="shared" si="3"/>
        <v>0</v>
      </c>
      <c r="M24" s="40">
        <f t="shared" si="4"/>
        <v>0</v>
      </c>
      <c r="N24" s="40">
        <f t="shared" si="5"/>
        <v>0</v>
      </c>
      <c r="Q24" s="105"/>
    </row>
    <row r="25" spans="2:17" ht="18.75">
      <c r="B25" s="7" t="s">
        <v>38</v>
      </c>
      <c r="C25" s="41">
        <v>45043</v>
      </c>
      <c r="D25" s="42" t="s">
        <v>46</v>
      </c>
      <c r="E25" s="4" t="s">
        <v>32</v>
      </c>
      <c r="F25" s="43"/>
      <c r="G25" s="44" t="s">
        <v>19</v>
      </c>
      <c r="H25" s="43"/>
      <c r="I25" s="43"/>
      <c r="J25" s="43"/>
      <c r="K25" s="43"/>
      <c r="L25" s="40">
        <f t="shared" si="3"/>
        <v>0</v>
      </c>
      <c r="M25" s="40">
        <f t="shared" si="4"/>
        <v>0</v>
      </c>
      <c r="N25" s="40">
        <f t="shared" si="5"/>
        <v>0</v>
      </c>
      <c r="Q25" s="105"/>
    </row>
    <row r="26" spans="2:17" ht="18.75">
      <c r="B26" s="7" t="s">
        <v>47</v>
      </c>
      <c r="C26" s="41">
        <v>45056</v>
      </c>
      <c r="D26" s="42" t="s">
        <v>48</v>
      </c>
      <c r="E26" s="4" t="s">
        <v>18</v>
      </c>
      <c r="F26" s="35"/>
      <c r="G26" s="34" t="s">
        <v>19</v>
      </c>
      <c r="H26" s="35"/>
      <c r="I26" s="35"/>
      <c r="J26" s="35"/>
      <c r="K26" s="35"/>
      <c r="L26" s="40">
        <f t="shared" si="3"/>
        <v>0</v>
      </c>
      <c r="M26" s="40">
        <f t="shared" si="4"/>
        <v>0</v>
      </c>
      <c r="N26" s="40">
        <f t="shared" si="5"/>
        <v>0</v>
      </c>
      <c r="Q26" s="105"/>
    </row>
    <row r="27" spans="2:17" ht="18.75">
      <c r="B27" s="7" t="s">
        <v>47</v>
      </c>
      <c r="C27" s="41">
        <v>45056</v>
      </c>
      <c r="D27" s="42" t="s">
        <v>49</v>
      </c>
      <c r="E27" s="4" t="s">
        <v>32</v>
      </c>
      <c r="F27" s="35"/>
      <c r="G27" s="34" t="s">
        <v>16</v>
      </c>
      <c r="H27" s="45">
        <v>45124</v>
      </c>
      <c r="I27" s="45">
        <v>45149</v>
      </c>
      <c r="J27" s="35"/>
      <c r="K27" s="35"/>
      <c r="L27" s="40">
        <f t="shared" si="3"/>
        <v>68</v>
      </c>
      <c r="M27" s="40">
        <f t="shared" si="4"/>
        <v>25</v>
      </c>
      <c r="N27" s="40">
        <f t="shared" si="5"/>
        <v>93</v>
      </c>
      <c r="Q27" s="105"/>
    </row>
    <row r="28" spans="2:17" ht="18.75">
      <c r="B28" s="7" t="s">
        <v>47</v>
      </c>
      <c r="C28" s="41">
        <v>45056</v>
      </c>
      <c r="D28" s="42" t="s">
        <v>50</v>
      </c>
      <c r="E28" s="4" t="s">
        <v>15</v>
      </c>
      <c r="F28" s="35"/>
      <c r="G28" s="34" t="s">
        <v>16</v>
      </c>
      <c r="H28" s="45">
        <v>45684</v>
      </c>
      <c r="I28" s="35"/>
      <c r="J28" s="35" t="s">
        <v>51</v>
      </c>
      <c r="K28" s="35"/>
      <c r="L28" s="40">
        <f t="shared" si="3"/>
        <v>628</v>
      </c>
      <c r="M28" s="40">
        <f t="shared" si="4"/>
        <v>0</v>
      </c>
      <c r="N28" s="40">
        <f t="shared" si="5"/>
        <v>0</v>
      </c>
      <c r="Q28" s="105"/>
    </row>
    <row r="29" spans="2:17" ht="18.75">
      <c r="B29" s="7" t="s">
        <v>47</v>
      </c>
      <c r="C29" s="41">
        <v>45056</v>
      </c>
      <c r="D29" s="42" t="s">
        <v>52</v>
      </c>
      <c r="E29" s="4" t="s">
        <v>15</v>
      </c>
      <c r="F29" s="35"/>
      <c r="G29" s="34" t="s">
        <v>16</v>
      </c>
      <c r="H29" s="45">
        <v>45117</v>
      </c>
      <c r="I29" s="45">
        <v>45138</v>
      </c>
      <c r="J29" s="35"/>
      <c r="K29" s="35"/>
      <c r="L29" s="40">
        <f t="shared" si="3"/>
        <v>61</v>
      </c>
      <c r="M29" s="40">
        <f t="shared" si="4"/>
        <v>21</v>
      </c>
      <c r="N29" s="40">
        <f t="shared" si="5"/>
        <v>82</v>
      </c>
      <c r="Q29" s="105"/>
    </row>
    <row r="30" spans="2:17" ht="18.75">
      <c r="B30" s="7" t="s">
        <v>47</v>
      </c>
      <c r="C30" s="41">
        <v>45058</v>
      </c>
      <c r="D30" s="42" t="s">
        <v>53</v>
      </c>
      <c r="E30" s="4" t="s">
        <v>15</v>
      </c>
      <c r="F30" s="35"/>
      <c r="G30" s="34" t="s">
        <v>19</v>
      </c>
      <c r="H30" s="35"/>
      <c r="I30" s="35"/>
      <c r="J30" s="35"/>
      <c r="K30" s="35"/>
      <c r="L30" s="40">
        <f t="shared" si="3"/>
        <v>0</v>
      </c>
      <c r="M30" s="40">
        <f t="shared" si="4"/>
        <v>0</v>
      </c>
      <c r="N30" s="40">
        <f t="shared" si="5"/>
        <v>0</v>
      </c>
      <c r="Q30" s="105"/>
    </row>
    <row r="31" spans="2:17" ht="18.75">
      <c r="B31" s="7" t="s">
        <v>47</v>
      </c>
      <c r="C31" s="41">
        <v>45070</v>
      </c>
      <c r="D31" s="42" t="s">
        <v>54</v>
      </c>
      <c r="E31" s="4" t="s">
        <v>32</v>
      </c>
      <c r="F31" s="35"/>
      <c r="G31" s="34" t="s">
        <v>19</v>
      </c>
      <c r="H31" s="35"/>
      <c r="I31" s="35"/>
      <c r="J31" s="35"/>
      <c r="K31" s="35"/>
      <c r="L31" s="40">
        <f t="shared" si="3"/>
        <v>0</v>
      </c>
      <c r="M31" s="40">
        <f t="shared" si="4"/>
        <v>0</v>
      </c>
      <c r="N31" s="40">
        <f t="shared" si="5"/>
        <v>0</v>
      </c>
      <c r="Q31" s="105"/>
    </row>
    <row r="32" spans="2:17" ht="18.75">
      <c r="B32" s="7" t="s">
        <v>47</v>
      </c>
      <c r="C32" s="41">
        <v>45070</v>
      </c>
      <c r="D32" s="42" t="s">
        <v>55</v>
      </c>
      <c r="E32" s="4" t="s">
        <v>18</v>
      </c>
      <c r="F32" s="35"/>
      <c r="G32" s="34" t="s">
        <v>19</v>
      </c>
      <c r="H32" s="35"/>
      <c r="I32" s="35"/>
      <c r="J32" s="35"/>
      <c r="K32" s="35"/>
      <c r="L32" s="40">
        <f t="shared" si="3"/>
        <v>0</v>
      </c>
      <c r="M32" s="40">
        <f t="shared" si="4"/>
        <v>0</v>
      </c>
      <c r="N32" s="40">
        <f t="shared" si="5"/>
        <v>0</v>
      </c>
      <c r="Q32" s="105"/>
    </row>
    <row r="33" spans="2:17" ht="18.75">
      <c r="B33" s="7" t="s">
        <v>47</v>
      </c>
      <c r="C33" s="41">
        <v>45070</v>
      </c>
      <c r="D33" s="42" t="s">
        <v>56</v>
      </c>
      <c r="E33" s="4" t="s">
        <v>18</v>
      </c>
      <c r="F33" s="35"/>
      <c r="G33" s="34" t="s">
        <v>19</v>
      </c>
      <c r="H33" s="35"/>
      <c r="I33" s="35"/>
      <c r="J33" s="35"/>
      <c r="K33" s="35"/>
      <c r="L33" s="40">
        <f t="shared" si="3"/>
        <v>0</v>
      </c>
      <c r="M33" s="40">
        <f t="shared" si="4"/>
        <v>0</v>
      </c>
      <c r="N33" s="40">
        <f t="shared" si="5"/>
        <v>0</v>
      </c>
      <c r="Q33" s="105"/>
    </row>
    <row r="34" spans="2:17" ht="18.75">
      <c r="B34" s="7" t="s">
        <v>57</v>
      </c>
      <c r="C34" s="41">
        <v>45093</v>
      </c>
      <c r="D34" s="42" t="s">
        <v>58</v>
      </c>
      <c r="E34" s="4" t="s">
        <v>32</v>
      </c>
      <c r="F34" s="35"/>
      <c r="G34" s="34" t="s">
        <v>19</v>
      </c>
      <c r="H34" s="35"/>
      <c r="I34" s="35"/>
      <c r="J34" s="35"/>
      <c r="K34" s="35"/>
      <c r="L34" s="40">
        <f t="shared" si="3"/>
        <v>0</v>
      </c>
      <c r="M34" s="40">
        <f t="shared" si="4"/>
        <v>0</v>
      </c>
      <c r="N34" s="40">
        <f t="shared" si="5"/>
        <v>0</v>
      </c>
      <c r="Q34" s="105"/>
    </row>
    <row r="35" spans="2:17" ht="18.75">
      <c r="B35" s="7" t="s">
        <v>57</v>
      </c>
      <c r="C35" s="41">
        <v>45098</v>
      </c>
      <c r="D35" s="42" t="s">
        <v>59</v>
      </c>
      <c r="E35" s="4" t="s">
        <v>18</v>
      </c>
      <c r="F35" s="35"/>
      <c r="G35" s="34" t="s">
        <v>19</v>
      </c>
      <c r="H35" s="35"/>
      <c r="I35" s="35"/>
      <c r="J35" s="35"/>
      <c r="K35" s="35"/>
      <c r="L35" s="40">
        <f t="shared" si="3"/>
        <v>0</v>
      </c>
      <c r="M35" s="40">
        <f t="shared" si="4"/>
        <v>0</v>
      </c>
      <c r="N35" s="40">
        <f t="shared" si="5"/>
        <v>0</v>
      </c>
      <c r="Q35" s="105"/>
    </row>
    <row r="36" spans="2:17" ht="18.75">
      <c r="B36" s="7" t="s">
        <v>57</v>
      </c>
      <c r="C36" s="41">
        <v>45098</v>
      </c>
      <c r="D36" s="42" t="s">
        <v>60</v>
      </c>
      <c r="E36" s="4" t="s">
        <v>18</v>
      </c>
      <c r="F36" s="35"/>
      <c r="G36" s="34" t="s">
        <v>19</v>
      </c>
      <c r="H36" s="35"/>
      <c r="I36" s="35"/>
      <c r="J36" s="35"/>
      <c r="K36" s="35"/>
      <c r="L36" s="40">
        <f t="shared" si="3"/>
        <v>0</v>
      </c>
      <c r="M36" s="40">
        <f t="shared" si="4"/>
        <v>0</v>
      </c>
      <c r="N36" s="40">
        <f t="shared" si="5"/>
        <v>0</v>
      </c>
      <c r="Q36" s="105"/>
    </row>
    <row r="37" spans="2:17" ht="18.75">
      <c r="B37" s="7" t="s">
        <v>57</v>
      </c>
      <c r="C37" s="41">
        <v>45098</v>
      </c>
      <c r="D37" s="42" t="s">
        <v>61</v>
      </c>
      <c r="E37" s="4" t="s">
        <v>18</v>
      </c>
      <c r="F37" s="35"/>
      <c r="G37" s="34" t="s">
        <v>19</v>
      </c>
      <c r="H37" s="35"/>
      <c r="I37" s="35"/>
      <c r="J37" s="35"/>
      <c r="K37" s="35"/>
      <c r="L37" s="40">
        <f t="shared" si="3"/>
        <v>0</v>
      </c>
      <c r="M37" s="40">
        <f t="shared" si="4"/>
        <v>0</v>
      </c>
      <c r="N37" s="40">
        <f t="shared" si="5"/>
        <v>0</v>
      </c>
      <c r="Q37" s="105"/>
    </row>
    <row r="38" spans="2:17" ht="18.75">
      <c r="B38" s="7" t="s">
        <v>62</v>
      </c>
      <c r="C38" s="41">
        <v>45126</v>
      </c>
      <c r="D38" s="42" t="s">
        <v>63</v>
      </c>
      <c r="E38" s="4" t="s">
        <v>15</v>
      </c>
      <c r="F38" s="35"/>
      <c r="G38" s="34" t="s">
        <v>19</v>
      </c>
      <c r="H38" s="35"/>
      <c r="I38" s="35"/>
      <c r="J38" s="35"/>
      <c r="K38" s="35"/>
      <c r="L38" s="40">
        <f t="shared" si="3"/>
        <v>0</v>
      </c>
      <c r="M38" s="40">
        <f t="shared" si="4"/>
        <v>0</v>
      </c>
      <c r="N38" s="40">
        <f t="shared" si="5"/>
        <v>0</v>
      </c>
      <c r="Q38" s="105"/>
    </row>
    <row r="39" spans="2:17" ht="18.75">
      <c r="B39" s="7" t="s">
        <v>62</v>
      </c>
      <c r="C39" s="41">
        <v>45126</v>
      </c>
      <c r="D39" s="42" t="s">
        <v>64</v>
      </c>
      <c r="E39" s="4" t="s">
        <v>32</v>
      </c>
      <c r="F39" s="35"/>
      <c r="G39" s="34" t="s">
        <v>19</v>
      </c>
      <c r="H39" s="35"/>
      <c r="I39" s="35"/>
      <c r="J39" s="35"/>
      <c r="K39" s="35"/>
      <c r="L39" s="40">
        <f t="shared" si="3"/>
        <v>0</v>
      </c>
      <c r="M39" s="40">
        <f t="shared" si="4"/>
        <v>0</v>
      </c>
      <c r="N39" s="40">
        <f t="shared" si="5"/>
        <v>0</v>
      </c>
      <c r="Q39" s="105"/>
    </row>
    <row r="40" spans="2:17" ht="18.75">
      <c r="B40" s="7" t="s">
        <v>62</v>
      </c>
      <c r="C40" s="41">
        <v>45126</v>
      </c>
      <c r="D40" s="42" t="s">
        <v>65</v>
      </c>
      <c r="E40" s="4" t="s">
        <v>15</v>
      </c>
      <c r="F40" s="35"/>
      <c r="G40" s="34" t="s">
        <v>19</v>
      </c>
      <c r="H40" s="35"/>
      <c r="I40" s="35"/>
      <c r="J40" s="35"/>
      <c r="K40" s="35"/>
      <c r="L40" s="40">
        <f t="shared" si="3"/>
        <v>0</v>
      </c>
      <c r="M40" s="40">
        <f t="shared" si="4"/>
        <v>0</v>
      </c>
      <c r="N40" s="40">
        <f t="shared" si="5"/>
        <v>0</v>
      </c>
      <c r="Q40" s="105"/>
    </row>
    <row r="41" spans="2:17" ht="18.75">
      <c r="B41" s="7" t="s">
        <v>62</v>
      </c>
      <c r="C41" s="41">
        <v>45126</v>
      </c>
      <c r="D41" s="42" t="s">
        <v>66</v>
      </c>
      <c r="E41" s="4" t="s">
        <v>18</v>
      </c>
      <c r="F41" s="35"/>
      <c r="G41" s="34" t="s">
        <v>19</v>
      </c>
      <c r="H41" s="35"/>
      <c r="I41" s="35"/>
      <c r="J41" s="35"/>
      <c r="K41" s="35"/>
      <c r="L41" s="40">
        <f t="shared" si="3"/>
        <v>0</v>
      </c>
      <c r="M41" s="40">
        <f t="shared" si="4"/>
        <v>0</v>
      </c>
      <c r="N41" s="40">
        <f t="shared" si="5"/>
        <v>0</v>
      </c>
      <c r="Q41" s="105"/>
    </row>
    <row r="42" spans="2:17" ht="18.75">
      <c r="B42" s="7" t="s">
        <v>62</v>
      </c>
      <c r="C42" s="41">
        <v>45126</v>
      </c>
      <c r="D42" s="42" t="s">
        <v>67</v>
      </c>
      <c r="E42" s="4" t="s">
        <v>15</v>
      </c>
      <c r="F42" s="35"/>
      <c r="G42" s="34" t="s">
        <v>19</v>
      </c>
      <c r="H42" s="35"/>
      <c r="I42" s="35"/>
      <c r="J42" s="35"/>
      <c r="K42" s="35"/>
      <c r="L42" s="40">
        <f t="shared" si="3"/>
        <v>0</v>
      </c>
      <c r="M42" s="40">
        <f t="shared" si="4"/>
        <v>0</v>
      </c>
      <c r="N42" s="40">
        <f t="shared" si="5"/>
        <v>0</v>
      </c>
      <c r="Q42" s="105"/>
    </row>
    <row r="43" spans="2:17" ht="18.75">
      <c r="B43" s="7" t="s">
        <v>68</v>
      </c>
      <c r="C43" s="41">
        <v>45140</v>
      </c>
      <c r="D43" s="42" t="s">
        <v>69</v>
      </c>
      <c r="E43" s="4" t="s">
        <v>32</v>
      </c>
      <c r="F43" s="35"/>
      <c r="G43" s="34" t="s">
        <v>19</v>
      </c>
      <c r="H43" s="35"/>
      <c r="I43" s="35"/>
      <c r="J43" s="35"/>
      <c r="K43" s="35"/>
      <c r="L43" s="40">
        <f t="shared" si="3"/>
        <v>0</v>
      </c>
      <c r="M43" s="40">
        <f t="shared" si="4"/>
        <v>0</v>
      </c>
      <c r="N43" s="40">
        <f t="shared" si="5"/>
        <v>0</v>
      </c>
      <c r="Q43" s="105"/>
    </row>
    <row r="44" spans="2:17" ht="18.75">
      <c r="B44" s="7" t="s">
        <v>68</v>
      </c>
      <c r="C44" s="41">
        <v>45140</v>
      </c>
      <c r="D44" s="42" t="s">
        <v>70</v>
      </c>
      <c r="E44" s="4" t="s">
        <v>18</v>
      </c>
      <c r="F44" s="35"/>
      <c r="G44" s="34" t="s">
        <v>19</v>
      </c>
      <c r="H44" s="35"/>
      <c r="I44" s="35"/>
      <c r="J44" s="35"/>
      <c r="K44" s="35"/>
      <c r="L44" s="40">
        <f t="shared" si="3"/>
        <v>0</v>
      </c>
      <c r="M44" s="40">
        <f t="shared" si="4"/>
        <v>0</v>
      </c>
      <c r="N44" s="40">
        <f t="shared" si="5"/>
        <v>0</v>
      </c>
      <c r="Q44" s="105"/>
    </row>
    <row r="45" spans="2:17" ht="18.75">
      <c r="B45" s="7" t="s">
        <v>68</v>
      </c>
      <c r="C45" s="41">
        <v>45140</v>
      </c>
      <c r="D45" s="42" t="s">
        <v>71</v>
      </c>
      <c r="E45" s="4" t="s">
        <v>15</v>
      </c>
      <c r="F45" s="35"/>
      <c r="G45" s="34" t="s">
        <v>19</v>
      </c>
      <c r="H45" s="35"/>
      <c r="I45" s="35"/>
      <c r="J45" s="35"/>
      <c r="K45" s="35"/>
      <c r="L45" s="40">
        <f t="shared" si="3"/>
        <v>0</v>
      </c>
      <c r="M45" s="40">
        <f t="shared" si="4"/>
        <v>0</v>
      </c>
      <c r="N45" s="40">
        <f t="shared" si="5"/>
        <v>0</v>
      </c>
      <c r="Q45" s="105"/>
    </row>
    <row r="46" spans="2:17" ht="18.75">
      <c r="B46" s="7" t="s">
        <v>68</v>
      </c>
      <c r="C46" s="41">
        <v>45140</v>
      </c>
      <c r="D46" s="42" t="s">
        <v>72</v>
      </c>
      <c r="E46" s="4" t="s">
        <v>15</v>
      </c>
      <c r="F46" s="35"/>
      <c r="G46" s="34" t="s">
        <v>16</v>
      </c>
      <c r="H46" s="45">
        <v>45222</v>
      </c>
      <c r="I46" s="45">
        <v>45306</v>
      </c>
      <c r="J46" s="34"/>
      <c r="K46" s="35"/>
      <c r="L46" s="40">
        <f t="shared" si="3"/>
        <v>82</v>
      </c>
      <c r="M46" s="40">
        <f t="shared" si="4"/>
        <v>84</v>
      </c>
      <c r="N46" s="40">
        <f t="shared" si="5"/>
        <v>166</v>
      </c>
      <c r="Q46" s="105"/>
    </row>
    <row r="47" spans="2:17" ht="18.75">
      <c r="B47" s="7" t="s">
        <v>68</v>
      </c>
      <c r="C47" s="41">
        <v>45154</v>
      </c>
      <c r="D47" s="42" t="s">
        <v>73</v>
      </c>
      <c r="E47" s="4" t="s">
        <v>18</v>
      </c>
      <c r="F47" s="35"/>
      <c r="G47" s="34" t="s">
        <v>19</v>
      </c>
      <c r="H47" s="35"/>
      <c r="I47" s="35"/>
      <c r="J47" s="35"/>
      <c r="K47" s="35"/>
      <c r="L47" s="40">
        <f t="shared" si="3"/>
        <v>0</v>
      </c>
      <c r="M47" s="40">
        <f t="shared" si="4"/>
        <v>0</v>
      </c>
      <c r="N47" s="40">
        <f t="shared" si="5"/>
        <v>0</v>
      </c>
      <c r="Q47" s="105"/>
    </row>
    <row r="48" spans="2:17" ht="18.75">
      <c r="B48" s="7" t="s">
        <v>68</v>
      </c>
      <c r="C48" s="41">
        <v>45154</v>
      </c>
      <c r="D48" s="42" t="s">
        <v>74</v>
      </c>
      <c r="E48" s="4" t="s">
        <v>15</v>
      </c>
      <c r="F48" s="35"/>
      <c r="G48" s="34" t="s">
        <v>19</v>
      </c>
      <c r="H48" s="35"/>
      <c r="I48" s="35"/>
      <c r="J48" s="35"/>
      <c r="K48" s="35"/>
      <c r="L48" s="40">
        <f t="shared" si="3"/>
        <v>0</v>
      </c>
      <c r="M48" s="40">
        <f t="shared" si="4"/>
        <v>0</v>
      </c>
      <c r="N48" s="40">
        <f t="shared" si="5"/>
        <v>0</v>
      </c>
      <c r="Q48" s="105"/>
    </row>
    <row r="49" spans="2:17" ht="18.75">
      <c r="B49" s="7" t="s">
        <v>68</v>
      </c>
      <c r="C49" s="41">
        <v>45161</v>
      </c>
      <c r="D49" s="42" t="s">
        <v>75</v>
      </c>
      <c r="E49" s="4" t="s">
        <v>15</v>
      </c>
      <c r="F49" s="35"/>
      <c r="G49" s="34" t="s">
        <v>16</v>
      </c>
      <c r="H49" s="45">
        <v>45229</v>
      </c>
      <c r="I49" s="45"/>
      <c r="J49" s="35" t="s">
        <v>76</v>
      </c>
      <c r="K49" s="35"/>
      <c r="L49" s="40">
        <f t="shared" si="3"/>
        <v>68</v>
      </c>
      <c r="M49" s="40">
        <f t="shared" si="4"/>
        <v>0</v>
      </c>
      <c r="N49" s="40">
        <f t="shared" si="5"/>
        <v>0</v>
      </c>
      <c r="Q49" s="105"/>
    </row>
    <row r="50" spans="2:17" ht="18.75">
      <c r="B50" s="7" t="s">
        <v>77</v>
      </c>
      <c r="C50" s="41">
        <v>45181</v>
      </c>
      <c r="D50" s="42" t="s">
        <v>78</v>
      </c>
      <c r="E50" s="4" t="s">
        <v>18</v>
      </c>
      <c r="F50" s="35"/>
      <c r="G50" s="34" t="s">
        <v>19</v>
      </c>
      <c r="H50" s="35"/>
      <c r="I50" s="35"/>
      <c r="J50" s="35"/>
      <c r="K50" s="35"/>
      <c r="L50" s="40">
        <f t="shared" si="3"/>
        <v>0</v>
      </c>
      <c r="M50" s="40">
        <f t="shared" si="4"/>
        <v>0</v>
      </c>
      <c r="N50" s="40">
        <f t="shared" si="5"/>
        <v>0</v>
      </c>
      <c r="Q50" s="105"/>
    </row>
    <row r="51" spans="2:17" ht="18.75">
      <c r="B51" s="7" t="s">
        <v>77</v>
      </c>
      <c r="C51" s="41">
        <v>45196</v>
      </c>
      <c r="D51" s="42" t="s">
        <v>79</v>
      </c>
      <c r="E51" s="4" t="s">
        <v>18</v>
      </c>
      <c r="F51" s="35"/>
      <c r="G51" s="34" t="s">
        <v>19</v>
      </c>
      <c r="H51" s="35"/>
      <c r="I51" s="35"/>
      <c r="J51" s="35"/>
      <c r="K51" s="35"/>
      <c r="L51" s="40">
        <f t="shared" si="3"/>
        <v>0</v>
      </c>
      <c r="M51" s="40">
        <f t="shared" si="4"/>
        <v>0</v>
      </c>
      <c r="N51" s="40">
        <f t="shared" si="5"/>
        <v>0</v>
      </c>
      <c r="Q51" s="105"/>
    </row>
    <row r="52" spans="2:17" ht="18.75">
      <c r="B52" s="7" t="s">
        <v>77</v>
      </c>
      <c r="C52" s="41">
        <v>45196</v>
      </c>
      <c r="D52" s="42" t="s">
        <v>80</v>
      </c>
      <c r="E52" s="4" t="s">
        <v>18</v>
      </c>
      <c r="F52" s="35"/>
      <c r="G52" s="34" t="s">
        <v>19</v>
      </c>
      <c r="H52" s="35"/>
      <c r="I52" s="35"/>
      <c r="J52" s="35"/>
      <c r="K52" s="35"/>
      <c r="L52" s="40">
        <f t="shared" si="3"/>
        <v>0</v>
      </c>
      <c r="M52" s="40">
        <f t="shared" si="4"/>
        <v>0</v>
      </c>
      <c r="N52" s="40">
        <f t="shared" si="5"/>
        <v>0</v>
      </c>
      <c r="Q52" s="105"/>
    </row>
    <row r="53" spans="2:17" ht="18.75">
      <c r="B53" s="7" t="s">
        <v>77</v>
      </c>
      <c r="C53" s="41">
        <v>45196</v>
      </c>
      <c r="D53" s="42" t="s">
        <v>81</v>
      </c>
      <c r="E53" s="4" t="s">
        <v>18</v>
      </c>
      <c r="F53" s="35"/>
      <c r="G53" s="34" t="s">
        <v>16</v>
      </c>
      <c r="H53" s="45">
        <v>45601</v>
      </c>
      <c r="I53" s="45">
        <v>45673</v>
      </c>
      <c r="J53" s="35"/>
      <c r="K53" s="35"/>
      <c r="L53" s="40">
        <f t="shared" si="3"/>
        <v>405</v>
      </c>
      <c r="M53" s="40">
        <f t="shared" si="4"/>
        <v>72</v>
      </c>
      <c r="N53" s="40">
        <f t="shared" si="5"/>
        <v>477</v>
      </c>
      <c r="Q53" s="105"/>
    </row>
    <row r="54" spans="2:17" ht="18.75">
      <c r="B54" s="7" t="s">
        <v>77</v>
      </c>
      <c r="C54" s="41">
        <v>45196</v>
      </c>
      <c r="D54" s="42" t="s">
        <v>82</v>
      </c>
      <c r="E54" s="4" t="s">
        <v>18</v>
      </c>
      <c r="F54" s="35"/>
      <c r="G54" s="34" t="s">
        <v>16</v>
      </c>
      <c r="H54" s="45">
        <v>45601</v>
      </c>
      <c r="I54" s="45">
        <v>45673</v>
      </c>
      <c r="J54" s="35"/>
      <c r="K54" s="35"/>
      <c r="L54" s="40">
        <f t="shared" si="3"/>
        <v>405</v>
      </c>
      <c r="M54" s="40">
        <f t="shared" si="4"/>
        <v>72</v>
      </c>
      <c r="N54" s="40">
        <f t="shared" si="5"/>
        <v>477</v>
      </c>
      <c r="Q54" s="105"/>
    </row>
    <row r="55" spans="2:17" ht="18.75">
      <c r="B55" s="7" t="s">
        <v>77</v>
      </c>
      <c r="C55" s="41">
        <v>45198</v>
      </c>
      <c r="D55" s="42" t="s">
        <v>83</v>
      </c>
      <c r="E55" s="4" t="s">
        <v>15</v>
      </c>
      <c r="F55" s="35"/>
      <c r="G55" s="34" t="s">
        <v>19</v>
      </c>
      <c r="H55" s="35"/>
      <c r="I55" s="35"/>
      <c r="J55" s="35"/>
      <c r="K55" s="35"/>
      <c r="L55" s="40">
        <f t="shared" si="3"/>
        <v>0</v>
      </c>
      <c r="M55" s="40">
        <f t="shared" si="4"/>
        <v>0</v>
      </c>
      <c r="N55" s="40">
        <f t="shared" si="5"/>
        <v>0</v>
      </c>
      <c r="Q55" s="105"/>
    </row>
    <row r="56" spans="2:17" ht="18.75">
      <c r="B56" s="7" t="s">
        <v>84</v>
      </c>
      <c r="C56" s="41">
        <v>45217</v>
      </c>
      <c r="D56" s="42" t="s">
        <v>85</v>
      </c>
      <c r="E56" s="4" t="s">
        <v>32</v>
      </c>
      <c r="F56" s="35"/>
      <c r="G56" s="34" t="s">
        <v>19</v>
      </c>
      <c r="H56" s="35"/>
      <c r="I56" s="35"/>
      <c r="J56" s="35"/>
      <c r="K56" s="35"/>
      <c r="L56" s="40">
        <f t="shared" si="3"/>
        <v>0</v>
      </c>
      <c r="M56" s="40">
        <f t="shared" si="4"/>
        <v>0</v>
      </c>
      <c r="N56" s="40">
        <f t="shared" si="5"/>
        <v>0</v>
      </c>
      <c r="Q56" s="105"/>
    </row>
    <row r="57" spans="2:17" ht="18.75">
      <c r="B57" s="7" t="s">
        <v>84</v>
      </c>
      <c r="C57" s="41">
        <v>45217</v>
      </c>
      <c r="D57" s="42" t="s">
        <v>86</v>
      </c>
      <c r="E57" s="4" t="s">
        <v>18</v>
      </c>
      <c r="F57" s="35"/>
      <c r="G57" s="34" t="s">
        <v>19</v>
      </c>
      <c r="H57" s="35"/>
      <c r="I57" s="35"/>
      <c r="J57" s="35"/>
      <c r="K57" s="35"/>
      <c r="L57" s="40">
        <f t="shared" si="3"/>
        <v>0</v>
      </c>
      <c r="M57" s="40">
        <f t="shared" si="4"/>
        <v>0</v>
      </c>
      <c r="N57" s="40">
        <f t="shared" si="5"/>
        <v>0</v>
      </c>
      <c r="Q57" s="105"/>
    </row>
    <row r="58" spans="2:17" ht="18.75">
      <c r="B58" s="7" t="s">
        <v>87</v>
      </c>
      <c r="C58" s="41">
        <v>45245</v>
      </c>
      <c r="D58" s="42" t="s">
        <v>88</v>
      </c>
      <c r="E58" s="4" t="s">
        <v>15</v>
      </c>
      <c r="F58" s="35"/>
      <c r="G58" s="34" t="s">
        <v>19</v>
      </c>
      <c r="H58" s="35"/>
      <c r="J58" s="35"/>
      <c r="K58" s="35"/>
      <c r="L58" s="40">
        <f t="shared" si="3"/>
        <v>0</v>
      </c>
      <c r="M58" s="40">
        <f t="shared" si="4"/>
        <v>0</v>
      </c>
      <c r="N58" s="40">
        <f t="shared" si="5"/>
        <v>0</v>
      </c>
      <c r="Q58" s="105"/>
    </row>
    <row r="59" spans="2:17" ht="18.75">
      <c r="B59" s="7" t="s">
        <v>87</v>
      </c>
      <c r="C59" s="41">
        <v>45245</v>
      </c>
      <c r="D59" s="42" t="s">
        <v>89</v>
      </c>
      <c r="E59" s="4" t="s">
        <v>32</v>
      </c>
      <c r="F59" s="35"/>
      <c r="G59" s="34" t="s">
        <v>19</v>
      </c>
      <c r="H59" s="35"/>
      <c r="I59" s="35"/>
      <c r="J59" s="35"/>
      <c r="K59" s="35"/>
      <c r="L59" s="40">
        <f t="shared" si="3"/>
        <v>0</v>
      </c>
      <c r="M59" s="40">
        <f t="shared" si="4"/>
        <v>0</v>
      </c>
      <c r="N59" s="40">
        <f t="shared" si="5"/>
        <v>0</v>
      </c>
      <c r="Q59" s="105"/>
    </row>
    <row r="60" spans="2:17" ht="18.75">
      <c r="B60" s="7" t="s">
        <v>87</v>
      </c>
      <c r="C60" s="92">
        <v>45259</v>
      </c>
      <c r="D60" s="42" t="s">
        <v>90</v>
      </c>
      <c r="E60" s="4" t="s">
        <v>32</v>
      </c>
      <c r="F60" s="35"/>
      <c r="G60" s="34" t="s">
        <v>16</v>
      </c>
      <c r="H60" s="45">
        <v>45524</v>
      </c>
      <c r="I60" s="45">
        <v>45552</v>
      </c>
      <c r="J60" s="35"/>
      <c r="K60" s="35"/>
      <c r="L60" s="40">
        <f t="shared" si="3"/>
        <v>265</v>
      </c>
      <c r="M60" s="40">
        <f t="shared" si="4"/>
        <v>28</v>
      </c>
      <c r="N60" s="40">
        <f t="shared" si="5"/>
        <v>293</v>
      </c>
      <c r="Q60" s="105"/>
    </row>
    <row r="61" spans="2:17" ht="18.75">
      <c r="B61" s="7" t="s">
        <v>13</v>
      </c>
      <c r="C61" s="45">
        <v>45315</v>
      </c>
      <c r="D61" s="46" t="s">
        <v>91</v>
      </c>
      <c r="E61" s="4" t="s">
        <v>18</v>
      </c>
      <c r="F61" s="33" t="s">
        <v>92</v>
      </c>
      <c r="G61" s="34" t="s">
        <v>19</v>
      </c>
      <c r="H61" s="34"/>
      <c r="I61" s="34"/>
      <c r="J61" s="35"/>
      <c r="K61" s="35" t="s">
        <v>93</v>
      </c>
      <c r="L61" s="40">
        <f t="shared" si="3"/>
        <v>0</v>
      </c>
      <c r="M61" s="40">
        <f t="shared" si="4"/>
        <v>0</v>
      </c>
      <c r="N61" s="40">
        <f t="shared" si="5"/>
        <v>0</v>
      </c>
      <c r="Q61" s="105"/>
    </row>
    <row r="62" spans="2:17" ht="18.75">
      <c r="B62" s="7" t="s">
        <v>13</v>
      </c>
      <c r="C62" s="45">
        <v>45315</v>
      </c>
      <c r="D62" s="46" t="s">
        <v>94</v>
      </c>
      <c r="E62" s="4" t="s">
        <v>15</v>
      </c>
      <c r="F62" s="33" t="s">
        <v>95</v>
      </c>
      <c r="G62" s="34" t="s">
        <v>19</v>
      </c>
      <c r="H62" s="34"/>
      <c r="I62" s="34"/>
      <c r="J62" s="35"/>
      <c r="K62" s="35" t="s">
        <v>96</v>
      </c>
      <c r="L62" s="40">
        <f t="shared" si="3"/>
        <v>0</v>
      </c>
      <c r="M62" s="40">
        <f t="shared" si="4"/>
        <v>0</v>
      </c>
      <c r="N62" s="40">
        <f t="shared" si="5"/>
        <v>0</v>
      </c>
      <c r="Q62" s="105"/>
    </row>
    <row r="63" spans="2:17" ht="18.75">
      <c r="B63" s="7" t="s">
        <v>13</v>
      </c>
      <c r="C63" s="45">
        <v>45315</v>
      </c>
      <c r="D63" s="46" t="s">
        <v>97</v>
      </c>
      <c r="E63" s="4" t="s">
        <v>18</v>
      </c>
      <c r="F63" s="33" t="s">
        <v>98</v>
      </c>
      <c r="G63" s="34" t="s">
        <v>19</v>
      </c>
      <c r="H63" s="34"/>
      <c r="I63" s="34"/>
      <c r="J63" s="35"/>
      <c r="K63" s="35" t="s">
        <v>99</v>
      </c>
      <c r="L63" s="40">
        <f t="shared" si="3"/>
        <v>0</v>
      </c>
      <c r="M63" s="40">
        <f t="shared" si="4"/>
        <v>0</v>
      </c>
      <c r="N63" s="40">
        <f t="shared" si="5"/>
        <v>0</v>
      </c>
      <c r="Q63" s="105"/>
    </row>
    <row r="64" spans="2:17" ht="18.75">
      <c r="B64" s="7" t="s">
        <v>13</v>
      </c>
      <c r="C64" s="45">
        <v>45306</v>
      </c>
      <c r="D64" s="46" t="s">
        <v>100</v>
      </c>
      <c r="E64" s="4" t="s">
        <v>15</v>
      </c>
      <c r="F64" s="33" t="s">
        <v>101</v>
      </c>
      <c r="G64" s="45" t="s">
        <v>16</v>
      </c>
      <c r="H64" s="45">
        <v>45320</v>
      </c>
      <c r="I64" s="45">
        <v>45336</v>
      </c>
      <c r="J64" s="34"/>
      <c r="K64" s="35"/>
      <c r="L64" s="40">
        <f t="shared" si="3"/>
        <v>14</v>
      </c>
      <c r="M64" s="40">
        <f t="shared" si="4"/>
        <v>16</v>
      </c>
      <c r="N64" s="40">
        <f t="shared" si="5"/>
        <v>30</v>
      </c>
      <c r="Q64" s="105"/>
    </row>
    <row r="65" spans="2:17" ht="18.75">
      <c r="B65" s="7" t="s">
        <v>13</v>
      </c>
      <c r="C65" s="45">
        <v>45306</v>
      </c>
      <c r="D65" s="46" t="s">
        <v>102</v>
      </c>
      <c r="E65" s="4" t="s">
        <v>32</v>
      </c>
      <c r="F65" s="33" t="s">
        <v>103</v>
      </c>
      <c r="G65" s="34" t="s">
        <v>19</v>
      </c>
      <c r="H65" s="34"/>
      <c r="I65" s="34"/>
      <c r="J65" s="35"/>
      <c r="K65" s="35"/>
      <c r="L65" s="40">
        <f t="shared" si="3"/>
        <v>0</v>
      </c>
      <c r="M65" s="40">
        <f t="shared" si="4"/>
        <v>0</v>
      </c>
      <c r="N65" s="40">
        <f t="shared" si="5"/>
        <v>0</v>
      </c>
      <c r="Q65" s="105"/>
    </row>
    <row r="66" spans="2:17" ht="18.75">
      <c r="B66" s="7" t="s">
        <v>24</v>
      </c>
      <c r="C66" s="45">
        <v>45329</v>
      </c>
      <c r="D66" s="46" t="s">
        <v>104</v>
      </c>
      <c r="E66" s="4" t="s">
        <v>18</v>
      </c>
      <c r="F66" s="35"/>
      <c r="G66" s="34" t="s">
        <v>19</v>
      </c>
      <c r="H66" s="34"/>
      <c r="I66" s="34"/>
      <c r="J66" s="35"/>
      <c r="K66" s="35" t="s">
        <v>105</v>
      </c>
      <c r="L66" s="40">
        <f t="shared" si="3"/>
        <v>0</v>
      </c>
      <c r="M66" s="40">
        <f t="shared" si="4"/>
        <v>0</v>
      </c>
      <c r="N66" s="40">
        <f t="shared" si="5"/>
        <v>0</v>
      </c>
      <c r="Q66" s="105"/>
    </row>
    <row r="67" spans="2:17" ht="18.75">
      <c r="B67" s="7" t="s">
        <v>24</v>
      </c>
      <c r="C67" s="45">
        <v>45329</v>
      </c>
      <c r="D67" s="46" t="s">
        <v>106</v>
      </c>
      <c r="E67" s="4" t="s">
        <v>18</v>
      </c>
      <c r="F67" s="33" t="s">
        <v>107</v>
      </c>
      <c r="G67" s="34" t="s">
        <v>19</v>
      </c>
      <c r="H67" s="34"/>
      <c r="I67" s="34"/>
      <c r="J67" s="35"/>
      <c r="K67" s="35" t="s">
        <v>105</v>
      </c>
      <c r="L67" s="40">
        <f t="shared" ref="L67:L117" si="6">IF(H67&gt;0,H67-C67,0)</f>
        <v>0</v>
      </c>
      <c r="M67" s="40">
        <f t="shared" ref="M67:M117" si="7">IF(I67&gt;0,I67-H67,0)</f>
        <v>0</v>
      </c>
      <c r="N67" s="40">
        <f t="shared" ref="N67:N117" si="8">IF(I67&gt;0,I67-C67,0)</f>
        <v>0</v>
      </c>
      <c r="Q67" s="105"/>
    </row>
    <row r="68" spans="2:17" ht="18.75">
      <c r="B68" s="7" t="s">
        <v>24</v>
      </c>
      <c r="C68" s="45">
        <v>45343</v>
      </c>
      <c r="D68" s="46" t="s">
        <v>108</v>
      </c>
      <c r="E68" s="4" t="s">
        <v>18</v>
      </c>
      <c r="F68" s="33" t="s">
        <v>109</v>
      </c>
      <c r="G68" s="34" t="s">
        <v>19</v>
      </c>
      <c r="H68" s="34"/>
      <c r="I68" s="34"/>
      <c r="J68" s="35"/>
      <c r="K68" s="35" t="s">
        <v>110</v>
      </c>
      <c r="L68" s="40">
        <f t="shared" si="6"/>
        <v>0</v>
      </c>
      <c r="M68" s="40">
        <f t="shared" si="7"/>
        <v>0</v>
      </c>
      <c r="N68" s="40">
        <f t="shared" si="8"/>
        <v>0</v>
      </c>
      <c r="Q68" s="105"/>
    </row>
    <row r="69" spans="2:17" ht="18.75">
      <c r="B69" s="7" t="s">
        <v>24</v>
      </c>
      <c r="C69" s="45">
        <v>45329</v>
      </c>
      <c r="D69" s="46" t="s">
        <v>111</v>
      </c>
      <c r="E69" s="4" t="s">
        <v>32</v>
      </c>
      <c r="F69" s="33" t="s">
        <v>112</v>
      </c>
      <c r="G69" s="34" t="s">
        <v>19</v>
      </c>
      <c r="H69" s="34"/>
      <c r="I69" s="34"/>
      <c r="J69" s="35"/>
      <c r="K69" s="35" t="s">
        <v>110</v>
      </c>
      <c r="L69" s="40">
        <f t="shared" si="6"/>
        <v>0</v>
      </c>
      <c r="M69" s="40">
        <f t="shared" si="7"/>
        <v>0</v>
      </c>
      <c r="N69" s="40">
        <f t="shared" si="8"/>
        <v>0</v>
      </c>
      <c r="Q69" s="105"/>
    </row>
    <row r="70" spans="2:17" ht="18.75">
      <c r="B70" s="7" t="s">
        <v>34</v>
      </c>
      <c r="C70" s="45">
        <v>45357</v>
      </c>
      <c r="D70" s="46" t="s">
        <v>113</v>
      </c>
      <c r="E70" s="4" t="s">
        <v>32</v>
      </c>
      <c r="F70" s="33" t="s">
        <v>109</v>
      </c>
      <c r="G70" s="34" t="s">
        <v>19</v>
      </c>
      <c r="H70" s="34"/>
      <c r="I70" s="34"/>
      <c r="J70" s="35"/>
      <c r="K70" s="35" t="s">
        <v>114</v>
      </c>
      <c r="L70" s="40">
        <f t="shared" si="6"/>
        <v>0</v>
      </c>
      <c r="M70" s="40">
        <f t="shared" si="7"/>
        <v>0</v>
      </c>
      <c r="N70" s="40">
        <f t="shared" si="8"/>
        <v>0</v>
      </c>
      <c r="Q70" s="105"/>
    </row>
    <row r="71" spans="2:17" ht="18.75">
      <c r="B71" s="7" t="s">
        <v>38</v>
      </c>
      <c r="C71" s="45">
        <v>45408</v>
      </c>
      <c r="D71" s="46" t="s">
        <v>115</v>
      </c>
      <c r="E71" s="4" t="s">
        <v>32</v>
      </c>
      <c r="F71" s="33" t="s">
        <v>116</v>
      </c>
      <c r="G71" s="34" t="s">
        <v>19</v>
      </c>
      <c r="H71" s="34"/>
      <c r="I71" s="34"/>
      <c r="J71" s="35"/>
      <c r="K71" s="35" t="s">
        <v>110</v>
      </c>
      <c r="L71" s="40">
        <f t="shared" si="6"/>
        <v>0</v>
      </c>
      <c r="M71" s="40">
        <f t="shared" si="7"/>
        <v>0</v>
      </c>
      <c r="N71" s="40">
        <f t="shared" si="8"/>
        <v>0</v>
      </c>
      <c r="Q71" s="105"/>
    </row>
    <row r="72" spans="2:17" ht="18.75">
      <c r="B72" s="7" t="s">
        <v>38</v>
      </c>
      <c r="C72" s="45">
        <v>45408</v>
      </c>
      <c r="D72" s="46" t="s">
        <v>117</v>
      </c>
      <c r="E72" s="4" t="s">
        <v>18</v>
      </c>
      <c r="F72" s="33" t="s">
        <v>116</v>
      </c>
      <c r="G72" s="34" t="s">
        <v>19</v>
      </c>
      <c r="H72" s="34"/>
      <c r="I72" s="34"/>
      <c r="J72" s="35"/>
      <c r="K72" s="35" t="s">
        <v>114</v>
      </c>
      <c r="L72" s="40">
        <f t="shared" si="6"/>
        <v>0</v>
      </c>
      <c r="M72" s="40">
        <f t="shared" si="7"/>
        <v>0</v>
      </c>
      <c r="N72" s="40">
        <f t="shared" si="8"/>
        <v>0</v>
      </c>
      <c r="Q72" s="105"/>
    </row>
    <row r="73" spans="2:17" ht="18.75">
      <c r="B73" s="7" t="s">
        <v>38</v>
      </c>
      <c r="C73" s="45">
        <v>45408</v>
      </c>
      <c r="D73" s="46" t="s">
        <v>118</v>
      </c>
      <c r="E73" s="4" t="s">
        <v>32</v>
      </c>
      <c r="F73" s="33" t="s">
        <v>101</v>
      </c>
      <c r="G73" s="34" t="s">
        <v>19</v>
      </c>
      <c r="H73" s="34"/>
      <c r="I73" s="34"/>
      <c r="J73" s="35"/>
      <c r="K73" s="35" t="s">
        <v>119</v>
      </c>
      <c r="L73" s="40">
        <f t="shared" si="6"/>
        <v>0</v>
      </c>
      <c r="M73" s="40">
        <f t="shared" si="7"/>
        <v>0</v>
      </c>
      <c r="N73" s="40">
        <f t="shared" si="8"/>
        <v>0</v>
      </c>
      <c r="Q73" s="105"/>
    </row>
    <row r="74" spans="2:17" ht="18.75">
      <c r="B74" s="7" t="s">
        <v>38</v>
      </c>
      <c r="C74" s="45">
        <v>45412</v>
      </c>
      <c r="D74" s="46" t="s">
        <v>120</v>
      </c>
      <c r="E74" s="4" t="s">
        <v>18</v>
      </c>
      <c r="F74" s="33" t="s">
        <v>121</v>
      </c>
      <c r="G74" s="34" t="s">
        <v>19</v>
      </c>
      <c r="H74" s="34"/>
      <c r="I74" s="34"/>
      <c r="J74" s="35"/>
      <c r="K74" s="35" t="s">
        <v>122</v>
      </c>
      <c r="L74" s="40">
        <f t="shared" si="6"/>
        <v>0</v>
      </c>
      <c r="M74" s="40">
        <f t="shared" si="7"/>
        <v>0</v>
      </c>
      <c r="N74" s="40">
        <f t="shared" si="8"/>
        <v>0</v>
      </c>
      <c r="Q74" s="105"/>
    </row>
    <row r="75" spans="2:17" ht="18.75">
      <c r="B75" s="7" t="s">
        <v>38</v>
      </c>
      <c r="C75" s="45">
        <v>45412</v>
      </c>
      <c r="D75" s="46" t="s">
        <v>123</v>
      </c>
      <c r="E75" s="4" t="s">
        <v>18</v>
      </c>
      <c r="F75" s="33" t="s">
        <v>121</v>
      </c>
      <c r="G75" s="34" t="s">
        <v>19</v>
      </c>
      <c r="H75" s="34"/>
      <c r="I75" s="34"/>
      <c r="J75" s="35"/>
      <c r="K75" s="35" t="s">
        <v>122</v>
      </c>
      <c r="L75" s="40">
        <f t="shared" si="6"/>
        <v>0</v>
      </c>
      <c r="M75" s="40">
        <f t="shared" si="7"/>
        <v>0</v>
      </c>
      <c r="N75" s="40">
        <f t="shared" si="8"/>
        <v>0</v>
      </c>
      <c r="Q75" s="105"/>
    </row>
    <row r="76" spans="2:17" ht="18.75">
      <c r="B76" s="7" t="s">
        <v>47</v>
      </c>
      <c r="C76" s="45">
        <v>45420</v>
      </c>
      <c r="D76" s="46" t="s">
        <v>124</v>
      </c>
      <c r="E76" s="4" t="s">
        <v>18</v>
      </c>
      <c r="F76" s="33" t="s">
        <v>109</v>
      </c>
      <c r="G76" s="34" t="s">
        <v>19</v>
      </c>
      <c r="H76" s="34"/>
      <c r="I76" s="34"/>
      <c r="J76" s="35"/>
      <c r="K76" s="35" t="s">
        <v>105</v>
      </c>
      <c r="L76" s="40">
        <f t="shared" si="6"/>
        <v>0</v>
      </c>
      <c r="M76" s="40">
        <f t="shared" si="7"/>
        <v>0</v>
      </c>
      <c r="N76" s="40">
        <f t="shared" si="8"/>
        <v>0</v>
      </c>
      <c r="Q76" s="105"/>
    </row>
    <row r="77" spans="2:17" ht="18.75">
      <c r="B77" s="7" t="s">
        <v>47</v>
      </c>
      <c r="C77" s="45">
        <v>45429</v>
      </c>
      <c r="D77" s="46" t="s">
        <v>125</v>
      </c>
      <c r="E77" s="4" t="s">
        <v>32</v>
      </c>
      <c r="F77" s="33" t="s">
        <v>126</v>
      </c>
      <c r="G77" s="45" t="s">
        <v>16</v>
      </c>
      <c r="H77" s="45">
        <v>45502</v>
      </c>
      <c r="I77" s="45"/>
      <c r="J77" s="35" t="s">
        <v>51</v>
      </c>
      <c r="K77" s="35"/>
      <c r="L77" s="40">
        <f t="shared" si="6"/>
        <v>73</v>
      </c>
      <c r="M77" s="40">
        <f t="shared" si="7"/>
        <v>0</v>
      </c>
      <c r="N77" s="40">
        <f t="shared" si="8"/>
        <v>0</v>
      </c>
      <c r="Q77" s="105"/>
    </row>
    <row r="78" spans="2:17" ht="18.75">
      <c r="B78" s="7" t="s">
        <v>47</v>
      </c>
      <c r="C78" s="45">
        <v>45429</v>
      </c>
      <c r="D78" s="47" t="s">
        <v>127</v>
      </c>
      <c r="E78" s="4" t="s">
        <v>18</v>
      </c>
      <c r="F78" s="33" t="s">
        <v>126</v>
      </c>
      <c r="G78" s="45" t="s">
        <v>19</v>
      </c>
      <c r="H78" s="45"/>
      <c r="I78" s="45"/>
      <c r="K78" s="35" t="s">
        <v>128</v>
      </c>
      <c r="L78" s="40">
        <f t="shared" si="6"/>
        <v>0</v>
      </c>
      <c r="M78" s="40">
        <f t="shared" si="7"/>
        <v>0</v>
      </c>
      <c r="N78" s="40">
        <f t="shared" si="8"/>
        <v>0</v>
      </c>
      <c r="Q78" s="105"/>
    </row>
    <row r="79" spans="2:17" ht="18.75">
      <c r="B79" s="7" t="s">
        <v>47</v>
      </c>
      <c r="C79" s="45">
        <v>45429</v>
      </c>
      <c r="D79" s="46" t="s">
        <v>129</v>
      </c>
      <c r="E79" s="4" t="s">
        <v>32</v>
      </c>
      <c r="F79" s="33" t="s">
        <v>101</v>
      </c>
      <c r="G79" s="34" t="s">
        <v>19</v>
      </c>
      <c r="H79" s="34"/>
      <c r="I79" s="34"/>
      <c r="J79" s="35"/>
      <c r="K79" s="35" t="s">
        <v>114</v>
      </c>
      <c r="L79" s="40">
        <f t="shared" si="6"/>
        <v>0</v>
      </c>
      <c r="M79" s="40">
        <f t="shared" si="7"/>
        <v>0</v>
      </c>
      <c r="N79" s="40">
        <f t="shared" si="8"/>
        <v>0</v>
      </c>
      <c r="Q79" s="105"/>
    </row>
    <row r="80" spans="2:17" ht="18.75">
      <c r="B80" s="7" t="s">
        <v>57</v>
      </c>
      <c r="C80" s="45">
        <v>45448</v>
      </c>
      <c r="D80" s="46" t="s">
        <v>130</v>
      </c>
      <c r="E80" s="4" t="s">
        <v>15</v>
      </c>
      <c r="F80" s="33" t="s">
        <v>109</v>
      </c>
      <c r="G80" s="45" t="s">
        <v>16</v>
      </c>
      <c r="H80" s="45">
        <v>45483</v>
      </c>
      <c r="I80" s="45"/>
      <c r="J80" s="35" t="s">
        <v>51</v>
      </c>
      <c r="K80" s="35"/>
      <c r="L80" s="40">
        <f t="shared" si="6"/>
        <v>35</v>
      </c>
      <c r="M80" s="40">
        <f t="shared" si="7"/>
        <v>0</v>
      </c>
      <c r="N80" s="40">
        <f t="shared" si="8"/>
        <v>0</v>
      </c>
      <c r="Q80" s="105"/>
    </row>
    <row r="81" spans="2:17" ht="18.75">
      <c r="B81" s="7" t="s">
        <v>57</v>
      </c>
      <c r="C81" s="45">
        <v>45448</v>
      </c>
      <c r="D81" s="46" t="s">
        <v>131</v>
      </c>
      <c r="E81" s="4" t="s">
        <v>18</v>
      </c>
      <c r="F81" s="33" t="s">
        <v>132</v>
      </c>
      <c r="G81" s="34" t="s">
        <v>19</v>
      </c>
      <c r="H81" s="34"/>
      <c r="I81" s="34"/>
      <c r="J81" s="35"/>
      <c r="K81" s="35" t="s">
        <v>133</v>
      </c>
      <c r="L81" s="40">
        <f t="shared" si="6"/>
        <v>0</v>
      </c>
      <c r="M81" s="40">
        <f t="shared" si="7"/>
        <v>0</v>
      </c>
      <c r="N81" s="40">
        <f t="shared" si="8"/>
        <v>0</v>
      </c>
      <c r="Q81" s="105"/>
    </row>
    <row r="82" spans="2:17" ht="18.75">
      <c r="B82" s="7" t="s">
        <v>57</v>
      </c>
      <c r="C82" s="45">
        <v>45448</v>
      </c>
      <c r="D82" s="46" t="s">
        <v>134</v>
      </c>
      <c r="E82" s="4" t="s">
        <v>18</v>
      </c>
      <c r="F82" s="33" t="s">
        <v>135</v>
      </c>
      <c r="G82" s="34" t="s">
        <v>19</v>
      </c>
      <c r="H82" s="35"/>
      <c r="I82" s="35"/>
      <c r="J82" s="35"/>
      <c r="K82" s="35" t="s">
        <v>136</v>
      </c>
      <c r="L82" s="40">
        <f t="shared" si="6"/>
        <v>0</v>
      </c>
      <c r="M82" s="40">
        <f t="shared" si="7"/>
        <v>0</v>
      </c>
      <c r="N82" s="40">
        <f t="shared" si="8"/>
        <v>0</v>
      </c>
      <c r="Q82" s="105"/>
    </row>
    <row r="83" spans="2:17" ht="18.75">
      <c r="B83" s="7" t="s">
        <v>57</v>
      </c>
      <c r="C83" s="45">
        <v>45448</v>
      </c>
      <c r="D83" s="48" t="s">
        <v>137</v>
      </c>
      <c r="E83" s="4" t="s">
        <v>18</v>
      </c>
      <c r="F83" s="49" t="s">
        <v>101</v>
      </c>
      <c r="G83" s="50" t="s">
        <v>19</v>
      </c>
      <c r="H83" s="50"/>
      <c r="I83" s="34"/>
      <c r="J83" s="35"/>
      <c r="K83" s="51" t="s">
        <v>133</v>
      </c>
      <c r="L83" s="40">
        <f t="shared" si="6"/>
        <v>0</v>
      </c>
      <c r="M83" s="40">
        <f t="shared" si="7"/>
        <v>0</v>
      </c>
      <c r="N83" s="40">
        <f t="shared" si="8"/>
        <v>0</v>
      </c>
      <c r="Q83" s="105"/>
    </row>
    <row r="84" spans="2:17" ht="18.75">
      <c r="B84" s="7" t="s">
        <v>57</v>
      </c>
      <c r="C84" s="45">
        <v>45448</v>
      </c>
      <c r="D84" s="46" t="s">
        <v>138</v>
      </c>
      <c r="E84" s="4" t="s">
        <v>32</v>
      </c>
      <c r="F84" s="33" t="s">
        <v>109</v>
      </c>
      <c r="G84" s="45" t="s">
        <v>19</v>
      </c>
      <c r="H84" s="45"/>
      <c r="I84" s="45"/>
      <c r="J84" s="35"/>
      <c r="K84" s="35" t="s">
        <v>139</v>
      </c>
      <c r="L84" s="40">
        <f t="shared" si="6"/>
        <v>0</v>
      </c>
      <c r="M84" s="40">
        <f t="shared" si="7"/>
        <v>0</v>
      </c>
      <c r="N84" s="40">
        <f t="shared" si="8"/>
        <v>0</v>
      </c>
      <c r="Q84" s="105"/>
    </row>
    <row r="85" spans="2:17" ht="18.75">
      <c r="B85" s="7" t="s">
        <v>62</v>
      </c>
      <c r="C85" s="45">
        <v>45483</v>
      </c>
      <c r="D85" s="46" t="s">
        <v>140</v>
      </c>
      <c r="E85" s="4" t="s">
        <v>18</v>
      </c>
      <c r="F85" s="33" t="s">
        <v>141</v>
      </c>
      <c r="G85" s="34" t="s">
        <v>19</v>
      </c>
      <c r="H85" s="35"/>
      <c r="I85" s="35"/>
      <c r="J85" s="35"/>
      <c r="K85" s="35" t="s">
        <v>142</v>
      </c>
      <c r="L85" s="40">
        <f t="shared" si="6"/>
        <v>0</v>
      </c>
      <c r="M85" s="40">
        <f t="shared" si="7"/>
        <v>0</v>
      </c>
      <c r="N85" s="40">
        <f t="shared" si="8"/>
        <v>0</v>
      </c>
      <c r="Q85" s="105"/>
    </row>
    <row r="86" spans="2:17" ht="18.75">
      <c r="B86" s="7" t="s">
        <v>62</v>
      </c>
      <c r="C86" s="45">
        <v>45492</v>
      </c>
      <c r="D86" s="46" t="s">
        <v>143</v>
      </c>
      <c r="E86" s="4" t="s">
        <v>18</v>
      </c>
      <c r="F86" s="35" t="s">
        <v>144</v>
      </c>
      <c r="G86" s="34" t="s">
        <v>19</v>
      </c>
      <c r="H86" s="35"/>
      <c r="I86" s="35"/>
      <c r="J86" s="35"/>
      <c r="K86" s="35"/>
      <c r="L86" s="40">
        <f t="shared" si="6"/>
        <v>0</v>
      </c>
      <c r="M86" s="40">
        <f t="shared" si="7"/>
        <v>0</v>
      </c>
      <c r="N86" s="40">
        <f t="shared" si="8"/>
        <v>0</v>
      </c>
      <c r="Q86" s="105"/>
    </row>
    <row r="87" spans="2:17" ht="18.75">
      <c r="B87" s="7" t="s">
        <v>62</v>
      </c>
      <c r="C87" s="45">
        <v>45497</v>
      </c>
      <c r="D87" s="46" t="s">
        <v>145</v>
      </c>
      <c r="E87" s="4" t="s">
        <v>18</v>
      </c>
      <c r="F87" s="33" t="s">
        <v>109</v>
      </c>
      <c r="G87" s="34" t="s">
        <v>16</v>
      </c>
      <c r="H87" s="35"/>
      <c r="I87" s="35"/>
      <c r="J87" s="35" t="s">
        <v>146</v>
      </c>
      <c r="K87" s="35" t="s">
        <v>147</v>
      </c>
      <c r="L87" s="40">
        <f t="shared" si="6"/>
        <v>0</v>
      </c>
      <c r="M87" s="40">
        <f t="shared" si="7"/>
        <v>0</v>
      </c>
      <c r="N87" s="40">
        <f t="shared" si="8"/>
        <v>0</v>
      </c>
      <c r="Q87" s="105"/>
    </row>
    <row r="88" spans="2:17" ht="18.75">
      <c r="B88" s="7" t="s">
        <v>62</v>
      </c>
      <c r="C88" s="45">
        <v>45497</v>
      </c>
      <c r="D88" s="46" t="s">
        <v>148</v>
      </c>
      <c r="E88" s="4" t="s">
        <v>32</v>
      </c>
      <c r="F88" s="33" t="s">
        <v>103</v>
      </c>
      <c r="G88" s="34" t="s">
        <v>19</v>
      </c>
      <c r="H88" s="35"/>
      <c r="I88" s="35"/>
      <c r="J88" s="35"/>
      <c r="K88" s="35" t="s">
        <v>149</v>
      </c>
      <c r="L88" s="40">
        <f t="shared" si="6"/>
        <v>0</v>
      </c>
      <c r="M88" s="40">
        <f t="shared" si="7"/>
        <v>0</v>
      </c>
      <c r="N88" s="40">
        <f t="shared" si="8"/>
        <v>0</v>
      </c>
      <c r="Q88" s="105"/>
    </row>
    <row r="89" spans="2:17" ht="18.75">
      <c r="B89" s="7" t="s">
        <v>62</v>
      </c>
      <c r="C89" s="45">
        <v>45499</v>
      </c>
      <c r="D89" s="46" t="s">
        <v>150</v>
      </c>
      <c r="E89" s="4" t="s">
        <v>32</v>
      </c>
      <c r="F89" s="33" t="s">
        <v>121</v>
      </c>
      <c r="G89" s="34" t="s">
        <v>19</v>
      </c>
      <c r="H89" s="35"/>
      <c r="I89" s="35"/>
      <c r="J89" s="35"/>
      <c r="K89" s="35" t="s">
        <v>151</v>
      </c>
      <c r="L89" s="40">
        <f t="shared" si="6"/>
        <v>0</v>
      </c>
      <c r="M89" s="40">
        <f t="shared" si="7"/>
        <v>0</v>
      </c>
      <c r="N89" s="40">
        <f t="shared" si="8"/>
        <v>0</v>
      </c>
      <c r="Q89" s="105"/>
    </row>
    <row r="90" spans="2:17" ht="18.75">
      <c r="B90" s="7" t="s">
        <v>68</v>
      </c>
      <c r="C90" s="92">
        <v>45525</v>
      </c>
      <c r="D90" s="46" t="s">
        <v>152</v>
      </c>
      <c r="E90" s="4" t="s">
        <v>15</v>
      </c>
      <c r="F90" s="35" t="s">
        <v>153</v>
      </c>
      <c r="G90" s="34" t="s">
        <v>16</v>
      </c>
      <c r="H90" s="45">
        <v>45684</v>
      </c>
      <c r="I90" s="35"/>
      <c r="J90" s="35" t="s">
        <v>76</v>
      </c>
      <c r="K90" s="35"/>
      <c r="L90" s="40">
        <f t="shared" si="6"/>
        <v>159</v>
      </c>
      <c r="M90" s="40">
        <f t="shared" si="7"/>
        <v>0</v>
      </c>
      <c r="N90" s="40">
        <f t="shared" si="8"/>
        <v>0</v>
      </c>
      <c r="Q90" s="105"/>
    </row>
    <row r="91" spans="2:17" ht="18.75">
      <c r="B91" s="7" t="s">
        <v>68</v>
      </c>
      <c r="C91" s="92">
        <v>45525</v>
      </c>
      <c r="D91" s="46" t="s">
        <v>154</v>
      </c>
      <c r="E91" s="4" t="s">
        <v>18</v>
      </c>
      <c r="F91" s="35" t="s">
        <v>101</v>
      </c>
      <c r="G91" s="34" t="s">
        <v>19</v>
      </c>
      <c r="H91" s="35"/>
      <c r="I91" s="35"/>
      <c r="J91" s="35"/>
      <c r="K91" s="35"/>
      <c r="L91" s="40">
        <f t="shared" si="6"/>
        <v>0</v>
      </c>
      <c r="M91" s="40">
        <f t="shared" si="7"/>
        <v>0</v>
      </c>
      <c r="N91" s="40">
        <f t="shared" si="8"/>
        <v>0</v>
      </c>
      <c r="Q91" s="105"/>
    </row>
    <row r="92" spans="2:17" ht="18.75">
      <c r="B92" s="7" t="s">
        <v>77</v>
      </c>
      <c r="C92" s="92">
        <v>45553</v>
      </c>
      <c r="D92" s="46" t="s">
        <v>155</v>
      </c>
      <c r="E92" s="4" t="s">
        <v>18</v>
      </c>
      <c r="F92" s="35" t="s">
        <v>101</v>
      </c>
      <c r="G92" s="34" t="s">
        <v>19</v>
      </c>
      <c r="H92" s="35"/>
      <c r="I92" s="35"/>
      <c r="J92" s="35"/>
      <c r="K92" s="35" t="s">
        <v>156</v>
      </c>
      <c r="L92" s="40">
        <f t="shared" si="6"/>
        <v>0</v>
      </c>
      <c r="M92" s="40">
        <f t="shared" si="7"/>
        <v>0</v>
      </c>
      <c r="N92" s="40">
        <f t="shared" si="8"/>
        <v>0</v>
      </c>
      <c r="Q92" s="105"/>
    </row>
    <row r="93" spans="2:17" ht="18.75">
      <c r="B93" s="7" t="s">
        <v>77</v>
      </c>
      <c r="C93" s="92">
        <v>45553</v>
      </c>
      <c r="D93" s="46" t="s">
        <v>157</v>
      </c>
      <c r="E93" s="4" t="s">
        <v>18</v>
      </c>
      <c r="F93" s="35" t="s">
        <v>158</v>
      </c>
      <c r="G93" s="34" t="s">
        <v>19</v>
      </c>
      <c r="H93" s="35"/>
      <c r="I93" s="35"/>
      <c r="J93" s="35"/>
      <c r="K93" s="35" t="s">
        <v>159</v>
      </c>
      <c r="L93" s="40">
        <f t="shared" si="6"/>
        <v>0</v>
      </c>
      <c r="M93" s="40">
        <f t="shared" si="7"/>
        <v>0</v>
      </c>
      <c r="N93" s="40">
        <f t="shared" si="8"/>
        <v>0</v>
      </c>
      <c r="Q93" s="105"/>
    </row>
    <row r="94" spans="2:17" ht="18.75">
      <c r="B94" s="7" t="s">
        <v>77</v>
      </c>
      <c r="C94" s="92">
        <v>45553</v>
      </c>
      <c r="D94" s="46" t="s">
        <v>160</v>
      </c>
      <c r="E94" s="4" t="s">
        <v>18</v>
      </c>
      <c r="F94" s="35" t="s">
        <v>101</v>
      </c>
      <c r="G94" s="34" t="s">
        <v>19</v>
      </c>
      <c r="H94" s="35"/>
      <c r="I94" s="35"/>
      <c r="J94" s="35"/>
      <c r="K94" s="35" t="s">
        <v>161</v>
      </c>
      <c r="L94" s="40">
        <f t="shared" si="6"/>
        <v>0</v>
      </c>
      <c r="M94" s="40">
        <f t="shared" si="7"/>
        <v>0</v>
      </c>
      <c r="N94" s="40">
        <f t="shared" si="8"/>
        <v>0</v>
      </c>
      <c r="Q94" s="105"/>
    </row>
    <row r="95" spans="2:17" ht="18.75">
      <c r="B95" s="7" t="s">
        <v>84</v>
      </c>
      <c r="C95" s="92">
        <v>45581</v>
      </c>
      <c r="D95" s="46" t="s">
        <v>162</v>
      </c>
      <c r="E95" s="4" t="s">
        <v>32</v>
      </c>
      <c r="F95" s="35" t="s">
        <v>163</v>
      </c>
      <c r="G95" s="34" t="s">
        <v>16</v>
      </c>
      <c r="H95" s="45">
        <v>45594</v>
      </c>
      <c r="I95" s="45">
        <v>45673</v>
      </c>
      <c r="J95" s="35"/>
      <c r="K95" s="35"/>
      <c r="L95" s="40">
        <f t="shared" si="6"/>
        <v>13</v>
      </c>
      <c r="M95" s="40">
        <f t="shared" si="7"/>
        <v>79</v>
      </c>
      <c r="N95" s="40">
        <f t="shared" si="8"/>
        <v>92</v>
      </c>
      <c r="Q95" s="105"/>
    </row>
    <row r="96" spans="2:17" ht="18.75">
      <c r="B96" s="7" t="s">
        <v>84</v>
      </c>
      <c r="C96" s="92">
        <v>45595</v>
      </c>
      <c r="D96" s="46" t="s">
        <v>164</v>
      </c>
      <c r="E96" s="4" t="s">
        <v>32</v>
      </c>
      <c r="F96" s="35" t="s">
        <v>103</v>
      </c>
      <c r="G96" s="34" t="s">
        <v>19</v>
      </c>
      <c r="H96" s="35"/>
      <c r="I96" s="35"/>
      <c r="J96" s="35"/>
      <c r="K96" s="35"/>
      <c r="L96" s="40">
        <f t="shared" si="6"/>
        <v>0</v>
      </c>
      <c r="M96" s="40">
        <f t="shared" si="7"/>
        <v>0</v>
      </c>
      <c r="N96" s="40">
        <f t="shared" si="8"/>
        <v>0</v>
      </c>
      <c r="Q96" s="105"/>
    </row>
    <row r="97" spans="2:17" ht="18.75">
      <c r="B97" s="7" t="s">
        <v>84</v>
      </c>
      <c r="C97" s="92">
        <v>45595</v>
      </c>
      <c r="D97" s="46" t="s">
        <v>165</v>
      </c>
      <c r="E97" s="4" t="s">
        <v>18</v>
      </c>
      <c r="F97" s="35" t="s">
        <v>166</v>
      </c>
      <c r="G97" s="34" t="s">
        <v>19</v>
      </c>
      <c r="H97" s="35"/>
      <c r="I97" s="35"/>
      <c r="J97" s="35"/>
      <c r="K97" s="35"/>
      <c r="L97" s="40">
        <f t="shared" si="6"/>
        <v>0</v>
      </c>
      <c r="M97" s="40">
        <f t="shared" si="7"/>
        <v>0</v>
      </c>
      <c r="N97" s="40">
        <f t="shared" si="8"/>
        <v>0</v>
      </c>
      <c r="Q97" s="105"/>
    </row>
    <row r="98" spans="2:17" ht="18.75">
      <c r="B98" s="99" t="s">
        <v>87</v>
      </c>
      <c r="C98" s="92">
        <v>45604</v>
      </c>
      <c r="D98" s="46" t="s">
        <v>167</v>
      </c>
      <c r="E98" s="4" t="s">
        <v>15</v>
      </c>
      <c r="F98" s="35" t="s">
        <v>107</v>
      </c>
      <c r="G98" s="34" t="s">
        <v>16</v>
      </c>
      <c r="H98" s="45">
        <v>45677</v>
      </c>
      <c r="I98" s="45">
        <v>45699</v>
      </c>
      <c r="J98" s="35"/>
      <c r="K98" s="35"/>
      <c r="L98" s="40">
        <f t="shared" si="6"/>
        <v>73</v>
      </c>
      <c r="M98" s="40">
        <f t="shared" si="7"/>
        <v>22</v>
      </c>
      <c r="N98" s="40">
        <f t="shared" si="8"/>
        <v>95</v>
      </c>
      <c r="Q98" s="105"/>
    </row>
    <row r="99" spans="2:17" ht="18.75">
      <c r="B99" s="7" t="s">
        <v>87</v>
      </c>
      <c r="C99" s="92">
        <v>45604</v>
      </c>
      <c r="D99" s="46" t="s">
        <v>168</v>
      </c>
      <c r="E99" s="4" t="s">
        <v>18</v>
      </c>
      <c r="F99" s="35" t="s">
        <v>107</v>
      </c>
      <c r="G99" s="34" t="s">
        <v>16</v>
      </c>
      <c r="H99" s="45">
        <v>45944</v>
      </c>
      <c r="I99" s="45">
        <v>45958</v>
      </c>
      <c r="J99" s="35"/>
      <c r="K99" s="35"/>
      <c r="L99" s="40">
        <f t="shared" si="6"/>
        <v>340</v>
      </c>
      <c r="M99" s="40">
        <f t="shared" si="7"/>
        <v>14</v>
      </c>
      <c r="N99" s="40">
        <f t="shared" si="8"/>
        <v>354</v>
      </c>
      <c r="Q99" s="105"/>
    </row>
    <row r="100" spans="2:17" ht="18.75">
      <c r="B100" s="7" t="s">
        <v>87</v>
      </c>
      <c r="C100" s="92">
        <v>45609</v>
      </c>
      <c r="D100" s="46" t="s">
        <v>169</v>
      </c>
      <c r="E100" s="4" t="s">
        <v>18</v>
      </c>
      <c r="F100" s="35" t="s">
        <v>109</v>
      </c>
      <c r="G100" s="34" t="s">
        <v>19</v>
      </c>
      <c r="H100" s="35"/>
      <c r="I100" s="35"/>
      <c r="J100" s="35"/>
      <c r="K100" s="35"/>
      <c r="L100" s="40">
        <f t="shared" si="6"/>
        <v>0</v>
      </c>
      <c r="M100" s="40">
        <f t="shared" si="7"/>
        <v>0</v>
      </c>
      <c r="N100" s="40">
        <f t="shared" si="8"/>
        <v>0</v>
      </c>
      <c r="Q100" s="105"/>
    </row>
    <row r="101" spans="2:17" ht="18.75">
      <c r="B101" s="7" t="s">
        <v>87</v>
      </c>
      <c r="C101" s="92">
        <v>45623</v>
      </c>
      <c r="D101" s="46" t="s">
        <v>170</v>
      </c>
      <c r="E101" s="4" t="s">
        <v>32</v>
      </c>
      <c r="F101" s="35" t="s">
        <v>101</v>
      </c>
      <c r="G101" s="34" t="s">
        <v>19</v>
      </c>
      <c r="H101" s="35"/>
      <c r="I101" s="35"/>
      <c r="J101" s="35"/>
      <c r="K101" s="35"/>
      <c r="L101" s="40">
        <f t="shared" si="6"/>
        <v>0</v>
      </c>
      <c r="M101" s="40">
        <f t="shared" si="7"/>
        <v>0</v>
      </c>
      <c r="N101" s="40">
        <f t="shared" si="8"/>
        <v>0</v>
      </c>
      <c r="Q101" s="105"/>
    </row>
    <row r="102" spans="2:17" ht="18.75">
      <c r="B102" s="7" t="s">
        <v>87</v>
      </c>
      <c r="C102" s="92">
        <v>45623</v>
      </c>
      <c r="D102" s="46" t="s">
        <v>171</v>
      </c>
      <c r="E102" s="4" t="s">
        <v>18</v>
      </c>
      <c r="F102" s="35" t="s">
        <v>172</v>
      </c>
      <c r="G102" s="34" t="s">
        <v>16</v>
      </c>
      <c r="H102" s="45">
        <v>45677</v>
      </c>
      <c r="I102" s="45">
        <v>45699</v>
      </c>
      <c r="J102" s="35"/>
      <c r="K102" s="35"/>
      <c r="L102" s="40">
        <f t="shared" si="6"/>
        <v>54</v>
      </c>
      <c r="M102" s="40">
        <f t="shared" si="7"/>
        <v>22</v>
      </c>
      <c r="N102" s="40">
        <f t="shared" si="8"/>
        <v>76</v>
      </c>
      <c r="Q102" s="105"/>
    </row>
    <row r="103" spans="2:17" ht="18.75">
      <c r="B103" s="7" t="s">
        <v>173</v>
      </c>
      <c r="C103" s="92">
        <v>45637</v>
      </c>
      <c r="D103" s="46" t="s">
        <v>174</v>
      </c>
      <c r="E103" s="4" t="s">
        <v>32</v>
      </c>
      <c r="F103" s="35" t="s">
        <v>175</v>
      </c>
      <c r="G103" s="34" t="s">
        <v>19</v>
      </c>
      <c r="H103" s="35"/>
      <c r="I103" s="35"/>
      <c r="J103" s="35"/>
      <c r="K103" s="35"/>
      <c r="L103" s="40">
        <f t="shared" si="6"/>
        <v>0</v>
      </c>
      <c r="M103" s="40">
        <f t="shared" si="7"/>
        <v>0</v>
      </c>
      <c r="N103" s="40">
        <f t="shared" si="8"/>
        <v>0</v>
      </c>
      <c r="Q103" s="105"/>
    </row>
    <row r="104" spans="2:17" ht="18.75">
      <c r="B104" s="7" t="s">
        <v>173</v>
      </c>
      <c r="C104" s="92">
        <v>45637</v>
      </c>
      <c r="D104" s="46" t="s">
        <v>176</v>
      </c>
      <c r="E104" s="4" t="s">
        <v>32</v>
      </c>
      <c r="F104" s="35" t="s">
        <v>177</v>
      </c>
      <c r="G104" s="34" t="s">
        <v>16</v>
      </c>
      <c r="H104" s="45">
        <v>45677</v>
      </c>
      <c r="I104" s="45">
        <v>45700</v>
      </c>
      <c r="J104" s="35"/>
      <c r="K104" s="35"/>
      <c r="L104" s="40">
        <f t="shared" si="6"/>
        <v>40</v>
      </c>
      <c r="M104" s="40">
        <f t="shared" si="7"/>
        <v>23</v>
      </c>
      <c r="N104" s="40">
        <f t="shared" si="8"/>
        <v>63</v>
      </c>
      <c r="Q104" s="105"/>
    </row>
    <row r="105" spans="2:17" ht="18.75">
      <c r="B105" s="7" t="s">
        <v>173</v>
      </c>
      <c r="C105" s="92">
        <v>45637</v>
      </c>
      <c r="D105" s="46" t="s">
        <v>178</v>
      </c>
      <c r="E105" s="4" t="s">
        <v>18</v>
      </c>
      <c r="F105" s="35" t="s">
        <v>101</v>
      </c>
      <c r="G105" s="34" t="s">
        <v>19</v>
      </c>
      <c r="H105" s="35"/>
      <c r="I105" s="35"/>
      <c r="J105" s="35"/>
      <c r="K105" s="35"/>
      <c r="L105" s="40">
        <f t="shared" si="6"/>
        <v>0</v>
      </c>
      <c r="M105" s="40">
        <f t="shared" si="7"/>
        <v>0</v>
      </c>
      <c r="N105" s="40">
        <f t="shared" si="8"/>
        <v>0</v>
      </c>
      <c r="Q105" s="105"/>
    </row>
    <row r="106" spans="2:17" ht="18.75">
      <c r="B106" s="7" t="s">
        <v>173</v>
      </c>
      <c r="C106" s="92">
        <v>45637</v>
      </c>
      <c r="D106" s="46" t="s">
        <v>179</v>
      </c>
      <c r="E106" s="4" t="s">
        <v>18</v>
      </c>
      <c r="F106" s="35" t="s">
        <v>103</v>
      </c>
      <c r="G106" s="34" t="s">
        <v>19</v>
      </c>
      <c r="H106" s="35"/>
      <c r="I106" s="35"/>
      <c r="J106" s="35"/>
      <c r="K106" s="35"/>
      <c r="L106" s="40">
        <f t="shared" si="6"/>
        <v>0</v>
      </c>
      <c r="M106" s="40">
        <f t="shared" si="7"/>
        <v>0</v>
      </c>
      <c r="N106" s="40">
        <f t="shared" si="8"/>
        <v>0</v>
      </c>
      <c r="Q106" s="105"/>
    </row>
    <row r="107" spans="2:17" ht="18.75">
      <c r="B107" s="7" t="s">
        <v>13</v>
      </c>
      <c r="C107" s="92">
        <v>45688</v>
      </c>
      <c r="D107" s="46" t="s">
        <v>180</v>
      </c>
      <c r="E107" s="4" t="s">
        <v>32</v>
      </c>
      <c r="F107" s="35" t="s">
        <v>181</v>
      </c>
      <c r="G107" s="34" t="s">
        <v>16</v>
      </c>
      <c r="H107" s="45">
        <v>45908</v>
      </c>
      <c r="I107" s="45">
        <v>45950</v>
      </c>
      <c r="J107" s="35"/>
      <c r="K107" s="35"/>
      <c r="L107" s="40">
        <f t="shared" si="6"/>
        <v>220</v>
      </c>
      <c r="M107" s="40">
        <f t="shared" si="7"/>
        <v>42</v>
      </c>
      <c r="N107" s="40">
        <f t="shared" si="8"/>
        <v>262</v>
      </c>
      <c r="Q107" s="105"/>
    </row>
    <row r="108" spans="2:17" ht="18.75">
      <c r="B108" s="7" t="s">
        <v>24</v>
      </c>
      <c r="C108" s="92">
        <v>45693</v>
      </c>
      <c r="D108" s="46" t="s">
        <v>182</v>
      </c>
      <c r="E108" s="4" t="s">
        <v>18</v>
      </c>
      <c r="F108" s="35" t="s">
        <v>183</v>
      </c>
      <c r="G108" s="34" t="s">
        <v>19</v>
      </c>
      <c r="H108" s="35"/>
      <c r="I108" s="35"/>
      <c r="J108" s="35"/>
      <c r="K108" s="35"/>
      <c r="L108" s="40">
        <f t="shared" si="6"/>
        <v>0</v>
      </c>
      <c r="M108" s="40">
        <f t="shared" si="7"/>
        <v>0</v>
      </c>
      <c r="N108" s="40">
        <f t="shared" si="8"/>
        <v>0</v>
      </c>
      <c r="Q108" s="105"/>
    </row>
    <row r="109" spans="2:17" ht="18.75">
      <c r="B109" s="7" t="s">
        <v>24</v>
      </c>
      <c r="C109" s="92">
        <v>45693</v>
      </c>
      <c r="D109" s="46" t="s">
        <v>184</v>
      </c>
      <c r="E109" s="4" t="s">
        <v>15</v>
      </c>
      <c r="F109" s="35" t="s">
        <v>101</v>
      </c>
      <c r="G109" s="34" t="s">
        <v>16</v>
      </c>
      <c r="H109" s="45">
        <v>45789</v>
      </c>
      <c r="I109" s="45">
        <v>45818</v>
      </c>
      <c r="J109" s="35"/>
      <c r="K109" s="35"/>
      <c r="L109" s="40">
        <f t="shared" si="6"/>
        <v>96</v>
      </c>
      <c r="M109" s="40">
        <f t="shared" si="7"/>
        <v>29</v>
      </c>
      <c r="N109" s="40">
        <f t="shared" si="8"/>
        <v>125</v>
      </c>
      <c r="Q109" s="105"/>
    </row>
    <row r="110" spans="2:17" ht="18.75">
      <c r="B110" s="7" t="s">
        <v>24</v>
      </c>
      <c r="C110" s="92">
        <v>45693</v>
      </c>
      <c r="D110" s="46" t="s">
        <v>185</v>
      </c>
      <c r="E110" s="4" t="s">
        <v>32</v>
      </c>
      <c r="F110" s="35" t="s">
        <v>103</v>
      </c>
      <c r="G110" s="34" t="s">
        <v>19</v>
      </c>
      <c r="H110" s="35"/>
      <c r="I110" s="35"/>
      <c r="J110" s="35"/>
      <c r="K110" s="35"/>
      <c r="L110" s="40">
        <f t="shared" si="6"/>
        <v>0</v>
      </c>
      <c r="M110" s="40">
        <f t="shared" si="7"/>
        <v>0</v>
      </c>
      <c r="N110" s="40">
        <f t="shared" si="8"/>
        <v>0</v>
      </c>
      <c r="Q110" s="105"/>
    </row>
    <row r="111" spans="2:17" ht="18.75">
      <c r="B111" s="7" t="s">
        <v>24</v>
      </c>
      <c r="C111" s="92">
        <v>45707</v>
      </c>
      <c r="D111" s="46" t="s">
        <v>186</v>
      </c>
      <c r="E111" s="4" t="s">
        <v>18</v>
      </c>
      <c r="F111" s="35" t="s">
        <v>101</v>
      </c>
      <c r="G111" s="34" t="s">
        <v>19</v>
      </c>
      <c r="H111" s="35"/>
      <c r="I111" s="35"/>
      <c r="J111" s="35"/>
      <c r="K111" s="35"/>
      <c r="L111" s="40">
        <f t="shared" si="6"/>
        <v>0</v>
      </c>
      <c r="M111" s="40">
        <f t="shared" si="7"/>
        <v>0</v>
      </c>
      <c r="N111" s="40">
        <f t="shared" si="8"/>
        <v>0</v>
      </c>
      <c r="Q111" s="105"/>
    </row>
    <row r="112" spans="2:17" ht="18.75">
      <c r="B112" s="7" t="s">
        <v>24</v>
      </c>
      <c r="C112" s="92">
        <v>45707</v>
      </c>
      <c r="D112" s="46" t="s">
        <v>187</v>
      </c>
      <c r="E112" s="4" t="s">
        <v>32</v>
      </c>
      <c r="F112" s="35" t="s">
        <v>103</v>
      </c>
      <c r="G112" s="34" t="s">
        <v>19</v>
      </c>
      <c r="H112" s="35"/>
      <c r="I112" s="35"/>
      <c r="J112" s="35"/>
      <c r="K112" s="35"/>
      <c r="L112" s="40">
        <f t="shared" si="6"/>
        <v>0</v>
      </c>
      <c r="M112" s="40">
        <f t="shared" si="7"/>
        <v>0</v>
      </c>
      <c r="N112" s="40">
        <f t="shared" si="8"/>
        <v>0</v>
      </c>
      <c r="Q112" s="105"/>
    </row>
    <row r="113" spans="2:17" ht="18.75">
      <c r="B113" s="7" t="s">
        <v>34</v>
      </c>
      <c r="C113" s="92">
        <v>45721</v>
      </c>
      <c r="D113" s="46" t="s">
        <v>188</v>
      </c>
      <c r="E113" s="4" t="s">
        <v>32</v>
      </c>
      <c r="F113" s="35" t="s">
        <v>101</v>
      </c>
      <c r="G113" s="34" t="s">
        <v>19</v>
      </c>
      <c r="H113" s="35"/>
      <c r="I113" s="35"/>
      <c r="J113" s="35"/>
      <c r="K113" s="35"/>
      <c r="L113" s="40">
        <f t="shared" si="6"/>
        <v>0</v>
      </c>
      <c r="M113" s="40">
        <f t="shared" si="7"/>
        <v>0</v>
      </c>
      <c r="N113" s="40">
        <f t="shared" si="8"/>
        <v>0</v>
      </c>
      <c r="Q113" s="105"/>
    </row>
    <row r="114" spans="2:17" ht="18.75">
      <c r="B114" s="7" t="s">
        <v>34</v>
      </c>
      <c r="C114" s="92">
        <v>45721</v>
      </c>
      <c r="D114" s="46" t="s">
        <v>189</v>
      </c>
      <c r="E114" s="4" t="s">
        <v>18</v>
      </c>
      <c r="F114" s="35" t="s">
        <v>101</v>
      </c>
      <c r="G114" s="34" t="s">
        <v>19</v>
      </c>
      <c r="H114" s="35"/>
      <c r="I114" s="35"/>
      <c r="J114" s="35"/>
      <c r="K114" s="35"/>
      <c r="L114" s="40">
        <f t="shared" si="6"/>
        <v>0</v>
      </c>
      <c r="M114" s="40">
        <f t="shared" si="7"/>
        <v>0</v>
      </c>
      <c r="N114" s="40">
        <f t="shared" si="8"/>
        <v>0</v>
      </c>
      <c r="Q114" s="105"/>
    </row>
    <row r="115" spans="2:17" ht="18.75">
      <c r="B115" s="7" t="s">
        <v>34</v>
      </c>
      <c r="C115" s="92">
        <v>45735</v>
      </c>
      <c r="D115" s="48" t="s">
        <v>190</v>
      </c>
      <c r="E115" s="4" t="s">
        <v>18</v>
      </c>
      <c r="F115" s="51" t="s">
        <v>103</v>
      </c>
      <c r="G115" s="50" t="s">
        <v>19</v>
      </c>
      <c r="H115" s="51"/>
      <c r="I115" s="51"/>
      <c r="J115" s="51"/>
      <c r="K115" s="51"/>
      <c r="L115" s="40">
        <f t="shared" si="6"/>
        <v>0</v>
      </c>
      <c r="M115" s="40">
        <f t="shared" si="7"/>
        <v>0</v>
      </c>
      <c r="N115" s="40">
        <f t="shared" si="8"/>
        <v>0</v>
      </c>
      <c r="Q115" s="105"/>
    </row>
    <row r="116" spans="2:17" ht="18.75">
      <c r="B116" s="7" t="s">
        <v>34</v>
      </c>
      <c r="C116" s="92">
        <v>45735</v>
      </c>
      <c r="D116" s="153" t="s">
        <v>191</v>
      </c>
      <c r="E116" s="4" t="s">
        <v>18</v>
      </c>
      <c r="F116" s="154" t="s">
        <v>101</v>
      </c>
      <c r="G116" s="155" t="s">
        <v>19</v>
      </c>
      <c r="H116" s="154"/>
      <c r="I116" s="154"/>
      <c r="J116" s="154"/>
      <c r="K116" s="154"/>
      <c r="L116" s="40">
        <f t="shared" si="6"/>
        <v>0</v>
      </c>
      <c r="M116" s="40">
        <f t="shared" si="7"/>
        <v>0</v>
      </c>
      <c r="N116" s="40">
        <f t="shared" si="8"/>
        <v>0</v>
      </c>
      <c r="Q116" s="105"/>
    </row>
    <row r="117" spans="2:17" ht="18.75">
      <c r="B117" s="7" t="s">
        <v>34</v>
      </c>
      <c r="C117" s="92">
        <v>45735</v>
      </c>
      <c r="D117" s="149" t="s">
        <v>192</v>
      </c>
      <c r="E117" s="4" t="s">
        <v>32</v>
      </c>
      <c r="F117" s="150" t="s">
        <v>101</v>
      </c>
      <c r="G117" s="151" t="s">
        <v>19</v>
      </c>
      <c r="H117" s="150"/>
      <c r="I117" s="150"/>
      <c r="J117" s="150"/>
      <c r="K117" s="150"/>
      <c r="L117" s="40">
        <f t="shared" si="6"/>
        <v>0</v>
      </c>
      <c r="M117" s="40">
        <f t="shared" si="7"/>
        <v>0</v>
      </c>
      <c r="N117" s="40">
        <f t="shared" si="8"/>
        <v>0</v>
      </c>
      <c r="Q117" s="105"/>
    </row>
    <row r="118" spans="2:17" ht="18.75">
      <c r="B118" s="7" t="s">
        <v>38</v>
      </c>
      <c r="C118" s="92">
        <v>45749</v>
      </c>
      <c r="D118" s="149" t="s">
        <v>193</v>
      </c>
      <c r="E118" s="4" t="s">
        <v>18</v>
      </c>
      <c r="F118" s="150" t="s">
        <v>109</v>
      </c>
      <c r="G118" s="151" t="s">
        <v>19</v>
      </c>
      <c r="H118" s="150"/>
      <c r="I118" s="150"/>
      <c r="J118" s="150"/>
      <c r="K118" s="150"/>
    </row>
    <row r="119" spans="2:17" ht="18.75">
      <c r="B119" s="7" t="s">
        <v>38</v>
      </c>
      <c r="C119" s="92">
        <v>45749</v>
      </c>
      <c r="D119" s="149" t="s">
        <v>194</v>
      </c>
      <c r="E119" s="4" t="s">
        <v>18</v>
      </c>
      <c r="F119" s="150" t="s">
        <v>101</v>
      </c>
      <c r="G119" s="151" t="s">
        <v>19</v>
      </c>
      <c r="H119" s="150"/>
      <c r="I119" s="150"/>
      <c r="J119" s="150"/>
      <c r="K119" s="150"/>
    </row>
    <row r="120" spans="2:17" ht="18.75">
      <c r="B120" s="7" t="s">
        <v>38</v>
      </c>
      <c r="C120" s="92">
        <v>45756</v>
      </c>
      <c r="D120" s="149" t="s">
        <v>195</v>
      </c>
      <c r="E120" s="4" t="s">
        <v>32</v>
      </c>
      <c r="F120" s="150" t="s">
        <v>196</v>
      </c>
      <c r="G120" s="151" t="s">
        <v>19</v>
      </c>
      <c r="H120" s="150"/>
      <c r="I120" s="150"/>
      <c r="J120" s="150"/>
      <c r="K120" s="150"/>
    </row>
    <row r="121" spans="2:17" ht="18.75">
      <c r="B121" s="7" t="s">
        <v>38</v>
      </c>
      <c r="C121" s="92">
        <v>45756</v>
      </c>
      <c r="D121" s="153" t="s">
        <v>197</v>
      </c>
      <c r="E121" s="4" t="s">
        <v>32</v>
      </c>
      <c r="F121" s="154" t="s">
        <v>109</v>
      </c>
      <c r="G121" s="155" t="s">
        <v>16</v>
      </c>
      <c r="H121" s="156">
        <v>45771</v>
      </c>
      <c r="I121" s="156">
        <v>45789</v>
      </c>
      <c r="J121" s="154"/>
      <c r="K121" s="154"/>
    </row>
    <row r="122" spans="2:17" ht="18.75">
      <c r="B122" s="7" t="s">
        <v>38</v>
      </c>
      <c r="C122" s="92">
        <v>45756</v>
      </c>
      <c r="D122" s="149" t="s">
        <v>198</v>
      </c>
      <c r="E122" s="4" t="s">
        <v>18</v>
      </c>
      <c r="F122" s="150" t="s">
        <v>199</v>
      </c>
      <c r="G122" s="151" t="s">
        <v>19</v>
      </c>
      <c r="H122" s="150"/>
      <c r="I122" s="150"/>
      <c r="J122" s="150"/>
      <c r="K122" s="150"/>
    </row>
    <row r="123" spans="2:17" ht="18.75">
      <c r="B123" s="7" t="s">
        <v>38</v>
      </c>
      <c r="C123" s="92">
        <v>45756</v>
      </c>
      <c r="D123" s="149" t="s">
        <v>200</v>
      </c>
      <c r="E123" s="4" t="s">
        <v>32</v>
      </c>
      <c r="F123" s="150"/>
      <c r="G123" s="151" t="s">
        <v>19</v>
      </c>
      <c r="H123" s="150"/>
      <c r="I123" s="150"/>
      <c r="J123" s="150"/>
      <c r="K123" s="150"/>
    </row>
    <row r="124" spans="2:17" ht="18.75">
      <c r="B124" s="7" t="s">
        <v>38</v>
      </c>
      <c r="C124" s="92">
        <v>45777</v>
      </c>
      <c r="D124" s="149" t="s">
        <v>201</v>
      </c>
      <c r="E124" s="4" t="s">
        <v>15</v>
      </c>
      <c r="F124" s="150" t="s">
        <v>116</v>
      </c>
      <c r="G124" s="151" t="s">
        <v>19</v>
      </c>
      <c r="H124" s="150"/>
      <c r="I124" s="150"/>
      <c r="J124" s="150"/>
      <c r="K124" s="150" t="s">
        <v>202</v>
      </c>
    </row>
    <row r="125" spans="2:17" ht="18.75">
      <c r="B125" s="7" t="s">
        <v>47</v>
      </c>
      <c r="C125" s="92">
        <v>45791</v>
      </c>
      <c r="D125" s="153" t="s">
        <v>203</v>
      </c>
      <c r="E125" s="4" t="s">
        <v>18</v>
      </c>
      <c r="F125" s="154" t="s">
        <v>109</v>
      </c>
      <c r="G125" s="155" t="s">
        <v>19</v>
      </c>
      <c r="H125" s="154"/>
      <c r="I125" s="154"/>
      <c r="J125" s="154"/>
      <c r="K125" s="154" t="s">
        <v>204</v>
      </c>
    </row>
    <row r="126" spans="2:17" ht="18.75">
      <c r="B126" s="7" t="s">
        <v>47</v>
      </c>
      <c r="C126" s="92">
        <v>45791</v>
      </c>
      <c r="D126" s="149" t="s">
        <v>205</v>
      </c>
      <c r="E126" s="4" t="s">
        <v>18</v>
      </c>
      <c r="F126" s="150" t="s">
        <v>116</v>
      </c>
      <c r="G126" s="151" t="s">
        <v>19</v>
      </c>
      <c r="H126" s="150"/>
      <c r="I126" s="150"/>
      <c r="J126" s="150"/>
      <c r="K126" s="150" t="s">
        <v>206</v>
      </c>
    </row>
    <row r="127" spans="2:17" ht="18.75">
      <c r="B127" s="7" t="s">
        <v>57</v>
      </c>
      <c r="C127" s="92">
        <v>45819</v>
      </c>
      <c r="D127" s="149" t="s">
        <v>207</v>
      </c>
      <c r="E127" s="4" t="s">
        <v>32</v>
      </c>
      <c r="F127" s="150" t="s">
        <v>109</v>
      </c>
      <c r="G127" s="151" t="s">
        <v>16</v>
      </c>
      <c r="H127" s="175">
        <v>45866</v>
      </c>
      <c r="I127" s="150"/>
      <c r="J127" s="150"/>
      <c r="K127" s="150" t="s">
        <v>208</v>
      </c>
    </row>
    <row r="128" spans="2:17" ht="18.75">
      <c r="B128" s="7" t="s">
        <v>57</v>
      </c>
      <c r="C128" s="92">
        <v>45819</v>
      </c>
      <c r="D128" s="153" t="s">
        <v>209</v>
      </c>
      <c r="E128" s="4" t="s">
        <v>32</v>
      </c>
      <c r="F128" s="154" t="s">
        <v>210</v>
      </c>
      <c r="G128" s="155" t="s">
        <v>19</v>
      </c>
      <c r="H128" s="154"/>
      <c r="I128" s="154"/>
      <c r="J128" s="154"/>
      <c r="K128" s="154" t="s">
        <v>211</v>
      </c>
    </row>
    <row r="129" spans="2:11" ht="18.75">
      <c r="B129" s="7" t="s">
        <v>57</v>
      </c>
      <c r="C129" s="92">
        <v>45819</v>
      </c>
      <c r="D129" s="149" t="s">
        <v>212</v>
      </c>
      <c r="E129" s="4" t="s">
        <v>18</v>
      </c>
      <c r="F129" s="150" t="s">
        <v>101</v>
      </c>
      <c r="G129" s="151" t="s">
        <v>19</v>
      </c>
      <c r="H129" s="150"/>
      <c r="I129" s="150"/>
      <c r="J129" s="150"/>
      <c r="K129" s="150"/>
    </row>
    <row r="130" spans="2:11" ht="18.75">
      <c r="B130" s="196" t="s">
        <v>62</v>
      </c>
      <c r="C130" s="197">
        <v>45847</v>
      </c>
      <c r="D130" s="198" t="s">
        <v>213</v>
      </c>
      <c r="E130" s="199" t="s">
        <v>18</v>
      </c>
      <c r="F130" s="200" t="s">
        <v>214</v>
      </c>
      <c r="G130" s="201" t="s">
        <v>16</v>
      </c>
      <c r="H130" s="202">
        <v>45848</v>
      </c>
      <c r="I130" s="202">
        <v>45861</v>
      </c>
      <c r="J130" s="200"/>
      <c r="K130" s="200"/>
    </row>
    <row r="131" spans="2:11" ht="18.75">
      <c r="B131" s="7" t="s">
        <v>62</v>
      </c>
      <c r="C131" s="92">
        <v>45847</v>
      </c>
      <c r="D131" s="153" t="s">
        <v>215</v>
      </c>
      <c r="E131" s="4" t="s">
        <v>32</v>
      </c>
      <c r="F131" s="154" t="s">
        <v>216</v>
      </c>
      <c r="G131" s="155" t="s">
        <v>19</v>
      </c>
      <c r="H131" s="154"/>
      <c r="I131" s="154"/>
      <c r="J131" s="154"/>
      <c r="K131" s="154" t="s">
        <v>217</v>
      </c>
    </row>
    <row r="132" spans="2:11" ht="18.75">
      <c r="B132" s="7" t="s">
        <v>62</v>
      </c>
      <c r="C132" s="92">
        <v>45852</v>
      </c>
      <c r="D132" s="149" t="s">
        <v>218</v>
      </c>
      <c r="E132" s="4" t="s">
        <v>18</v>
      </c>
      <c r="F132" s="150" t="s">
        <v>219</v>
      </c>
      <c r="G132" s="151" t="s">
        <v>19</v>
      </c>
      <c r="H132" s="150"/>
      <c r="I132" s="150"/>
      <c r="J132" s="150"/>
      <c r="K132" s="150" t="s">
        <v>220</v>
      </c>
    </row>
    <row r="133" spans="2:11" ht="18.75">
      <c r="B133" s="7" t="s">
        <v>62</v>
      </c>
      <c r="C133" s="92">
        <v>45862</v>
      </c>
      <c r="D133" s="153" t="s">
        <v>221</v>
      </c>
      <c r="E133" s="4" t="s">
        <v>18</v>
      </c>
      <c r="F133" s="154" t="s">
        <v>222</v>
      </c>
      <c r="G133" s="155" t="s">
        <v>19</v>
      </c>
      <c r="H133" s="154"/>
      <c r="I133" s="154"/>
      <c r="J133" s="154"/>
      <c r="K133" s="154" t="s">
        <v>223</v>
      </c>
    </row>
    <row r="134" spans="2:11" ht="18.75">
      <c r="B134" s="7" t="s">
        <v>62</v>
      </c>
      <c r="C134" s="92">
        <v>45866</v>
      </c>
      <c r="D134" s="149" t="s">
        <v>224</v>
      </c>
      <c r="E134" s="4" t="s">
        <v>15</v>
      </c>
      <c r="F134" s="150" t="s">
        <v>225</v>
      </c>
      <c r="G134" s="151" t="s">
        <v>19</v>
      </c>
      <c r="H134" s="150"/>
      <c r="I134" s="150"/>
      <c r="J134" s="150"/>
      <c r="K134" s="150" t="s">
        <v>220</v>
      </c>
    </row>
    <row r="135" spans="2:11" ht="18.75">
      <c r="B135" s="7" t="s">
        <v>62</v>
      </c>
      <c r="C135" s="92">
        <v>45868</v>
      </c>
      <c r="D135" s="149" t="s">
        <v>226</v>
      </c>
      <c r="E135" s="4" t="s">
        <v>18</v>
      </c>
      <c r="F135" s="150" t="s">
        <v>227</v>
      </c>
      <c r="G135" s="151" t="s">
        <v>16</v>
      </c>
      <c r="H135" s="150"/>
      <c r="I135" s="150"/>
      <c r="J135" s="150" t="s">
        <v>228</v>
      </c>
      <c r="K135" s="150" t="s">
        <v>220</v>
      </c>
    </row>
    <row r="136" spans="2:11" ht="18.75">
      <c r="B136" s="7" t="s">
        <v>68</v>
      </c>
      <c r="C136" s="92">
        <v>45870</v>
      </c>
      <c r="D136" s="153" t="s">
        <v>229</v>
      </c>
      <c r="E136" s="4" t="s">
        <v>32</v>
      </c>
      <c r="F136" s="154" t="s">
        <v>230</v>
      </c>
      <c r="G136" s="155" t="s">
        <v>19</v>
      </c>
      <c r="H136" s="154"/>
      <c r="I136" s="154"/>
      <c r="J136" s="154"/>
      <c r="K136" s="154" t="s">
        <v>223</v>
      </c>
    </row>
    <row r="137" spans="2:11" ht="18.75">
      <c r="B137" s="7" t="s">
        <v>68</v>
      </c>
      <c r="C137" s="92">
        <v>45875</v>
      </c>
      <c r="D137" s="149" t="s">
        <v>231</v>
      </c>
      <c r="E137" s="4" t="s">
        <v>18</v>
      </c>
      <c r="F137" s="150" t="s">
        <v>109</v>
      </c>
      <c r="G137" s="151" t="s">
        <v>19</v>
      </c>
      <c r="H137" s="150"/>
      <c r="I137" s="150"/>
      <c r="J137" s="150"/>
      <c r="K137" s="150" t="s">
        <v>220</v>
      </c>
    </row>
    <row r="138" spans="2:11" ht="18.75">
      <c r="B138" s="7" t="s">
        <v>68</v>
      </c>
      <c r="C138" s="92">
        <v>45896</v>
      </c>
      <c r="D138" s="149" t="s">
        <v>232</v>
      </c>
      <c r="E138" s="4" t="s">
        <v>18</v>
      </c>
      <c r="F138" s="150" t="s">
        <v>101</v>
      </c>
      <c r="G138" s="151" t="s">
        <v>19</v>
      </c>
      <c r="H138" s="150"/>
      <c r="I138" s="150"/>
      <c r="J138" s="150"/>
      <c r="K138" s="150" t="s">
        <v>233</v>
      </c>
    </row>
    <row r="139" spans="2:11" ht="18.75">
      <c r="B139" s="7" t="s">
        <v>68</v>
      </c>
      <c r="C139" s="92">
        <v>45896</v>
      </c>
      <c r="D139" s="149" t="s">
        <v>234</v>
      </c>
      <c r="E139" s="4" t="s">
        <v>15</v>
      </c>
      <c r="F139" s="150" t="s">
        <v>101</v>
      </c>
      <c r="G139" s="151" t="s">
        <v>19</v>
      </c>
      <c r="H139" s="150"/>
      <c r="I139" s="150"/>
      <c r="J139" s="150"/>
      <c r="K139" s="150" t="s">
        <v>235</v>
      </c>
    </row>
    <row r="140" spans="2:11" ht="18.75">
      <c r="B140" s="7" t="s">
        <v>68</v>
      </c>
      <c r="C140" s="92">
        <v>45898</v>
      </c>
      <c r="D140" s="149" t="s">
        <v>236</v>
      </c>
      <c r="E140" s="4" t="s">
        <v>15</v>
      </c>
      <c r="F140" s="150" t="s">
        <v>103</v>
      </c>
      <c r="G140" s="151" t="s">
        <v>16</v>
      </c>
      <c r="H140" s="175">
        <v>45944</v>
      </c>
      <c r="I140" s="175">
        <v>46064</v>
      </c>
      <c r="J140" s="150"/>
      <c r="K140" s="150"/>
    </row>
    <row r="141" spans="2:11" ht="18.75">
      <c r="B141" s="148" t="s">
        <v>77</v>
      </c>
      <c r="C141" s="92">
        <v>45901</v>
      </c>
      <c r="D141" s="149" t="s">
        <v>237</v>
      </c>
      <c r="E141" s="4" t="s">
        <v>18</v>
      </c>
      <c r="F141" s="150" t="s">
        <v>238</v>
      </c>
      <c r="G141" s="151" t="s">
        <v>19</v>
      </c>
      <c r="H141" s="150"/>
      <c r="I141" s="150"/>
      <c r="J141" s="150"/>
      <c r="K141" s="150" t="s">
        <v>220</v>
      </c>
    </row>
    <row r="142" spans="2:11" ht="18.75">
      <c r="B142" s="148" t="s">
        <v>77</v>
      </c>
      <c r="C142" s="92">
        <v>45901</v>
      </c>
      <c r="D142" s="149" t="s">
        <v>239</v>
      </c>
      <c r="E142" s="4" t="s">
        <v>18</v>
      </c>
      <c r="F142" s="150" t="s">
        <v>240</v>
      </c>
      <c r="G142" s="151" t="s">
        <v>19</v>
      </c>
      <c r="H142" s="150"/>
      <c r="I142" s="150"/>
      <c r="J142" s="150"/>
      <c r="K142" s="154" t="s">
        <v>223</v>
      </c>
    </row>
    <row r="143" spans="2:11" ht="18.75">
      <c r="B143" s="148" t="s">
        <v>77</v>
      </c>
      <c r="C143" s="92">
        <v>45903</v>
      </c>
      <c r="D143" s="149" t="s">
        <v>241</v>
      </c>
      <c r="E143" s="4" t="s">
        <v>18</v>
      </c>
      <c r="F143" s="150" t="s">
        <v>103</v>
      </c>
      <c r="G143" s="151" t="s">
        <v>19</v>
      </c>
      <c r="H143" s="150"/>
      <c r="I143" s="150"/>
      <c r="J143" s="150"/>
      <c r="K143" s="150" t="s">
        <v>233</v>
      </c>
    </row>
    <row r="144" spans="2:11" ht="18.75">
      <c r="B144" s="152" t="s">
        <v>77</v>
      </c>
      <c r="C144" s="187">
        <v>45908</v>
      </c>
      <c r="D144" s="153" t="s">
        <v>242</v>
      </c>
      <c r="E144" s="188" t="s">
        <v>15</v>
      </c>
      <c r="F144" s="154" t="s">
        <v>222</v>
      </c>
      <c r="G144" s="155" t="s">
        <v>16</v>
      </c>
      <c r="H144" s="156">
        <v>45911</v>
      </c>
      <c r="I144" s="156">
        <v>45957</v>
      </c>
      <c r="J144" s="154"/>
      <c r="K144" s="154"/>
    </row>
    <row r="145" spans="2:11" ht="18.75">
      <c r="B145" s="148" t="s">
        <v>77</v>
      </c>
      <c r="C145" s="185">
        <v>45909</v>
      </c>
      <c r="D145" s="149" t="s">
        <v>243</v>
      </c>
      <c r="E145" s="186" t="s">
        <v>32</v>
      </c>
      <c r="F145" s="150" t="s">
        <v>101</v>
      </c>
      <c r="G145" s="151" t="s">
        <v>16</v>
      </c>
      <c r="H145" s="175">
        <v>46038</v>
      </c>
      <c r="I145" s="175">
        <v>46072</v>
      </c>
      <c r="J145" s="150"/>
      <c r="K145" s="150"/>
    </row>
    <row r="146" spans="2:11" ht="18.75">
      <c r="B146" s="148" t="s">
        <v>77</v>
      </c>
      <c r="C146" s="185">
        <v>45912</v>
      </c>
      <c r="D146" s="149" t="s">
        <v>244</v>
      </c>
      <c r="E146" s="186" t="s">
        <v>32</v>
      </c>
      <c r="F146" s="150" t="s">
        <v>245</v>
      </c>
      <c r="G146" s="151" t="s">
        <v>19</v>
      </c>
      <c r="H146" s="150"/>
      <c r="I146" s="150"/>
      <c r="J146" s="150"/>
      <c r="K146" s="154" t="s">
        <v>246</v>
      </c>
    </row>
    <row r="147" spans="2:11" ht="18.75">
      <c r="B147" s="148" t="s">
        <v>77</v>
      </c>
      <c r="C147" s="185">
        <v>45917</v>
      </c>
      <c r="D147" s="149" t="s">
        <v>247</v>
      </c>
      <c r="E147" s="186" t="s">
        <v>32</v>
      </c>
      <c r="F147" s="150" t="s">
        <v>196</v>
      </c>
      <c r="G147" s="151" t="s">
        <v>19</v>
      </c>
      <c r="H147" s="150"/>
      <c r="I147" s="150"/>
      <c r="J147" s="150"/>
      <c r="K147" s="150" t="s">
        <v>248</v>
      </c>
    </row>
    <row r="148" spans="2:11" ht="18.75">
      <c r="B148" s="148" t="s">
        <v>77</v>
      </c>
      <c r="C148" s="185">
        <v>45917</v>
      </c>
      <c r="D148" s="149" t="s">
        <v>249</v>
      </c>
      <c r="E148" s="186" t="s">
        <v>18</v>
      </c>
      <c r="F148" s="150" t="s">
        <v>250</v>
      </c>
      <c r="G148" s="151" t="s">
        <v>19</v>
      </c>
      <c r="H148" s="150"/>
      <c r="I148" s="150"/>
      <c r="J148" s="150"/>
      <c r="K148" s="154" t="s">
        <v>246</v>
      </c>
    </row>
    <row r="149" spans="2:11" ht="18.75">
      <c r="B149" s="148" t="s">
        <v>77</v>
      </c>
      <c r="C149" s="185">
        <v>45923</v>
      </c>
      <c r="D149" s="149" t="s">
        <v>251</v>
      </c>
      <c r="E149" s="186" t="s">
        <v>32</v>
      </c>
      <c r="F149" s="150" t="s">
        <v>109</v>
      </c>
      <c r="G149" s="151" t="s">
        <v>16</v>
      </c>
      <c r="H149" s="175">
        <v>45944</v>
      </c>
      <c r="I149" s="150"/>
      <c r="J149" s="150" t="s">
        <v>252</v>
      </c>
      <c r="K149" s="150"/>
    </row>
    <row r="150" spans="2:11" ht="18.75">
      <c r="B150" s="148" t="s">
        <v>77</v>
      </c>
      <c r="C150" s="185">
        <v>45926</v>
      </c>
      <c r="D150" s="149" t="s">
        <v>253</v>
      </c>
      <c r="E150" s="186" t="s">
        <v>18</v>
      </c>
      <c r="F150" s="150" t="s">
        <v>158</v>
      </c>
      <c r="G150" s="151" t="s">
        <v>19</v>
      </c>
      <c r="H150" s="150"/>
      <c r="I150" s="150"/>
      <c r="J150" s="150"/>
      <c r="K150" s="150" t="s">
        <v>220</v>
      </c>
    </row>
    <row r="151" spans="2:11" ht="18.75">
      <c r="B151" s="152" t="s">
        <v>77</v>
      </c>
      <c r="C151" s="194">
        <v>45926</v>
      </c>
      <c r="D151" s="153" t="s">
        <v>254</v>
      </c>
      <c r="E151" s="195" t="s">
        <v>18</v>
      </c>
      <c r="F151" s="154" t="s">
        <v>196</v>
      </c>
      <c r="G151" s="155" t="s">
        <v>19</v>
      </c>
      <c r="H151" s="154"/>
      <c r="I151" s="154"/>
      <c r="J151" s="154"/>
      <c r="K151" s="154" t="s">
        <v>255</v>
      </c>
    </row>
    <row r="152" spans="2:11" ht="18.75">
      <c r="B152" s="152" t="s">
        <v>77</v>
      </c>
      <c r="C152" s="194">
        <v>45926</v>
      </c>
      <c r="D152" s="153" t="s">
        <v>256</v>
      </c>
      <c r="E152" s="195" t="s">
        <v>18</v>
      </c>
      <c r="F152" s="154" t="s">
        <v>103</v>
      </c>
      <c r="G152" s="155" t="s">
        <v>19</v>
      </c>
      <c r="H152" s="154"/>
      <c r="I152" s="154"/>
      <c r="J152" s="154"/>
      <c r="K152" s="154" t="s">
        <v>246</v>
      </c>
    </row>
    <row r="153" spans="2:11" ht="18.75">
      <c r="B153" s="148" t="s">
        <v>77</v>
      </c>
      <c r="C153" s="185">
        <v>45930</v>
      </c>
      <c r="D153" s="149" t="s">
        <v>257</v>
      </c>
      <c r="E153" s="186" t="s">
        <v>18</v>
      </c>
      <c r="F153" s="150" t="s">
        <v>258</v>
      </c>
      <c r="G153" s="151" t="s">
        <v>19</v>
      </c>
      <c r="H153" s="150"/>
      <c r="I153" s="150"/>
      <c r="J153" s="150"/>
      <c r="K153" s="150" t="s">
        <v>220</v>
      </c>
    </row>
    <row r="154" spans="2:11" ht="18.75">
      <c r="B154" s="148" t="s">
        <v>84</v>
      </c>
      <c r="C154" s="185">
        <v>45945</v>
      </c>
      <c r="D154" s="149" t="s">
        <v>259</v>
      </c>
      <c r="E154" s="186" t="s">
        <v>18</v>
      </c>
      <c r="F154" s="150" t="s">
        <v>101</v>
      </c>
      <c r="G154" s="151" t="s">
        <v>19</v>
      </c>
      <c r="H154" s="150"/>
      <c r="I154" s="150"/>
      <c r="J154" s="150"/>
      <c r="K154" s="150" t="s">
        <v>220</v>
      </c>
    </row>
    <row r="155" spans="2:11" ht="18.75">
      <c r="B155" s="148" t="s">
        <v>84</v>
      </c>
      <c r="C155" s="185">
        <v>45946</v>
      </c>
      <c r="D155" s="149" t="s">
        <v>260</v>
      </c>
      <c r="E155" s="186" t="s">
        <v>18</v>
      </c>
      <c r="F155" s="150" t="s">
        <v>261</v>
      </c>
      <c r="G155" s="151" t="s">
        <v>19</v>
      </c>
      <c r="H155" s="150"/>
      <c r="I155" s="150"/>
      <c r="J155" s="150"/>
      <c r="K155" s="150" t="s">
        <v>233</v>
      </c>
    </row>
    <row r="156" spans="2:11" ht="18.75">
      <c r="B156" s="152" t="s">
        <v>84</v>
      </c>
      <c r="C156" s="194">
        <v>45947</v>
      </c>
      <c r="D156" s="153" t="s">
        <v>262</v>
      </c>
      <c r="E156" s="195" t="s">
        <v>32</v>
      </c>
      <c r="F156" s="154" t="s">
        <v>263</v>
      </c>
      <c r="G156" s="155" t="s">
        <v>19</v>
      </c>
      <c r="H156" s="154"/>
      <c r="I156" s="154"/>
      <c r="J156" s="154"/>
      <c r="K156" s="154" t="s">
        <v>264</v>
      </c>
    </row>
    <row r="157" spans="2:11" ht="18.75">
      <c r="B157" s="148" t="s">
        <v>84</v>
      </c>
      <c r="C157" s="185">
        <v>45950</v>
      </c>
      <c r="D157" s="149" t="s">
        <v>265</v>
      </c>
      <c r="E157" s="186" t="s">
        <v>18</v>
      </c>
      <c r="F157" s="150" t="s">
        <v>266</v>
      </c>
      <c r="G157" s="151" t="s">
        <v>19</v>
      </c>
      <c r="H157" s="150"/>
      <c r="I157" s="150"/>
      <c r="J157" s="150"/>
      <c r="K157" s="150" t="s">
        <v>267</v>
      </c>
    </row>
    <row r="158" spans="2:11" ht="18.75">
      <c r="B158" s="148" t="s">
        <v>87</v>
      </c>
      <c r="C158" s="185">
        <v>45972</v>
      </c>
      <c r="D158" s="149" t="s">
        <v>268</v>
      </c>
      <c r="E158" s="186" t="s">
        <v>18</v>
      </c>
      <c r="F158" s="150" t="s">
        <v>269</v>
      </c>
      <c r="G158" s="151" t="s">
        <v>19</v>
      </c>
      <c r="H158" s="150"/>
      <c r="I158" s="150"/>
      <c r="J158" s="150"/>
      <c r="K158" s="150"/>
    </row>
    <row r="159" spans="2:11" ht="18.75">
      <c r="B159" s="148" t="s">
        <v>87</v>
      </c>
      <c r="C159" s="185">
        <v>45972</v>
      </c>
      <c r="D159" s="149" t="s">
        <v>270</v>
      </c>
      <c r="E159" s="186" t="s">
        <v>18</v>
      </c>
      <c r="F159" s="150" t="s">
        <v>269</v>
      </c>
      <c r="G159" s="151" t="s">
        <v>19</v>
      </c>
      <c r="H159" s="150"/>
      <c r="I159" s="150"/>
      <c r="J159" s="150"/>
      <c r="K159" s="150"/>
    </row>
    <row r="160" spans="2:11" ht="18.75">
      <c r="B160" s="152" t="s">
        <v>87</v>
      </c>
      <c r="C160" s="194">
        <v>45975</v>
      </c>
      <c r="D160" s="153" t="s">
        <v>271</v>
      </c>
      <c r="E160" s="195" t="s">
        <v>18</v>
      </c>
      <c r="F160" s="154" t="s">
        <v>272</v>
      </c>
      <c r="G160" s="155" t="s">
        <v>19</v>
      </c>
      <c r="H160" s="154"/>
      <c r="I160" s="154"/>
      <c r="J160" s="154"/>
      <c r="K160" s="154"/>
    </row>
    <row r="161" spans="2:11" ht="18.75">
      <c r="B161" s="152" t="s">
        <v>87</v>
      </c>
      <c r="C161" s="194">
        <v>45979</v>
      </c>
      <c r="D161" s="153" t="s">
        <v>273</v>
      </c>
      <c r="E161" s="195" t="s">
        <v>15</v>
      </c>
      <c r="F161" s="154" t="s">
        <v>274</v>
      </c>
      <c r="G161" s="155" t="s">
        <v>16</v>
      </c>
      <c r="H161" s="156">
        <v>46041</v>
      </c>
      <c r="I161" s="156">
        <v>46062</v>
      </c>
      <c r="J161" s="150"/>
      <c r="K161" s="150"/>
    </row>
    <row r="162" spans="2:11" ht="18.75">
      <c r="B162" s="148" t="s">
        <v>87</v>
      </c>
      <c r="C162" s="185">
        <v>45981</v>
      </c>
      <c r="D162" s="149" t="s">
        <v>275</v>
      </c>
      <c r="E162" s="186" t="s">
        <v>32</v>
      </c>
      <c r="F162" s="150" t="s">
        <v>276</v>
      </c>
      <c r="G162" s="151" t="s">
        <v>19</v>
      </c>
      <c r="H162" s="150"/>
      <c r="I162" s="150"/>
      <c r="J162" s="238"/>
      <c r="K162" s="150"/>
    </row>
    <row r="163" spans="2:11" ht="18.75">
      <c r="B163" s="152" t="s">
        <v>87</v>
      </c>
      <c r="C163" s="194">
        <v>45986</v>
      </c>
      <c r="D163" s="153" t="s">
        <v>277</v>
      </c>
      <c r="E163" s="195" t="s">
        <v>18</v>
      </c>
      <c r="F163" s="154" t="s">
        <v>103</v>
      </c>
      <c r="G163" s="155" t="s">
        <v>19</v>
      </c>
      <c r="H163" s="154"/>
      <c r="I163" s="154"/>
      <c r="J163" s="239"/>
      <c r="K163" s="154"/>
    </row>
    <row r="164" spans="2:11" ht="18.75">
      <c r="B164" s="152" t="s">
        <v>173</v>
      </c>
      <c r="C164" s="194">
        <v>45993</v>
      </c>
      <c r="D164" s="153" t="s">
        <v>278</v>
      </c>
      <c r="E164" s="195" t="s">
        <v>15</v>
      </c>
      <c r="F164" s="154" t="s">
        <v>158</v>
      </c>
      <c r="G164" s="155" t="s">
        <v>16</v>
      </c>
      <c r="H164" s="156">
        <v>46041</v>
      </c>
      <c r="I164" s="156">
        <v>46062</v>
      </c>
      <c r="J164" s="154"/>
      <c r="K164" s="154"/>
    </row>
    <row r="165" spans="2:11" ht="18.75">
      <c r="B165" s="148" t="s">
        <v>173</v>
      </c>
      <c r="C165" s="185">
        <v>46000</v>
      </c>
      <c r="D165" s="149" t="s">
        <v>279</v>
      </c>
      <c r="E165" s="186" t="s">
        <v>15</v>
      </c>
      <c r="F165" s="150" t="s">
        <v>109</v>
      </c>
      <c r="G165" s="151" t="s">
        <v>16</v>
      </c>
      <c r="H165" s="175">
        <v>46042</v>
      </c>
      <c r="I165" s="175">
        <v>46066</v>
      </c>
      <c r="J165" s="150" t="s">
        <v>280</v>
      </c>
      <c r="K165" s="150"/>
    </row>
    <row r="166" spans="2:11" ht="18.75">
      <c r="B166" s="148" t="s">
        <v>173</v>
      </c>
      <c r="C166" s="185">
        <v>46007</v>
      </c>
      <c r="D166" s="149" t="s">
        <v>281</v>
      </c>
      <c r="E166" s="186" t="s">
        <v>18</v>
      </c>
      <c r="F166" s="150" t="s">
        <v>282</v>
      </c>
      <c r="G166" s="151" t="s">
        <v>19</v>
      </c>
      <c r="H166" s="150"/>
      <c r="I166" s="150"/>
      <c r="J166" s="150"/>
      <c r="K166" s="150"/>
    </row>
    <row r="167" spans="2:11" ht="18.75">
      <c r="B167" s="148" t="s">
        <v>173</v>
      </c>
      <c r="C167" s="185">
        <v>46007</v>
      </c>
      <c r="D167" s="149" t="s">
        <v>283</v>
      </c>
      <c r="E167" s="186" t="s">
        <v>18</v>
      </c>
      <c r="F167" s="150" t="s">
        <v>284</v>
      </c>
      <c r="G167" s="151" t="s">
        <v>19</v>
      </c>
      <c r="H167" s="150"/>
      <c r="I167" s="150"/>
      <c r="J167" s="150"/>
      <c r="K167" s="150"/>
    </row>
    <row r="168" spans="2:11" ht="18.75">
      <c r="B168" s="152" t="s">
        <v>13</v>
      </c>
      <c r="C168" s="194">
        <v>46043</v>
      </c>
      <c r="D168" s="153" t="s">
        <v>285</v>
      </c>
      <c r="E168" s="154" t="s">
        <v>32</v>
      </c>
      <c r="F168" s="154" t="s">
        <v>286</v>
      </c>
      <c r="G168" s="155" t="s">
        <v>19</v>
      </c>
      <c r="H168" s="154"/>
      <c r="I168" s="154"/>
      <c r="J168" s="154"/>
      <c r="K168" s="154"/>
    </row>
    <row r="169" spans="2:11" ht="18.75">
      <c r="B169" s="148" t="s">
        <v>13</v>
      </c>
      <c r="C169" s="185">
        <v>46043</v>
      </c>
      <c r="D169" s="149" t="s">
        <v>287</v>
      </c>
      <c r="E169" s="186" t="s">
        <v>18</v>
      </c>
      <c r="F169" s="150" t="s">
        <v>288</v>
      </c>
      <c r="G169" s="151" t="s">
        <v>16</v>
      </c>
      <c r="H169" s="150"/>
      <c r="I169" s="150"/>
      <c r="J169" s="150" t="s">
        <v>228</v>
      </c>
      <c r="K169" s="150"/>
    </row>
    <row r="170" spans="2:11" ht="18.75">
      <c r="B170" s="148" t="s">
        <v>13</v>
      </c>
      <c r="C170" s="185">
        <v>46043</v>
      </c>
      <c r="D170" s="149" t="s">
        <v>289</v>
      </c>
      <c r="E170" s="186" t="s">
        <v>15</v>
      </c>
      <c r="F170" s="150" t="s">
        <v>103</v>
      </c>
      <c r="G170" s="151" t="s">
        <v>19</v>
      </c>
      <c r="H170" s="150"/>
      <c r="I170" s="150"/>
      <c r="J170" s="150"/>
      <c r="K170" s="150"/>
    </row>
    <row r="171" spans="2:11" ht="18.75">
      <c r="B171" s="148" t="s">
        <v>13</v>
      </c>
      <c r="C171" s="185">
        <v>46043</v>
      </c>
      <c r="D171" s="149" t="s">
        <v>290</v>
      </c>
      <c r="E171" s="186" t="s">
        <v>15</v>
      </c>
      <c r="F171" s="150" t="s">
        <v>276</v>
      </c>
      <c r="G171" s="151" t="s">
        <v>19</v>
      </c>
      <c r="H171" s="150"/>
      <c r="I171" s="150"/>
      <c r="J171" s="150"/>
      <c r="K171" s="150"/>
    </row>
    <row r="172" spans="2:11" ht="18.75">
      <c r="B172" s="148" t="s">
        <v>24</v>
      </c>
      <c r="C172" s="185">
        <v>46063</v>
      </c>
      <c r="D172" s="149" t="s">
        <v>291</v>
      </c>
      <c r="E172" s="149" t="s">
        <v>18</v>
      </c>
      <c r="F172" s="150" t="s">
        <v>101</v>
      </c>
      <c r="G172" s="151" t="s">
        <v>19</v>
      </c>
      <c r="H172" s="150"/>
      <c r="I172" s="150"/>
      <c r="J172" s="150"/>
      <c r="K172" s="150"/>
    </row>
    <row r="173" spans="2:11" ht="18.75">
      <c r="B173" s="148" t="s">
        <v>24</v>
      </c>
      <c r="C173" s="185">
        <v>46063</v>
      </c>
      <c r="D173" s="149" t="s">
        <v>292</v>
      </c>
      <c r="E173" s="149" t="s">
        <v>32</v>
      </c>
      <c r="F173" s="150" t="s">
        <v>101</v>
      </c>
      <c r="G173" s="151" t="s">
        <v>19</v>
      </c>
      <c r="H173" s="150"/>
      <c r="I173" s="150"/>
      <c r="J173" s="150"/>
      <c r="K173" s="150"/>
    </row>
    <row r="174" spans="2:11" ht="18.75">
      <c r="B174" s="148" t="s">
        <v>24</v>
      </c>
      <c r="C174" s="185">
        <v>46066</v>
      </c>
      <c r="D174" s="149" t="s">
        <v>293</v>
      </c>
      <c r="E174" s="149" t="s">
        <v>18</v>
      </c>
      <c r="F174" s="150" t="s">
        <v>294</v>
      </c>
      <c r="G174" s="151" t="s">
        <v>19</v>
      </c>
      <c r="H174" s="150"/>
      <c r="I174" s="150"/>
      <c r="J174" s="150"/>
      <c r="K174" s="150"/>
    </row>
    <row r="175" spans="2:11" ht="18.75">
      <c r="B175" s="152" t="s">
        <v>24</v>
      </c>
      <c r="C175" s="194">
        <v>46066</v>
      </c>
      <c r="D175" s="153" t="s">
        <v>295</v>
      </c>
      <c r="E175" s="153" t="s">
        <v>32</v>
      </c>
      <c r="F175" s="154" t="s">
        <v>296</v>
      </c>
      <c r="G175" s="155" t="s">
        <v>19</v>
      </c>
      <c r="H175" s="154"/>
      <c r="I175" s="154"/>
      <c r="J175" s="154"/>
      <c r="K175" s="154"/>
    </row>
    <row r="176" spans="2:11" ht="18.75">
      <c r="B176" s="152" t="s">
        <v>24</v>
      </c>
      <c r="C176" s="194">
        <v>46071</v>
      </c>
      <c r="D176" s="153" t="s">
        <v>297</v>
      </c>
      <c r="E176" s="153" t="s">
        <v>18</v>
      </c>
      <c r="F176" s="154" t="s">
        <v>298</v>
      </c>
      <c r="G176" s="155" t="s">
        <v>19</v>
      </c>
      <c r="H176" s="154"/>
      <c r="I176" s="154"/>
      <c r="J176" s="154"/>
      <c r="K176" s="154"/>
    </row>
    <row r="177" spans="2:11" ht="18.75">
      <c r="B177" s="148" t="s">
        <v>24</v>
      </c>
      <c r="C177" s="185">
        <v>46073</v>
      </c>
      <c r="D177" s="149" t="s">
        <v>299</v>
      </c>
      <c r="E177" s="149" t="s">
        <v>18</v>
      </c>
      <c r="F177" s="150" t="s">
        <v>101</v>
      </c>
      <c r="G177" s="151" t="s">
        <v>19</v>
      </c>
      <c r="H177" s="150"/>
      <c r="I177" s="150"/>
      <c r="J177" s="150"/>
      <c r="K177" s="150"/>
    </row>
    <row r="178" spans="2:11" ht="18.75">
      <c r="B178" s="148" t="s">
        <v>34</v>
      </c>
      <c r="C178" s="185">
        <v>46084</v>
      </c>
      <c r="D178" s="149" t="s">
        <v>300</v>
      </c>
      <c r="E178" s="149" t="s">
        <v>32</v>
      </c>
      <c r="F178" s="150" t="s">
        <v>276</v>
      </c>
      <c r="G178" s="151" t="s">
        <v>19</v>
      </c>
      <c r="H178" s="150"/>
      <c r="I178" s="150"/>
      <c r="J178" s="150"/>
      <c r="K178" s="150"/>
    </row>
    <row r="179" spans="2:11" ht="18.75">
      <c r="B179" s="148" t="s">
        <v>34</v>
      </c>
      <c r="C179" s="185">
        <v>46101</v>
      </c>
      <c r="D179" s="149" t="s">
        <v>301</v>
      </c>
      <c r="E179" s="149" t="s">
        <v>18</v>
      </c>
      <c r="F179" s="150" t="s">
        <v>302</v>
      </c>
      <c r="G179" s="151" t="s">
        <v>19</v>
      </c>
      <c r="H179" s="150"/>
      <c r="I179" s="150"/>
      <c r="J179" s="150"/>
      <c r="K179" s="150"/>
    </row>
    <row r="180" spans="2:11" ht="18.75">
      <c r="B180" s="148" t="s">
        <v>34</v>
      </c>
      <c r="C180" s="185">
        <v>46105</v>
      </c>
      <c r="D180" s="149" t="s">
        <v>303</v>
      </c>
      <c r="E180" s="149" t="s">
        <v>32</v>
      </c>
      <c r="F180" s="150" t="s">
        <v>101</v>
      </c>
      <c r="G180" s="151" t="s">
        <v>19</v>
      </c>
      <c r="H180" s="150"/>
      <c r="I180" s="150"/>
      <c r="J180" s="150"/>
      <c r="K180" s="150"/>
    </row>
    <row r="181" spans="2:11" ht="18.75">
      <c r="B181" s="152" t="s">
        <v>34</v>
      </c>
      <c r="C181" s="194">
        <v>46105</v>
      </c>
      <c r="D181" s="153" t="s">
        <v>304</v>
      </c>
      <c r="E181" s="153" t="s">
        <v>18</v>
      </c>
      <c r="F181" s="154" t="s">
        <v>101</v>
      </c>
      <c r="G181" s="151" t="s">
        <v>19</v>
      </c>
      <c r="H181" s="154"/>
      <c r="I181" s="154"/>
      <c r="J181" s="154"/>
      <c r="K181" s="154"/>
    </row>
    <row r="182" spans="2:11" ht="18.75">
      <c r="B182" s="152" t="s">
        <v>34</v>
      </c>
      <c r="C182" s="194">
        <v>46105</v>
      </c>
      <c r="D182" s="153" t="s">
        <v>305</v>
      </c>
      <c r="E182" s="153" t="s">
        <v>18</v>
      </c>
      <c r="F182" s="154" t="s">
        <v>101</v>
      </c>
      <c r="G182" s="155" t="s">
        <v>16</v>
      </c>
      <c r="H182" s="154"/>
      <c r="I182" s="154"/>
      <c r="J182" s="154"/>
      <c r="K182" s="154" t="s">
        <v>228</v>
      </c>
    </row>
    <row r="183" spans="2:11" ht="18.75">
      <c r="B183" s="148" t="s">
        <v>34</v>
      </c>
      <c r="C183" s="185">
        <v>46105</v>
      </c>
      <c r="D183" s="149" t="s">
        <v>306</v>
      </c>
      <c r="E183" s="149" t="s">
        <v>18</v>
      </c>
      <c r="F183" s="150" t="s">
        <v>307</v>
      </c>
      <c r="G183" s="151" t="s">
        <v>19</v>
      </c>
      <c r="H183" s="150"/>
      <c r="I183" s="150"/>
      <c r="J183" s="150"/>
      <c r="K183" s="150"/>
    </row>
    <row r="184" spans="2:11" ht="18.75">
      <c r="B184" s="148" t="s">
        <v>34</v>
      </c>
      <c r="C184" s="185">
        <v>46108</v>
      </c>
      <c r="D184" s="149" t="s">
        <v>308</v>
      </c>
      <c r="E184" s="149" t="s">
        <v>18</v>
      </c>
      <c r="F184" s="150" t="s">
        <v>101</v>
      </c>
      <c r="G184" s="151" t="s">
        <v>19</v>
      </c>
      <c r="H184" s="150"/>
      <c r="I184" s="150"/>
      <c r="J184" s="150"/>
      <c r="K184" s="150"/>
    </row>
    <row r="185" spans="2:11" ht="18.75">
      <c r="B185" s="148" t="s">
        <v>34</v>
      </c>
      <c r="C185" s="185">
        <v>46108</v>
      </c>
      <c r="D185" s="149" t="s">
        <v>309</v>
      </c>
      <c r="E185" s="149" t="s">
        <v>32</v>
      </c>
      <c r="F185" s="150" t="s">
        <v>101</v>
      </c>
      <c r="G185" s="151" t="s">
        <v>19</v>
      </c>
      <c r="H185" s="150"/>
      <c r="I185" s="150"/>
      <c r="J185" s="150"/>
      <c r="K185" s="150"/>
    </row>
    <row r="186" spans="2:11" ht="18.75">
      <c r="B186" s="148" t="s">
        <v>34</v>
      </c>
      <c r="C186" s="185">
        <v>46108</v>
      </c>
      <c r="D186" s="149" t="s">
        <v>310</v>
      </c>
      <c r="E186" s="149" t="s">
        <v>15</v>
      </c>
      <c r="F186" s="150" t="s">
        <v>103</v>
      </c>
      <c r="G186" s="151" t="s">
        <v>16</v>
      </c>
      <c r="H186" s="185">
        <v>46132</v>
      </c>
      <c r="I186" s="150"/>
      <c r="J186" s="150"/>
      <c r="K186" s="150"/>
    </row>
    <row r="187" spans="2:11" ht="18.75">
      <c r="B187" s="148" t="s">
        <v>38</v>
      </c>
      <c r="C187" s="185">
        <v>46126</v>
      </c>
      <c r="D187" s="149" t="s">
        <v>311</v>
      </c>
      <c r="E187" s="149" t="s">
        <v>32</v>
      </c>
      <c r="F187" s="150" t="s">
        <v>312</v>
      </c>
      <c r="G187" s="151" t="s">
        <v>19</v>
      </c>
      <c r="H187" s="150"/>
      <c r="I187" s="150"/>
      <c r="J187" s="150"/>
      <c r="K187" s="150"/>
    </row>
    <row r="188" spans="2:11" ht="18.75">
      <c r="B188" s="148" t="s">
        <v>38</v>
      </c>
      <c r="C188" s="185">
        <v>46129</v>
      </c>
      <c r="D188" s="149" t="s">
        <v>313</v>
      </c>
      <c r="E188" s="149" t="s">
        <v>32</v>
      </c>
      <c r="F188" s="150" t="s">
        <v>101</v>
      </c>
      <c r="G188" s="151" t="s">
        <v>19</v>
      </c>
      <c r="H188" s="150"/>
      <c r="I188" s="150"/>
      <c r="J188" s="150"/>
      <c r="K188" s="150"/>
    </row>
    <row r="189" spans="2:11" ht="18.75">
      <c r="B189" s="148" t="s">
        <v>38</v>
      </c>
      <c r="C189" s="185">
        <v>46132</v>
      </c>
      <c r="D189" s="149" t="s">
        <v>314</v>
      </c>
      <c r="E189" s="149" t="s">
        <v>32</v>
      </c>
      <c r="F189" s="150"/>
      <c r="G189" s="151" t="s">
        <v>19</v>
      </c>
      <c r="H189" s="150"/>
      <c r="I189" s="150"/>
      <c r="J189" s="150"/>
      <c r="K189" s="150"/>
    </row>
  </sheetData>
  <autoFilter ref="B1:Q178" xr:uid="{32501D13-0ED2-4ABE-A086-5057B159113C}"/>
  <conditionalFormatting sqref="L2:N117">
    <cfRule type="cellIs" dxfId="2" priority="1" operator="lessThan">
      <formula>0</formula>
    </cfRule>
  </conditionalFormatting>
  <dataValidations count="2">
    <dataValidation type="list" allowBlank="1" showInputMessage="1" showErrorMessage="1" sqref="E2:E148" xr:uid="{B58DADB0-66BB-4A1F-BDF6-66B51D99527C}">
      <formula1>"Prejardín,Jardín,Transición,1°,2°,3°,4°,5°,6°,7°,8°,9°,10°,11°"</formula1>
    </dataValidation>
    <dataValidation type="list" allowBlank="1" showInputMessage="1" showErrorMessage="1" sqref="B2:B61 B63 B66:B68 B72 B74:B76 B78 B81:B83 B85:B87 B118:B126 B97 B99:B100 B102 B90:B94 B105:B112 B130:B140" xr:uid="{BB740EC3-321E-4B09-8547-A7239A25024D}">
      <formula1>"Enero,Febrero,Marzo,Abril,Mayo,Junio,Julio,Agosto,Septiembre,Octubre,Noviembre,Diciembre"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EE66-F5F9-41DD-9B70-F1CF05E2BA82}">
  <dimension ref="A1:Y314"/>
  <sheetViews>
    <sheetView workbookViewId="0">
      <pane ySplit="1" topLeftCell="A301" activePane="bottomLeft" state="frozen"/>
      <selection pane="bottomLeft" activeCell="D313" sqref="D313"/>
    </sheetView>
  </sheetViews>
  <sheetFormatPr defaultColWidth="11.42578125" defaultRowHeight="14.45"/>
  <cols>
    <col min="1" max="1" width="3.28515625" customWidth="1"/>
    <col min="2" max="2" width="13.85546875" bestFit="1" customWidth="1"/>
    <col min="3" max="3" width="11.28515625" bestFit="1" customWidth="1"/>
    <col min="4" max="4" width="32.42578125" bestFit="1" customWidth="1"/>
    <col min="5" max="5" width="11.42578125" style="9"/>
    <col min="6" max="6" width="28.7109375" bestFit="1" customWidth="1"/>
    <col min="7" max="7" width="17.42578125" style="9" bestFit="1" customWidth="1"/>
    <col min="9" max="9" width="15.140625" bestFit="1" customWidth="1"/>
    <col min="10" max="10" width="15.140625" customWidth="1"/>
    <col min="11" max="11" width="24.7109375" bestFit="1" customWidth="1"/>
    <col min="12" max="12" width="17.85546875" bestFit="1" customWidth="1"/>
    <col min="17" max="19" width="4.140625" bestFit="1" customWidth="1"/>
    <col min="20" max="20" width="5.140625" bestFit="1" customWidth="1"/>
    <col min="22" max="22" width="4.140625" bestFit="1" customWidth="1"/>
    <col min="23" max="23" width="3.140625" bestFit="1" customWidth="1"/>
    <col min="24" max="24" width="4.140625" bestFit="1" customWidth="1"/>
    <col min="25" max="25" width="5.140625" bestFit="1" customWidth="1"/>
  </cols>
  <sheetData>
    <row r="1" spans="2:25" ht="45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315</v>
      </c>
      <c r="I1" s="2" t="s">
        <v>6</v>
      </c>
      <c r="J1" s="1" t="s">
        <v>7</v>
      </c>
      <c r="K1" s="1" t="s">
        <v>8</v>
      </c>
      <c r="L1" s="1" t="s">
        <v>9</v>
      </c>
      <c r="M1" s="38" t="s">
        <v>316</v>
      </c>
      <c r="N1" s="38" t="s">
        <v>317</v>
      </c>
      <c r="O1" s="38" t="s">
        <v>11</v>
      </c>
      <c r="P1" s="38" t="s">
        <v>12</v>
      </c>
      <c r="Q1" s="40">
        <f>AVERAGEIF(M2:M896,"&gt;0",M2:M896)</f>
        <v>54.5</v>
      </c>
      <c r="R1" s="40">
        <f>AVERAGEIF(N2:N896,"&gt;0",N2:N896)</f>
        <v>22.071428571428573</v>
      </c>
      <c r="S1" s="40">
        <f>AVERAGEIF(O2:O896,"&gt;0",O2:O896)</f>
        <v>51.510204081632651</v>
      </c>
      <c r="T1" s="40">
        <f>AVERAGEIF(P2:P896,"&gt;0",P2:P896)</f>
        <v>120.04081632653062</v>
      </c>
      <c r="V1" s="40">
        <f>AVERAGEIF(P2:P896,"&gt;0",M2:M896)</f>
        <v>12.36734693877551</v>
      </c>
      <c r="W1" s="40">
        <f>AVERAGEIF(P2:P896,"&gt;0",N2:N896)</f>
        <v>6.1632653061224492</v>
      </c>
      <c r="X1" s="40">
        <f>AVERAGEIF(P2:P896,"&gt;0",O2:O896)</f>
        <v>51.510204081632651</v>
      </c>
      <c r="Y1" s="40">
        <f>AVERAGEIF(P2:P896,"&gt;0",P2:P896)</f>
        <v>120.04081632653062</v>
      </c>
    </row>
    <row r="2" spans="2:25" ht="18">
      <c r="B2" s="7" t="s">
        <v>13</v>
      </c>
      <c r="C2" s="11">
        <v>44939</v>
      </c>
      <c r="D2" s="3" t="s">
        <v>318</v>
      </c>
      <c r="E2" s="13" t="s">
        <v>319</v>
      </c>
      <c r="G2" s="8" t="s">
        <v>19</v>
      </c>
      <c r="H2" s="6"/>
      <c r="I2" s="6"/>
      <c r="J2" s="6"/>
      <c r="K2" s="6"/>
      <c r="L2" s="6"/>
      <c r="M2" s="40">
        <f>IF(H2&gt;0,H2-C2,0)</f>
        <v>0</v>
      </c>
      <c r="N2" s="40">
        <f>IF(H2&gt;0,IF(I2&gt;0,I2-H2,0),0)</f>
        <v>0</v>
      </c>
      <c r="O2" s="40">
        <f>IF(J2&gt;0,J2-I2,0)</f>
        <v>0</v>
      </c>
      <c r="P2" s="40">
        <f>IF(J2&gt;0,J2-C2,0)</f>
        <v>0</v>
      </c>
    </row>
    <row r="3" spans="2:25" ht="18">
      <c r="B3" s="7" t="s">
        <v>13</v>
      </c>
      <c r="C3" s="11">
        <v>44946</v>
      </c>
      <c r="D3" s="3" t="s">
        <v>320</v>
      </c>
      <c r="E3" s="13" t="s">
        <v>321</v>
      </c>
      <c r="F3" s="6"/>
      <c r="G3" s="8" t="s">
        <v>19</v>
      </c>
      <c r="H3" s="6"/>
      <c r="I3" s="6"/>
      <c r="J3" s="6"/>
      <c r="K3" s="6"/>
      <c r="L3" s="6"/>
      <c r="M3" s="40">
        <f t="shared" ref="M3:M66" si="0">IF(H3&gt;0,H3-C3,0)</f>
        <v>0</v>
      </c>
      <c r="N3" s="40">
        <f t="shared" ref="N3:N66" si="1">IF(H3&gt;0,IF(I3&gt;0,I3-H3,0),0)</f>
        <v>0</v>
      </c>
      <c r="O3" s="40">
        <f t="shared" ref="O3:O66" si="2">IF(J3&gt;0,J3-I3,0)</f>
        <v>0</v>
      </c>
      <c r="P3" s="40">
        <f t="shared" ref="P3:P66" si="3">IF(J3&gt;0,J3-C3,0)</f>
        <v>0</v>
      </c>
    </row>
    <row r="4" spans="2:25" ht="18">
      <c r="B4" s="7" t="s">
        <v>13</v>
      </c>
      <c r="C4" s="11">
        <v>44946</v>
      </c>
      <c r="D4" s="3" t="s">
        <v>322</v>
      </c>
      <c r="E4" s="13" t="s">
        <v>321</v>
      </c>
      <c r="F4" s="6"/>
      <c r="G4" s="8" t="s">
        <v>16</v>
      </c>
      <c r="H4" s="6"/>
      <c r="I4" s="12">
        <v>45124</v>
      </c>
      <c r="J4" s="12">
        <v>45146</v>
      </c>
      <c r="K4" s="6"/>
      <c r="L4" s="6"/>
      <c r="M4" s="40">
        <f t="shared" si="0"/>
        <v>0</v>
      </c>
      <c r="N4" s="40">
        <f t="shared" si="1"/>
        <v>0</v>
      </c>
      <c r="O4" s="40">
        <f t="shared" si="2"/>
        <v>22</v>
      </c>
      <c r="P4" s="40">
        <f t="shared" si="3"/>
        <v>200</v>
      </c>
    </row>
    <row r="5" spans="2:25" ht="18">
      <c r="B5" s="7" t="s">
        <v>13</v>
      </c>
      <c r="C5" s="11">
        <v>44946</v>
      </c>
      <c r="D5" s="3" t="s">
        <v>323</v>
      </c>
      <c r="E5" s="13" t="s">
        <v>324</v>
      </c>
      <c r="F5" s="6"/>
      <c r="G5" s="8" t="s">
        <v>16</v>
      </c>
      <c r="H5" s="6"/>
      <c r="I5" s="12">
        <v>45124</v>
      </c>
      <c r="J5" s="12">
        <v>45146</v>
      </c>
      <c r="K5" s="6"/>
      <c r="L5" s="6"/>
      <c r="M5" s="40">
        <f t="shared" si="0"/>
        <v>0</v>
      </c>
      <c r="N5" s="40">
        <f t="shared" si="1"/>
        <v>0</v>
      </c>
      <c r="O5" s="40">
        <f t="shared" si="2"/>
        <v>22</v>
      </c>
      <c r="P5" s="40">
        <f t="shared" si="3"/>
        <v>200</v>
      </c>
    </row>
    <row r="6" spans="2:25" ht="18">
      <c r="B6" s="7" t="s">
        <v>13</v>
      </c>
      <c r="C6" s="11">
        <v>44946</v>
      </c>
      <c r="D6" s="3" t="s">
        <v>325</v>
      </c>
      <c r="E6" s="13" t="s">
        <v>326</v>
      </c>
      <c r="F6" s="6"/>
      <c r="G6" s="8" t="s">
        <v>19</v>
      </c>
      <c r="H6" s="6"/>
      <c r="I6" s="6"/>
      <c r="J6" s="6"/>
      <c r="K6" s="6"/>
      <c r="L6" s="6"/>
      <c r="M6" s="40">
        <f t="shared" si="0"/>
        <v>0</v>
      </c>
      <c r="N6" s="40">
        <f t="shared" si="1"/>
        <v>0</v>
      </c>
      <c r="O6" s="40">
        <f t="shared" si="2"/>
        <v>0</v>
      </c>
      <c r="P6" s="40">
        <f t="shared" si="3"/>
        <v>0</v>
      </c>
    </row>
    <row r="7" spans="2:25" ht="18">
      <c r="B7" s="7" t="s">
        <v>13</v>
      </c>
      <c r="C7" s="11">
        <v>44946</v>
      </c>
      <c r="D7" s="3" t="s">
        <v>327</v>
      </c>
      <c r="E7" s="13" t="s">
        <v>324</v>
      </c>
      <c r="F7" s="6"/>
      <c r="G7" s="8" t="s">
        <v>19</v>
      </c>
      <c r="H7" s="6"/>
      <c r="I7" s="6"/>
      <c r="J7" s="6"/>
      <c r="K7" s="6"/>
      <c r="L7" s="6"/>
      <c r="M7" s="40">
        <f t="shared" si="0"/>
        <v>0</v>
      </c>
      <c r="N7" s="40">
        <f t="shared" si="1"/>
        <v>0</v>
      </c>
      <c r="O7" s="40">
        <f t="shared" si="2"/>
        <v>0</v>
      </c>
      <c r="P7" s="40">
        <f t="shared" si="3"/>
        <v>0</v>
      </c>
    </row>
    <row r="8" spans="2:25" ht="18">
      <c r="B8" s="7" t="s">
        <v>13</v>
      </c>
      <c r="C8" s="11">
        <v>44946</v>
      </c>
      <c r="D8" s="3" t="s">
        <v>328</v>
      </c>
      <c r="E8" s="13" t="s">
        <v>329</v>
      </c>
      <c r="F8" s="6"/>
      <c r="G8" s="8" t="s">
        <v>19</v>
      </c>
      <c r="H8" s="6"/>
      <c r="I8" s="6"/>
      <c r="J8" s="6"/>
      <c r="K8" s="6"/>
      <c r="L8" s="6"/>
      <c r="M8" s="40">
        <f t="shared" si="0"/>
        <v>0</v>
      </c>
      <c r="N8" s="40">
        <f t="shared" si="1"/>
        <v>0</v>
      </c>
      <c r="O8" s="40">
        <f t="shared" si="2"/>
        <v>0</v>
      </c>
      <c r="P8" s="40">
        <f t="shared" si="3"/>
        <v>0</v>
      </c>
    </row>
    <row r="9" spans="2:25" ht="18">
      <c r="B9" s="7" t="s">
        <v>13</v>
      </c>
      <c r="C9" s="11">
        <v>44953</v>
      </c>
      <c r="D9" s="3" t="s">
        <v>330</v>
      </c>
      <c r="E9" s="13" t="s">
        <v>321</v>
      </c>
      <c r="F9" s="6"/>
      <c r="G9" s="8" t="s">
        <v>19</v>
      </c>
      <c r="H9" s="6"/>
      <c r="I9" s="6"/>
      <c r="J9" s="6"/>
      <c r="K9" s="6"/>
      <c r="L9" s="6"/>
      <c r="M9" s="40">
        <f t="shared" si="0"/>
        <v>0</v>
      </c>
      <c r="N9" s="40">
        <f t="shared" si="1"/>
        <v>0</v>
      </c>
      <c r="O9" s="40">
        <f t="shared" si="2"/>
        <v>0</v>
      </c>
      <c r="P9" s="40">
        <f t="shared" si="3"/>
        <v>0</v>
      </c>
    </row>
    <row r="10" spans="2:25" ht="18">
      <c r="B10" s="7" t="s">
        <v>13</v>
      </c>
      <c r="C10" s="11">
        <v>44953</v>
      </c>
      <c r="D10" s="3" t="s">
        <v>331</v>
      </c>
      <c r="E10" s="13" t="s">
        <v>321</v>
      </c>
      <c r="F10" s="6"/>
      <c r="G10" s="8" t="s">
        <v>19</v>
      </c>
      <c r="H10" s="6"/>
      <c r="I10" s="6"/>
      <c r="J10" s="6"/>
      <c r="K10" s="6"/>
      <c r="L10" s="6"/>
      <c r="M10" s="40">
        <f t="shared" si="0"/>
        <v>0</v>
      </c>
      <c r="N10" s="40">
        <f t="shared" si="1"/>
        <v>0</v>
      </c>
      <c r="O10" s="40">
        <f t="shared" si="2"/>
        <v>0</v>
      </c>
      <c r="P10" s="40">
        <f t="shared" si="3"/>
        <v>0</v>
      </c>
    </row>
    <row r="11" spans="2:25" ht="18">
      <c r="B11" s="7" t="s">
        <v>24</v>
      </c>
      <c r="C11" s="11">
        <v>44959</v>
      </c>
      <c r="D11" s="3" t="s">
        <v>332</v>
      </c>
      <c r="E11" s="13" t="s">
        <v>329</v>
      </c>
      <c r="F11" s="6"/>
      <c r="G11" s="8" t="s">
        <v>19</v>
      </c>
      <c r="H11" s="6"/>
      <c r="I11" s="6"/>
      <c r="J11" s="6"/>
      <c r="K11" s="6"/>
      <c r="L11" s="6"/>
      <c r="M11" s="40">
        <f t="shared" si="0"/>
        <v>0</v>
      </c>
      <c r="N11" s="40">
        <f t="shared" si="1"/>
        <v>0</v>
      </c>
      <c r="O11" s="40">
        <f t="shared" si="2"/>
        <v>0</v>
      </c>
      <c r="P11" s="40">
        <f t="shared" si="3"/>
        <v>0</v>
      </c>
    </row>
    <row r="12" spans="2:25" ht="18">
      <c r="B12" s="7" t="s">
        <v>24</v>
      </c>
      <c r="C12" s="11">
        <v>44974</v>
      </c>
      <c r="D12" s="3" t="s">
        <v>333</v>
      </c>
      <c r="E12" s="13" t="s">
        <v>329</v>
      </c>
      <c r="F12" s="6"/>
      <c r="G12" s="8" t="s">
        <v>19</v>
      </c>
      <c r="H12" s="6"/>
      <c r="I12" s="6"/>
      <c r="J12" s="6"/>
      <c r="K12" s="6"/>
      <c r="L12" s="6"/>
      <c r="M12" s="40">
        <f t="shared" si="0"/>
        <v>0</v>
      </c>
      <c r="N12" s="40">
        <f t="shared" si="1"/>
        <v>0</v>
      </c>
      <c r="O12" s="40">
        <f t="shared" si="2"/>
        <v>0</v>
      </c>
      <c r="P12" s="40">
        <f t="shared" si="3"/>
        <v>0</v>
      </c>
    </row>
    <row r="13" spans="2:25" ht="18">
      <c r="B13" s="7" t="s">
        <v>24</v>
      </c>
      <c r="C13" s="11">
        <v>44974</v>
      </c>
      <c r="D13" s="3" t="s">
        <v>334</v>
      </c>
      <c r="E13" s="13" t="s">
        <v>319</v>
      </c>
      <c r="F13" s="6"/>
      <c r="G13" s="8" t="s">
        <v>19</v>
      </c>
      <c r="H13" s="6"/>
      <c r="I13" s="6"/>
      <c r="J13" s="6"/>
      <c r="K13" s="6"/>
      <c r="L13" s="6"/>
      <c r="M13" s="40">
        <f t="shared" si="0"/>
        <v>0</v>
      </c>
      <c r="N13" s="40">
        <f t="shared" si="1"/>
        <v>0</v>
      </c>
      <c r="O13" s="40">
        <f t="shared" si="2"/>
        <v>0</v>
      </c>
      <c r="P13" s="40">
        <f t="shared" si="3"/>
        <v>0</v>
      </c>
    </row>
    <row r="14" spans="2:25" ht="18">
      <c r="B14" s="7" t="s">
        <v>24</v>
      </c>
      <c r="C14" s="11">
        <v>44967</v>
      </c>
      <c r="D14" s="3" t="s">
        <v>335</v>
      </c>
      <c r="E14" s="13" t="s">
        <v>324</v>
      </c>
      <c r="F14" s="6"/>
      <c r="G14" s="8" t="s">
        <v>19</v>
      </c>
      <c r="H14" s="6"/>
      <c r="I14" s="6"/>
      <c r="J14" s="6"/>
      <c r="K14" s="6"/>
      <c r="L14" s="6"/>
      <c r="M14" s="40">
        <f t="shared" si="0"/>
        <v>0</v>
      </c>
      <c r="N14" s="40">
        <f t="shared" si="1"/>
        <v>0</v>
      </c>
      <c r="O14" s="40">
        <f t="shared" si="2"/>
        <v>0</v>
      </c>
      <c r="P14" s="40">
        <f t="shared" si="3"/>
        <v>0</v>
      </c>
    </row>
    <row r="15" spans="2:25" ht="18">
      <c r="B15" s="7" t="s">
        <v>24</v>
      </c>
      <c r="C15" s="11">
        <v>44981</v>
      </c>
      <c r="D15" s="3" t="s">
        <v>336</v>
      </c>
      <c r="E15" s="13" t="s">
        <v>329</v>
      </c>
      <c r="F15" s="6"/>
      <c r="G15" s="8" t="s">
        <v>16</v>
      </c>
      <c r="H15" s="12">
        <v>44993</v>
      </c>
      <c r="I15" s="12">
        <v>45006</v>
      </c>
      <c r="J15" s="12">
        <v>45048</v>
      </c>
      <c r="K15" s="6"/>
      <c r="L15" s="6"/>
      <c r="M15" s="40">
        <f t="shared" si="0"/>
        <v>12</v>
      </c>
      <c r="N15" s="40">
        <f t="shared" si="1"/>
        <v>13</v>
      </c>
      <c r="O15" s="40">
        <f t="shared" si="2"/>
        <v>42</v>
      </c>
      <c r="P15" s="40">
        <f t="shared" si="3"/>
        <v>67</v>
      </c>
    </row>
    <row r="16" spans="2:25" ht="18">
      <c r="B16" s="7" t="s">
        <v>34</v>
      </c>
      <c r="C16" s="11">
        <v>45014</v>
      </c>
      <c r="D16" s="3" t="s">
        <v>337</v>
      </c>
      <c r="E16" s="13" t="s">
        <v>324</v>
      </c>
      <c r="F16" s="6"/>
      <c r="G16" s="8" t="s">
        <v>19</v>
      </c>
      <c r="H16" s="6"/>
      <c r="I16" s="6"/>
      <c r="J16" s="6"/>
      <c r="K16" s="6"/>
      <c r="L16" s="6"/>
      <c r="M16" s="40">
        <f t="shared" si="0"/>
        <v>0</v>
      </c>
      <c r="N16" s="40">
        <f t="shared" si="1"/>
        <v>0</v>
      </c>
      <c r="O16" s="40">
        <f t="shared" si="2"/>
        <v>0</v>
      </c>
      <c r="P16" s="40">
        <f t="shared" si="3"/>
        <v>0</v>
      </c>
    </row>
    <row r="17" spans="2:16" ht="18">
      <c r="B17" s="7" t="s">
        <v>34</v>
      </c>
      <c r="C17" s="11">
        <v>45015</v>
      </c>
      <c r="D17" s="3" t="s">
        <v>338</v>
      </c>
      <c r="E17" s="13" t="s">
        <v>326</v>
      </c>
      <c r="F17" s="6"/>
      <c r="G17" s="8" t="s">
        <v>19</v>
      </c>
      <c r="H17" s="6"/>
      <c r="I17" s="6"/>
      <c r="J17" s="6"/>
      <c r="K17" s="6"/>
      <c r="L17" s="6"/>
      <c r="M17" s="40">
        <f t="shared" si="0"/>
        <v>0</v>
      </c>
      <c r="N17" s="40">
        <f t="shared" si="1"/>
        <v>0</v>
      </c>
      <c r="O17" s="40">
        <f t="shared" si="2"/>
        <v>0</v>
      </c>
      <c r="P17" s="40">
        <f t="shared" si="3"/>
        <v>0</v>
      </c>
    </row>
    <row r="18" spans="2:16" ht="18">
      <c r="B18" s="7" t="s">
        <v>38</v>
      </c>
      <c r="C18" s="11">
        <v>45028</v>
      </c>
      <c r="D18" s="3" t="s">
        <v>339</v>
      </c>
      <c r="E18" s="13" t="s">
        <v>321</v>
      </c>
      <c r="F18" s="6"/>
      <c r="G18" s="8" t="s">
        <v>16</v>
      </c>
      <c r="H18" s="6"/>
      <c r="I18" s="12">
        <v>45090</v>
      </c>
      <c r="J18" s="12">
        <v>45138</v>
      </c>
      <c r="K18" s="8"/>
      <c r="L18" s="6"/>
      <c r="M18" s="40">
        <f t="shared" si="0"/>
        <v>0</v>
      </c>
      <c r="N18" s="40">
        <f t="shared" si="1"/>
        <v>0</v>
      </c>
      <c r="O18" s="40">
        <f t="shared" si="2"/>
        <v>48</v>
      </c>
      <c r="P18" s="40">
        <f t="shared" si="3"/>
        <v>110</v>
      </c>
    </row>
    <row r="19" spans="2:16" ht="18">
      <c r="B19" s="7" t="s">
        <v>38</v>
      </c>
      <c r="C19" s="11">
        <v>45030</v>
      </c>
      <c r="D19" s="3" t="s">
        <v>340</v>
      </c>
      <c r="E19" s="13" t="s">
        <v>326</v>
      </c>
      <c r="F19" s="6"/>
      <c r="G19" s="8" t="s">
        <v>19</v>
      </c>
      <c r="H19" s="6"/>
      <c r="I19" s="6"/>
      <c r="J19" s="6"/>
      <c r="K19" s="6"/>
      <c r="L19" s="6"/>
      <c r="M19" s="40">
        <f t="shared" si="0"/>
        <v>0</v>
      </c>
      <c r="N19" s="40">
        <f t="shared" si="1"/>
        <v>0</v>
      </c>
      <c r="O19" s="40">
        <f t="shared" si="2"/>
        <v>0</v>
      </c>
      <c r="P19" s="40">
        <f t="shared" si="3"/>
        <v>0</v>
      </c>
    </row>
    <row r="20" spans="2:16" ht="18">
      <c r="B20" s="7" t="s">
        <v>38</v>
      </c>
      <c r="C20" s="11">
        <v>45030</v>
      </c>
      <c r="D20" s="3" t="s">
        <v>341</v>
      </c>
      <c r="E20" s="13" t="s">
        <v>329</v>
      </c>
      <c r="F20" s="6"/>
      <c r="G20" s="8" t="s">
        <v>19</v>
      </c>
      <c r="H20" s="6"/>
      <c r="I20" s="6"/>
      <c r="J20" s="6"/>
      <c r="K20" s="6"/>
      <c r="L20" s="6"/>
      <c r="M20" s="40">
        <f t="shared" si="0"/>
        <v>0</v>
      </c>
      <c r="N20" s="40">
        <f t="shared" si="1"/>
        <v>0</v>
      </c>
      <c r="O20" s="40">
        <f t="shared" si="2"/>
        <v>0</v>
      </c>
      <c r="P20" s="40">
        <f t="shared" si="3"/>
        <v>0</v>
      </c>
    </row>
    <row r="21" spans="2:16" ht="18">
      <c r="B21" s="7" t="s">
        <v>38</v>
      </c>
      <c r="C21" s="11">
        <v>45030</v>
      </c>
      <c r="D21" s="3" t="s">
        <v>342</v>
      </c>
      <c r="E21" s="13" t="s">
        <v>319</v>
      </c>
      <c r="F21" s="6"/>
      <c r="G21" s="8" t="s">
        <v>19</v>
      </c>
      <c r="H21" s="6"/>
      <c r="I21" s="6"/>
      <c r="J21" s="6"/>
      <c r="K21" s="6"/>
      <c r="L21" s="6"/>
      <c r="M21" s="40">
        <f t="shared" si="0"/>
        <v>0</v>
      </c>
      <c r="N21" s="40">
        <f t="shared" si="1"/>
        <v>0</v>
      </c>
      <c r="O21" s="40">
        <f t="shared" si="2"/>
        <v>0</v>
      </c>
      <c r="P21" s="40">
        <f t="shared" si="3"/>
        <v>0</v>
      </c>
    </row>
    <row r="22" spans="2:16" ht="18">
      <c r="B22" s="7" t="s">
        <v>38</v>
      </c>
      <c r="C22" s="11">
        <v>45034</v>
      </c>
      <c r="D22" s="10" t="s">
        <v>343</v>
      </c>
      <c r="E22" s="13" t="s">
        <v>321</v>
      </c>
      <c r="F22" s="6"/>
      <c r="G22" s="8" t="s">
        <v>19</v>
      </c>
      <c r="H22" s="6"/>
      <c r="I22" s="6"/>
      <c r="J22" s="6"/>
      <c r="K22" s="6"/>
      <c r="L22" s="6"/>
      <c r="M22" s="40">
        <f t="shared" si="0"/>
        <v>0</v>
      </c>
      <c r="N22" s="40">
        <f t="shared" si="1"/>
        <v>0</v>
      </c>
      <c r="O22" s="40">
        <f t="shared" si="2"/>
        <v>0</v>
      </c>
      <c r="P22" s="40">
        <f t="shared" si="3"/>
        <v>0</v>
      </c>
    </row>
    <row r="23" spans="2:16" ht="18">
      <c r="B23" s="7" t="s">
        <v>38</v>
      </c>
      <c r="C23" s="11">
        <v>45037</v>
      </c>
      <c r="D23" s="3" t="s">
        <v>344</v>
      </c>
      <c r="E23" s="13" t="s">
        <v>324</v>
      </c>
      <c r="F23" s="6"/>
      <c r="G23" s="8" t="s">
        <v>16</v>
      </c>
      <c r="H23" s="6"/>
      <c r="I23" s="12">
        <v>45040</v>
      </c>
      <c r="J23" s="12"/>
      <c r="K23" s="6" t="s">
        <v>345</v>
      </c>
      <c r="L23" s="6"/>
      <c r="M23" s="40">
        <f t="shared" si="0"/>
        <v>0</v>
      </c>
      <c r="N23" s="40">
        <f t="shared" si="1"/>
        <v>0</v>
      </c>
      <c r="O23" s="40">
        <f t="shared" si="2"/>
        <v>0</v>
      </c>
      <c r="P23" s="40">
        <f t="shared" si="3"/>
        <v>0</v>
      </c>
    </row>
    <row r="24" spans="2:16" ht="18">
      <c r="B24" s="7" t="s">
        <v>47</v>
      </c>
      <c r="C24" s="11">
        <v>45050</v>
      </c>
      <c r="D24" s="3" t="s">
        <v>346</v>
      </c>
      <c r="E24" s="13" t="s">
        <v>329</v>
      </c>
      <c r="F24" s="6"/>
      <c r="G24" s="8" t="s">
        <v>19</v>
      </c>
      <c r="H24" s="6"/>
      <c r="I24" s="6"/>
      <c r="J24" s="6"/>
      <c r="K24" s="6"/>
      <c r="L24" s="6"/>
      <c r="M24" s="40">
        <f t="shared" si="0"/>
        <v>0</v>
      </c>
      <c r="N24" s="40">
        <f t="shared" si="1"/>
        <v>0</v>
      </c>
      <c r="O24" s="40">
        <f t="shared" si="2"/>
        <v>0</v>
      </c>
      <c r="P24" s="40">
        <f t="shared" si="3"/>
        <v>0</v>
      </c>
    </row>
    <row r="25" spans="2:16" ht="18">
      <c r="B25" s="14" t="s">
        <v>47</v>
      </c>
      <c r="C25" s="100">
        <v>45058</v>
      </c>
      <c r="D25" s="15" t="s">
        <v>347</v>
      </c>
      <c r="E25" s="16" t="s">
        <v>321</v>
      </c>
      <c r="F25" s="17"/>
      <c r="G25" s="8" t="s">
        <v>19</v>
      </c>
      <c r="H25" s="6"/>
      <c r="I25" s="6"/>
      <c r="J25" s="6"/>
      <c r="K25" s="6"/>
      <c r="L25" s="6"/>
      <c r="M25" s="40">
        <f t="shared" si="0"/>
        <v>0</v>
      </c>
      <c r="N25" s="40">
        <f t="shared" si="1"/>
        <v>0</v>
      </c>
      <c r="O25" s="40">
        <f t="shared" si="2"/>
        <v>0</v>
      </c>
      <c r="P25" s="40">
        <f t="shared" si="3"/>
        <v>0</v>
      </c>
    </row>
    <row r="26" spans="2:16" ht="18">
      <c r="B26" s="7" t="s">
        <v>47</v>
      </c>
      <c r="C26" s="11">
        <v>45058</v>
      </c>
      <c r="D26" s="3" t="s">
        <v>348</v>
      </c>
      <c r="E26" s="13" t="s">
        <v>326</v>
      </c>
      <c r="F26" s="6"/>
      <c r="G26" s="8" t="s">
        <v>16</v>
      </c>
      <c r="H26" s="6"/>
      <c r="I26" s="12">
        <v>45061</v>
      </c>
      <c r="J26" s="12">
        <v>45083</v>
      </c>
      <c r="K26" s="6"/>
      <c r="L26" s="6"/>
      <c r="M26" s="40">
        <f t="shared" si="0"/>
        <v>0</v>
      </c>
      <c r="N26" s="40">
        <f t="shared" si="1"/>
        <v>0</v>
      </c>
      <c r="O26" s="40">
        <f t="shared" si="2"/>
        <v>22</v>
      </c>
      <c r="P26" s="40">
        <f t="shared" si="3"/>
        <v>25</v>
      </c>
    </row>
    <row r="27" spans="2:16" ht="18">
      <c r="B27" s="7" t="s">
        <v>47</v>
      </c>
      <c r="C27" s="11">
        <v>45065</v>
      </c>
      <c r="D27" s="3" t="s">
        <v>349</v>
      </c>
      <c r="E27" s="13" t="s">
        <v>326</v>
      </c>
      <c r="F27" s="6"/>
      <c r="G27" s="8" t="s">
        <v>16</v>
      </c>
      <c r="H27" s="6"/>
      <c r="I27" s="12">
        <v>45076</v>
      </c>
      <c r="J27" s="12">
        <v>45100</v>
      </c>
      <c r="K27" s="6"/>
      <c r="L27" s="6"/>
      <c r="M27" s="40">
        <f t="shared" si="0"/>
        <v>0</v>
      </c>
      <c r="N27" s="40">
        <f t="shared" si="1"/>
        <v>0</v>
      </c>
      <c r="O27" s="40">
        <f t="shared" si="2"/>
        <v>24</v>
      </c>
      <c r="P27" s="40">
        <f t="shared" si="3"/>
        <v>35</v>
      </c>
    </row>
    <row r="28" spans="2:16" ht="18">
      <c r="B28" s="7" t="s">
        <v>57</v>
      </c>
      <c r="C28" s="11">
        <v>45084</v>
      </c>
      <c r="D28" s="3" t="s">
        <v>350</v>
      </c>
      <c r="E28" s="13" t="s">
        <v>329</v>
      </c>
      <c r="F28" s="6"/>
      <c r="G28" s="8" t="s">
        <v>16</v>
      </c>
      <c r="H28" s="6"/>
      <c r="I28" s="12">
        <v>45092</v>
      </c>
      <c r="J28" s="12">
        <v>45306</v>
      </c>
      <c r="K28" s="6"/>
      <c r="L28" s="6"/>
      <c r="M28" s="40">
        <f t="shared" si="0"/>
        <v>0</v>
      </c>
      <c r="N28" s="40">
        <f t="shared" si="1"/>
        <v>0</v>
      </c>
      <c r="O28" s="40">
        <f t="shared" si="2"/>
        <v>214</v>
      </c>
      <c r="P28" s="40">
        <f t="shared" si="3"/>
        <v>222</v>
      </c>
    </row>
    <row r="29" spans="2:16" ht="18">
      <c r="B29" s="7" t="s">
        <v>57</v>
      </c>
      <c r="C29" s="11">
        <v>45084</v>
      </c>
      <c r="D29" s="3" t="s">
        <v>351</v>
      </c>
      <c r="E29" s="13" t="s">
        <v>324</v>
      </c>
      <c r="F29" s="6"/>
      <c r="G29" s="8" t="s">
        <v>19</v>
      </c>
      <c r="H29" s="6"/>
      <c r="I29" s="6"/>
      <c r="J29" s="6"/>
      <c r="K29" s="6"/>
      <c r="L29" s="6"/>
      <c r="M29" s="40">
        <f t="shared" si="0"/>
        <v>0</v>
      </c>
      <c r="N29" s="40">
        <f t="shared" si="1"/>
        <v>0</v>
      </c>
      <c r="O29" s="40">
        <f t="shared" si="2"/>
        <v>0</v>
      </c>
      <c r="P29" s="40">
        <f t="shared" si="3"/>
        <v>0</v>
      </c>
    </row>
    <row r="30" spans="2:16" ht="18">
      <c r="B30" s="7" t="s">
        <v>57</v>
      </c>
      <c r="C30" s="11">
        <v>45084</v>
      </c>
      <c r="D30" s="3" t="s">
        <v>352</v>
      </c>
      <c r="E30" s="13" t="s">
        <v>321</v>
      </c>
      <c r="F30" s="6"/>
      <c r="G30" s="8" t="s">
        <v>19</v>
      </c>
      <c r="H30" s="6"/>
      <c r="I30" s="6"/>
      <c r="J30" s="6"/>
      <c r="K30" s="6"/>
      <c r="L30" s="6"/>
      <c r="M30" s="40">
        <f t="shared" si="0"/>
        <v>0</v>
      </c>
      <c r="N30" s="40">
        <f t="shared" si="1"/>
        <v>0</v>
      </c>
      <c r="O30" s="40">
        <f t="shared" si="2"/>
        <v>0</v>
      </c>
      <c r="P30" s="40">
        <f t="shared" si="3"/>
        <v>0</v>
      </c>
    </row>
    <row r="31" spans="2:16" ht="18">
      <c r="B31" s="7" t="s">
        <v>57</v>
      </c>
      <c r="C31" s="11">
        <v>45084</v>
      </c>
      <c r="D31" s="3" t="s">
        <v>353</v>
      </c>
      <c r="E31" s="13" t="s">
        <v>329</v>
      </c>
      <c r="F31" s="6"/>
      <c r="G31" s="8" t="s">
        <v>16</v>
      </c>
      <c r="H31" s="12">
        <v>45207</v>
      </c>
      <c r="I31" s="12">
        <v>45244</v>
      </c>
      <c r="J31" s="12">
        <v>45306</v>
      </c>
      <c r="K31" s="6"/>
      <c r="L31" s="6"/>
      <c r="M31" s="40">
        <f t="shared" si="0"/>
        <v>123</v>
      </c>
      <c r="N31" s="40">
        <f t="shared" si="1"/>
        <v>37</v>
      </c>
      <c r="O31" s="40">
        <f t="shared" si="2"/>
        <v>62</v>
      </c>
      <c r="P31" s="40">
        <f t="shared" si="3"/>
        <v>222</v>
      </c>
    </row>
    <row r="32" spans="2:16" ht="18">
      <c r="B32" s="7" t="s">
        <v>57</v>
      </c>
      <c r="C32" s="11">
        <v>45084</v>
      </c>
      <c r="D32" s="3" t="s">
        <v>354</v>
      </c>
      <c r="E32" s="13" t="s">
        <v>326</v>
      </c>
      <c r="F32" s="6"/>
      <c r="G32" s="8" t="s">
        <v>16</v>
      </c>
      <c r="H32" s="6"/>
      <c r="I32" s="12">
        <v>45244</v>
      </c>
      <c r="J32" s="12">
        <v>45306</v>
      </c>
      <c r="K32" s="6"/>
      <c r="L32" s="6"/>
      <c r="M32" s="40">
        <f t="shared" si="0"/>
        <v>0</v>
      </c>
      <c r="N32" s="40">
        <f t="shared" si="1"/>
        <v>0</v>
      </c>
      <c r="O32" s="40">
        <f t="shared" si="2"/>
        <v>62</v>
      </c>
      <c r="P32" s="40">
        <f t="shared" si="3"/>
        <v>222</v>
      </c>
    </row>
    <row r="33" spans="2:16" ht="18">
      <c r="B33" s="7" t="s">
        <v>57</v>
      </c>
      <c r="C33" s="11">
        <v>45093</v>
      </c>
      <c r="D33" s="3" t="s">
        <v>355</v>
      </c>
      <c r="E33" s="13" t="s">
        <v>319</v>
      </c>
      <c r="F33" s="6"/>
      <c r="G33" s="8" t="s">
        <v>16</v>
      </c>
      <c r="H33" s="6"/>
      <c r="I33" s="12">
        <v>45118</v>
      </c>
      <c r="J33" s="12">
        <v>45231</v>
      </c>
      <c r="K33" s="6"/>
      <c r="L33" s="6"/>
      <c r="M33" s="40">
        <f t="shared" si="0"/>
        <v>0</v>
      </c>
      <c r="N33" s="40">
        <f t="shared" si="1"/>
        <v>0</v>
      </c>
      <c r="O33" s="40">
        <f t="shared" si="2"/>
        <v>113</v>
      </c>
      <c r="P33" s="40">
        <f t="shared" si="3"/>
        <v>138</v>
      </c>
    </row>
    <row r="34" spans="2:16" ht="18">
      <c r="B34" s="7" t="s">
        <v>57</v>
      </c>
      <c r="C34" s="11">
        <v>45093</v>
      </c>
      <c r="D34" s="3" t="s">
        <v>356</v>
      </c>
      <c r="E34" s="13" t="s">
        <v>329</v>
      </c>
      <c r="F34" s="6"/>
      <c r="G34" s="8" t="s">
        <v>19</v>
      </c>
      <c r="H34" s="6"/>
      <c r="I34" s="6"/>
      <c r="J34" s="6"/>
      <c r="K34" s="6"/>
      <c r="L34" s="6"/>
      <c r="M34" s="40">
        <f t="shared" si="0"/>
        <v>0</v>
      </c>
      <c r="N34" s="40">
        <f t="shared" si="1"/>
        <v>0</v>
      </c>
      <c r="O34" s="40">
        <f t="shared" si="2"/>
        <v>0</v>
      </c>
      <c r="P34" s="40">
        <f t="shared" si="3"/>
        <v>0</v>
      </c>
    </row>
    <row r="35" spans="2:16" ht="18">
      <c r="B35" s="7" t="s">
        <v>57</v>
      </c>
      <c r="C35" s="11">
        <v>45100</v>
      </c>
      <c r="D35" s="3" t="s">
        <v>357</v>
      </c>
      <c r="E35" s="13" t="s">
        <v>321</v>
      </c>
      <c r="F35" s="6"/>
      <c r="G35" s="8" t="s">
        <v>19</v>
      </c>
      <c r="H35" s="6"/>
      <c r="I35" s="6"/>
      <c r="J35" s="6"/>
      <c r="K35" s="6"/>
      <c r="L35" s="6"/>
      <c r="M35" s="40">
        <f t="shared" si="0"/>
        <v>0</v>
      </c>
      <c r="N35" s="40">
        <f t="shared" si="1"/>
        <v>0</v>
      </c>
      <c r="O35" s="40">
        <f t="shared" si="2"/>
        <v>0</v>
      </c>
      <c r="P35" s="40">
        <f t="shared" si="3"/>
        <v>0</v>
      </c>
    </row>
    <row r="36" spans="2:16" ht="18">
      <c r="B36" s="7" t="s">
        <v>57</v>
      </c>
      <c r="C36" s="11">
        <v>45100</v>
      </c>
      <c r="D36" s="3" t="s">
        <v>358</v>
      </c>
      <c r="E36" s="13" t="s">
        <v>324</v>
      </c>
      <c r="F36" s="6"/>
      <c r="G36" s="8" t="s">
        <v>16</v>
      </c>
      <c r="H36" s="6"/>
      <c r="I36" s="12">
        <v>45138</v>
      </c>
      <c r="J36" s="12">
        <v>45161</v>
      </c>
      <c r="K36" s="6"/>
      <c r="L36" s="6"/>
      <c r="M36" s="40">
        <f t="shared" si="0"/>
        <v>0</v>
      </c>
      <c r="N36" s="40">
        <f t="shared" si="1"/>
        <v>0</v>
      </c>
      <c r="O36" s="40">
        <f t="shared" si="2"/>
        <v>23</v>
      </c>
      <c r="P36" s="40">
        <f t="shared" si="3"/>
        <v>61</v>
      </c>
    </row>
    <row r="37" spans="2:16" ht="18">
      <c r="B37" s="7" t="s">
        <v>57</v>
      </c>
      <c r="C37" s="11">
        <v>45100</v>
      </c>
      <c r="D37" s="3" t="s">
        <v>359</v>
      </c>
      <c r="E37" s="13" t="s">
        <v>326</v>
      </c>
      <c r="F37" s="6"/>
      <c r="G37" s="8" t="s">
        <v>16</v>
      </c>
      <c r="H37" s="6"/>
      <c r="I37" s="12">
        <v>45138</v>
      </c>
      <c r="J37" s="12">
        <v>45161</v>
      </c>
      <c r="K37" s="6"/>
      <c r="L37" s="6"/>
      <c r="M37" s="40">
        <f t="shared" si="0"/>
        <v>0</v>
      </c>
      <c r="N37" s="40">
        <f t="shared" si="1"/>
        <v>0</v>
      </c>
      <c r="O37" s="40">
        <f t="shared" si="2"/>
        <v>23</v>
      </c>
      <c r="P37" s="40">
        <f t="shared" si="3"/>
        <v>61</v>
      </c>
    </row>
    <row r="38" spans="2:16" ht="18">
      <c r="B38" s="7" t="s">
        <v>57</v>
      </c>
      <c r="C38" s="11">
        <v>45100</v>
      </c>
      <c r="D38" s="3" t="s">
        <v>360</v>
      </c>
      <c r="E38" s="13" t="s">
        <v>324</v>
      </c>
      <c r="F38" s="6"/>
      <c r="G38" s="8" t="s">
        <v>19</v>
      </c>
      <c r="H38" s="6"/>
      <c r="I38" s="6"/>
      <c r="J38" s="6"/>
      <c r="K38" s="6"/>
      <c r="L38" s="6"/>
      <c r="M38" s="40">
        <f t="shared" si="0"/>
        <v>0</v>
      </c>
      <c r="N38" s="40">
        <f t="shared" si="1"/>
        <v>0</v>
      </c>
      <c r="O38" s="40">
        <f t="shared" si="2"/>
        <v>0</v>
      </c>
      <c r="P38" s="40">
        <f t="shared" si="3"/>
        <v>0</v>
      </c>
    </row>
    <row r="39" spans="2:16" ht="18">
      <c r="B39" s="7" t="s">
        <v>62</v>
      </c>
      <c r="C39" s="11">
        <v>45113</v>
      </c>
      <c r="D39" s="3" t="s">
        <v>361</v>
      </c>
      <c r="E39" s="13" t="s">
        <v>329</v>
      </c>
      <c r="F39" s="6"/>
      <c r="G39" s="8" t="s">
        <v>19</v>
      </c>
      <c r="H39" s="6"/>
      <c r="I39" s="6"/>
      <c r="J39" s="6"/>
      <c r="K39" s="6"/>
      <c r="L39" s="6"/>
      <c r="M39" s="40">
        <f t="shared" si="0"/>
        <v>0</v>
      </c>
      <c r="N39" s="40">
        <f t="shared" si="1"/>
        <v>0</v>
      </c>
      <c r="O39" s="40">
        <f t="shared" si="2"/>
        <v>0</v>
      </c>
      <c r="P39" s="40">
        <f t="shared" si="3"/>
        <v>0</v>
      </c>
    </row>
    <row r="40" spans="2:16" ht="18">
      <c r="B40" s="7" t="s">
        <v>62</v>
      </c>
      <c r="C40" s="11">
        <v>45114</v>
      </c>
      <c r="D40" s="3" t="s">
        <v>362</v>
      </c>
      <c r="E40" s="13" t="s">
        <v>329</v>
      </c>
      <c r="F40" s="6"/>
      <c r="G40" s="8" t="s">
        <v>16</v>
      </c>
      <c r="H40" s="12">
        <v>45126</v>
      </c>
      <c r="I40" s="12">
        <v>45138</v>
      </c>
      <c r="J40" s="12">
        <v>45167</v>
      </c>
      <c r="K40" s="6"/>
      <c r="L40" s="6"/>
      <c r="M40" s="40">
        <f t="shared" si="0"/>
        <v>12</v>
      </c>
      <c r="N40" s="40">
        <f t="shared" si="1"/>
        <v>12</v>
      </c>
      <c r="O40" s="40">
        <f t="shared" si="2"/>
        <v>29</v>
      </c>
      <c r="P40" s="40">
        <f t="shared" si="3"/>
        <v>53</v>
      </c>
    </row>
    <row r="41" spans="2:16" ht="18">
      <c r="B41" s="7" t="s">
        <v>62</v>
      </c>
      <c r="C41" s="11">
        <v>45114</v>
      </c>
      <c r="D41" s="3" t="s">
        <v>363</v>
      </c>
      <c r="E41" s="13" t="s">
        <v>319</v>
      </c>
      <c r="F41" s="6"/>
      <c r="G41" s="8" t="s">
        <v>19</v>
      </c>
      <c r="H41" s="6"/>
      <c r="I41" s="6"/>
      <c r="J41" s="6"/>
      <c r="K41" s="6"/>
      <c r="L41" s="6"/>
      <c r="M41" s="40">
        <f t="shared" si="0"/>
        <v>0</v>
      </c>
      <c r="N41" s="40">
        <f t="shared" si="1"/>
        <v>0</v>
      </c>
      <c r="O41" s="40">
        <f t="shared" si="2"/>
        <v>0</v>
      </c>
      <c r="P41" s="40">
        <f t="shared" si="3"/>
        <v>0</v>
      </c>
    </row>
    <row r="42" spans="2:16" ht="18">
      <c r="B42" s="7" t="s">
        <v>62</v>
      </c>
      <c r="C42" s="11">
        <v>45114</v>
      </c>
      <c r="D42" s="3" t="s">
        <v>364</v>
      </c>
      <c r="E42" s="13" t="s">
        <v>324</v>
      </c>
      <c r="F42" s="6"/>
      <c r="G42" s="8" t="s">
        <v>19</v>
      </c>
      <c r="H42" s="6"/>
      <c r="I42" s="6"/>
      <c r="J42" s="6"/>
      <c r="K42" s="6"/>
      <c r="L42" s="6"/>
      <c r="M42" s="40">
        <f t="shared" si="0"/>
        <v>0</v>
      </c>
      <c r="N42" s="40">
        <f t="shared" si="1"/>
        <v>0</v>
      </c>
      <c r="O42" s="40">
        <f t="shared" si="2"/>
        <v>0</v>
      </c>
      <c r="P42" s="40">
        <f t="shared" si="3"/>
        <v>0</v>
      </c>
    </row>
    <row r="43" spans="2:16" ht="18">
      <c r="B43" s="7" t="s">
        <v>62</v>
      </c>
      <c r="C43" s="11">
        <v>45134</v>
      </c>
      <c r="D43" s="3" t="s">
        <v>365</v>
      </c>
      <c r="E43" s="13" t="s">
        <v>319</v>
      </c>
      <c r="F43" s="6"/>
      <c r="G43" s="8" t="s">
        <v>19</v>
      </c>
      <c r="H43" s="6"/>
      <c r="I43" s="6"/>
      <c r="J43" s="6"/>
      <c r="K43" s="6"/>
      <c r="L43" s="6"/>
      <c r="M43" s="40">
        <f t="shared" si="0"/>
        <v>0</v>
      </c>
      <c r="N43" s="40">
        <f t="shared" si="1"/>
        <v>0</v>
      </c>
      <c r="O43" s="40">
        <f t="shared" si="2"/>
        <v>0</v>
      </c>
      <c r="P43" s="40">
        <f t="shared" si="3"/>
        <v>0</v>
      </c>
    </row>
    <row r="44" spans="2:16" ht="18">
      <c r="B44" s="7" t="s">
        <v>62</v>
      </c>
      <c r="C44" s="11">
        <v>45128</v>
      </c>
      <c r="D44" s="3" t="s">
        <v>366</v>
      </c>
      <c r="E44" s="13" t="s">
        <v>321</v>
      </c>
      <c r="F44" s="6"/>
      <c r="G44" s="8" t="s">
        <v>19</v>
      </c>
      <c r="H44" s="6"/>
      <c r="I44" s="6"/>
      <c r="J44" s="6"/>
      <c r="K44" s="6"/>
      <c r="L44" s="6"/>
      <c r="M44" s="40">
        <f t="shared" si="0"/>
        <v>0</v>
      </c>
      <c r="N44" s="40">
        <f t="shared" si="1"/>
        <v>0</v>
      </c>
      <c r="O44" s="40">
        <f t="shared" si="2"/>
        <v>0</v>
      </c>
      <c r="P44" s="40">
        <f t="shared" si="3"/>
        <v>0</v>
      </c>
    </row>
    <row r="45" spans="2:16" ht="18">
      <c r="B45" s="7" t="s">
        <v>62</v>
      </c>
      <c r="C45" s="11">
        <v>45128</v>
      </c>
      <c r="D45" s="3" t="s">
        <v>367</v>
      </c>
      <c r="E45" s="13" t="s">
        <v>321</v>
      </c>
      <c r="F45" s="6"/>
      <c r="G45" s="8" t="s">
        <v>19</v>
      </c>
      <c r="H45" s="6"/>
      <c r="I45" s="6"/>
      <c r="J45" s="6"/>
      <c r="K45" s="6"/>
      <c r="L45" s="6"/>
      <c r="M45" s="40">
        <f t="shared" si="0"/>
        <v>0</v>
      </c>
      <c r="N45" s="40">
        <f t="shared" si="1"/>
        <v>0</v>
      </c>
      <c r="O45" s="40">
        <f t="shared" si="2"/>
        <v>0</v>
      </c>
      <c r="P45" s="40">
        <f t="shared" si="3"/>
        <v>0</v>
      </c>
    </row>
    <row r="46" spans="2:16" ht="18">
      <c r="B46" s="14" t="s">
        <v>62</v>
      </c>
      <c r="C46" s="11">
        <v>45128</v>
      </c>
      <c r="D46" s="15" t="s">
        <v>368</v>
      </c>
      <c r="E46" s="16" t="s">
        <v>324</v>
      </c>
      <c r="F46" s="17"/>
      <c r="G46" s="18" t="s">
        <v>16</v>
      </c>
      <c r="H46" s="17"/>
      <c r="I46" s="24">
        <v>45146</v>
      </c>
      <c r="J46" s="19"/>
      <c r="K46" s="17" t="s">
        <v>369</v>
      </c>
      <c r="L46" s="6"/>
      <c r="M46" s="40">
        <f t="shared" si="0"/>
        <v>0</v>
      </c>
      <c r="N46" s="40">
        <f t="shared" si="1"/>
        <v>0</v>
      </c>
      <c r="O46" s="40">
        <f t="shared" si="2"/>
        <v>0</v>
      </c>
      <c r="P46" s="40">
        <f t="shared" si="3"/>
        <v>0</v>
      </c>
    </row>
    <row r="47" spans="2:16" ht="18">
      <c r="B47" s="7" t="s">
        <v>62</v>
      </c>
      <c r="C47" s="11">
        <v>45135</v>
      </c>
      <c r="D47" s="3" t="s">
        <v>370</v>
      </c>
      <c r="E47" s="13" t="s">
        <v>321</v>
      </c>
      <c r="F47" s="6"/>
      <c r="G47" s="8" t="s">
        <v>19</v>
      </c>
      <c r="H47" s="6"/>
      <c r="I47" s="6"/>
      <c r="J47" s="6"/>
      <c r="K47" s="6"/>
      <c r="L47" s="6"/>
      <c r="M47" s="40">
        <f t="shared" si="0"/>
        <v>0</v>
      </c>
      <c r="N47" s="40">
        <f t="shared" si="1"/>
        <v>0</v>
      </c>
      <c r="O47" s="40">
        <f t="shared" si="2"/>
        <v>0</v>
      </c>
      <c r="P47" s="40">
        <f t="shared" si="3"/>
        <v>0</v>
      </c>
    </row>
    <row r="48" spans="2:16" ht="18">
      <c r="B48" s="7" t="s">
        <v>62</v>
      </c>
      <c r="C48" s="11">
        <v>45135</v>
      </c>
      <c r="D48" s="3" t="s">
        <v>371</v>
      </c>
      <c r="E48" s="13" t="s">
        <v>321</v>
      </c>
      <c r="F48" s="6"/>
      <c r="G48" s="8" t="s">
        <v>19</v>
      </c>
      <c r="H48" s="6"/>
      <c r="I48" s="6"/>
      <c r="J48" s="6"/>
      <c r="K48" s="6"/>
      <c r="L48" s="6"/>
      <c r="M48" s="40">
        <f t="shared" si="0"/>
        <v>0</v>
      </c>
      <c r="N48" s="40">
        <f t="shared" si="1"/>
        <v>0</v>
      </c>
      <c r="O48" s="40">
        <f t="shared" si="2"/>
        <v>0</v>
      </c>
      <c r="P48" s="40">
        <f t="shared" si="3"/>
        <v>0</v>
      </c>
    </row>
    <row r="49" spans="2:16" ht="18">
      <c r="B49" s="7" t="s">
        <v>62</v>
      </c>
      <c r="C49" s="11">
        <v>45135</v>
      </c>
      <c r="D49" s="3" t="s">
        <v>372</v>
      </c>
      <c r="E49" s="13" t="s">
        <v>324</v>
      </c>
      <c r="F49" s="6"/>
      <c r="G49" s="8" t="s">
        <v>19</v>
      </c>
      <c r="H49" s="6"/>
      <c r="I49" s="6"/>
      <c r="J49" s="6"/>
      <c r="K49" s="6"/>
      <c r="L49" s="6"/>
      <c r="M49" s="40">
        <f t="shared" si="0"/>
        <v>0</v>
      </c>
      <c r="N49" s="40">
        <f t="shared" si="1"/>
        <v>0</v>
      </c>
      <c r="O49" s="40">
        <f t="shared" si="2"/>
        <v>0</v>
      </c>
      <c r="P49" s="40">
        <f t="shared" si="3"/>
        <v>0</v>
      </c>
    </row>
    <row r="50" spans="2:16" ht="18">
      <c r="B50" s="7" t="s">
        <v>68</v>
      </c>
      <c r="C50" s="11">
        <v>45155</v>
      </c>
      <c r="D50" s="3" t="s">
        <v>373</v>
      </c>
      <c r="E50" s="13" t="s">
        <v>329</v>
      </c>
      <c r="F50" s="6"/>
      <c r="G50" s="8" t="s">
        <v>16</v>
      </c>
      <c r="H50" s="20">
        <v>45156</v>
      </c>
      <c r="I50" s="12">
        <v>45238</v>
      </c>
      <c r="J50" s="12">
        <v>45306</v>
      </c>
      <c r="K50" s="6"/>
      <c r="L50" s="6"/>
      <c r="M50" s="40">
        <f t="shared" si="0"/>
        <v>1</v>
      </c>
      <c r="N50" s="40">
        <f t="shared" si="1"/>
        <v>82</v>
      </c>
      <c r="O50" s="40">
        <f t="shared" si="2"/>
        <v>68</v>
      </c>
      <c r="P50" s="40">
        <f t="shared" si="3"/>
        <v>151</v>
      </c>
    </row>
    <row r="51" spans="2:16" ht="18">
      <c r="B51" s="7" t="s">
        <v>68</v>
      </c>
      <c r="C51" s="11">
        <v>45147</v>
      </c>
      <c r="D51" s="3" t="s">
        <v>374</v>
      </c>
      <c r="E51" s="13" t="s">
        <v>329</v>
      </c>
      <c r="F51" s="6"/>
      <c r="G51" s="8" t="s">
        <v>16</v>
      </c>
      <c r="H51" s="20">
        <v>45191</v>
      </c>
      <c r="I51" s="12">
        <v>45197</v>
      </c>
      <c r="J51" s="12">
        <v>45328</v>
      </c>
      <c r="K51" s="6"/>
      <c r="L51" s="6"/>
      <c r="M51" s="40">
        <f t="shared" si="0"/>
        <v>44</v>
      </c>
      <c r="N51" s="40">
        <f t="shared" si="1"/>
        <v>6</v>
      </c>
      <c r="O51" s="40">
        <f t="shared" si="2"/>
        <v>131</v>
      </c>
      <c r="P51" s="40">
        <f t="shared" si="3"/>
        <v>181</v>
      </c>
    </row>
    <row r="52" spans="2:16" ht="18">
      <c r="B52" s="7" t="s">
        <v>68</v>
      </c>
      <c r="C52" s="11">
        <v>45147</v>
      </c>
      <c r="D52" s="3" t="s">
        <v>375</v>
      </c>
      <c r="E52" s="13" t="s">
        <v>319</v>
      </c>
      <c r="F52" s="6"/>
      <c r="G52" s="8" t="s">
        <v>16</v>
      </c>
      <c r="H52" s="6"/>
      <c r="I52" s="12">
        <v>45197</v>
      </c>
      <c r="J52" s="12">
        <v>45328</v>
      </c>
      <c r="K52" s="6"/>
      <c r="L52" s="6"/>
      <c r="M52" s="40">
        <f t="shared" si="0"/>
        <v>0</v>
      </c>
      <c r="N52" s="40">
        <f t="shared" si="1"/>
        <v>0</v>
      </c>
      <c r="O52" s="40">
        <f t="shared" si="2"/>
        <v>131</v>
      </c>
      <c r="P52" s="40">
        <f t="shared" si="3"/>
        <v>181</v>
      </c>
    </row>
    <row r="53" spans="2:16" ht="18">
      <c r="B53" s="7" t="s">
        <v>68</v>
      </c>
      <c r="C53" s="11">
        <v>45147</v>
      </c>
      <c r="D53" s="3" t="s">
        <v>376</v>
      </c>
      <c r="E53" s="13" t="s">
        <v>324</v>
      </c>
      <c r="F53" s="6"/>
      <c r="G53" s="8" t="s">
        <v>19</v>
      </c>
      <c r="H53" s="6"/>
      <c r="I53" s="6"/>
      <c r="J53" s="6"/>
      <c r="K53" s="6"/>
      <c r="L53" s="6"/>
      <c r="M53" s="40">
        <f t="shared" si="0"/>
        <v>0</v>
      </c>
      <c r="N53" s="40">
        <f t="shared" si="1"/>
        <v>0</v>
      </c>
      <c r="O53" s="40">
        <f t="shared" si="2"/>
        <v>0</v>
      </c>
      <c r="P53" s="40">
        <f t="shared" si="3"/>
        <v>0</v>
      </c>
    </row>
    <row r="54" spans="2:16" ht="18">
      <c r="B54" s="7" t="s">
        <v>68</v>
      </c>
      <c r="C54" s="11">
        <v>45147</v>
      </c>
      <c r="D54" s="3" t="s">
        <v>377</v>
      </c>
      <c r="E54" s="13" t="s">
        <v>319</v>
      </c>
      <c r="F54" s="6"/>
      <c r="G54" s="8" t="s">
        <v>19</v>
      </c>
      <c r="H54" s="6"/>
      <c r="I54" s="6"/>
      <c r="J54" s="6"/>
      <c r="K54" s="6"/>
      <c r="L54" s="6"/>
      <c r="M54" s="40">
        <f t="shared" si="0"/>
        <v>0</v>
      </c>
      <c r="N54" s="40">
        <f t="shared" si="1"/>
        <v>0</v>
      </c>
      <c r="O54" s="40">
        <f t="shared" si="2"/>
        <v>0</v>
      </c>
      <c r="P54" s="40">
        <f t="shared" si="3"/>
        <v>0</v>
      </c>
    </row>
    <row r="55" spans="2:16" ht="18">
      <c r="B55" s="7" t="s">
        <v>68</v>
      </c>
      <c r="C55" s="11">
        <v>45147</v>
      </c>
      <c r="D55" s="3" t="s">
        <v>378</v>
      </c>
      <c r="E55" s="13" t="s">
        <v>324</v>
      </c>
      <c r="F55" s="6"/>
      <c r="G55" s="8" t="s">
        <v>19</v>
      </c>
      <c r="H55" s="6"/>
      <c r="I55" s="6"/>
      <c r="J55" s="6"/>
      <c r="K55" s="6"/>
      <c r="L55" s="6"/>
      <c r="M55" s="40">
        <f t="shared" si="0"/>
        <v>0</v>
      </c>
      <c r="N55" s="40">
        <f t="shared" si="1"/>
        <v>0</v>
      </c>
      <c r="O55" s="40">
        <f t="shared" si="2"/>
        <v>0</v>
      </c>
      <c r="P55" s="40">
        <f t="shared" si="3"/>
        <v>0</v>
      </c>
    </row>
    <row r="56" spans="2:16" ht="18">
      <c r="B56" s="7" t="s">
        <v>68</v>
      </c>
      <c r="C56" s="11">
        <v>45147</v>
      </c>
      <c r="D56" s="3" t="s">
        <v>379</v>
      </c>
      <c r="E56" s="13" t="s">
        <v>329</v>
      </c>
      <c r="F56" s="6"/>
      <c r="G56" s="8" t="s">
        <v>19</v>
      </c>
      <c r="H56" s="6"/>
      <c r="I56" s="6"/>
      <c r="J56" s="6"/>
      <c r="K56" s="6"/>
      <c r="L56" s="6"/>
      <c r="M56" s="40">
        <f t="shared" si="0"/>
        <v>0</v>
      </c>
      <c r="N56" s="40">
        <f t="shared" si="1"/>
        <v>0</v>
      </c>
      <c r="O56" s="40">
        <f t="shared" si="2"/>
        <v>0</v>
      </c>
      <c r="P56" s="40">
        <f t="shared" si="3"/>
        <v>0</v>
      </c>
    </row>
    <row r="57" spans="2:16" ht="18">
      <c r="B57" s="7" t="s">
        <v>68</v>
      </c>
      <c r="C57" s="11">
        <v>45147</v>
      </c>
      <c r="D57" s="3" t="s">
        <v>380</v>
      </c>
      <c r="E57" s="13" t="s">
        <v>326</v>
      </c>
      <c r="F57" s="6"/>
      <c r="G57" s="8" t="s">
        <v>19</v>
      </c>
      <c r="H57" s="6"/>
      <c r="I57" s="6"/>
      <c r="J57" s="6"/>
      <c r="K57" s="6"/>
      <c r="L57" s="6"/>
      <c r="M57" s="40">
        <f t="shared" si="0"/>
        <v>0</v>
      </c>
      <c r="N57" s="40">
        <f t="shared" si="1"/>
        <v>0</v>
      </c>
      <c r="O57" s="40">
        <f t="shared" si="2"/>
        <v>0</v>
      </c>
      <c r="P57" s="40">
        <f t="shared" si="3"/>
        <v>0</v>
      </c>
    </row>
    <row r="58" spans="2:16" ht="18">
      <c r="B58" s="7" t="s">
        <v>68</v>
      </c>
      <c r="C58" s="11">
        <v>45147</v>
      </c>
      <c r="D58" s="3" t="s">
        <v>381</v>
      </c>
      <c r="E58" s="13" t="s">
        <v>319</v>
      </c>
      <c r="F58" s="6"/>
      <c r="G58" s="8" t="s">
        <v>16</v>
      </c>
      <c r="H58" s="6"/>
      <c r="I58" s="12">
        <v>45188</v>
      </c>
      <c r="J58" s="12">
        <v>45205</v>
      </c>
      <c r="K58" s="6"/>
      <c r="L58" s="6"/>
      <c r="M58" s="40">
        <f t="shared" si="0"/>
        <v>0</v>
      </c>
      <c r="N58" s="40">
        <f t="shared" si="1"/>
        <v>0</v>
      </c>
      <c r="O58" s="40">
        <f t="shared" si="2"/>
        <v>17</v>
      </c>
      <c r="P58" s="40">
        <f t="shared" si="3"/>
        <v>58</v>
      </c>
    </row>
    <row r="59" spans="2:16" ht="18">
      <c r="B59" s="7" t="s">
        <v>68</v>
      </c>
      <c r="C59" s="11">
        <v>45149</v>
      </c>
      <c r="D59" s="3" t="s">
        <v>382</v>
      </c>
      <c r="E59" s="13" t="s">
        <v>324</v>
      </c>
      <c r="F59" s="6"/>
      <c r="G59" s="8" t="s">
        <v>19</v>
      </c>
      <c r="H59" s="6"/>
      <c r="I59" s="6"/>
      <c r="J59" s="6"/>
      <c r="K59" s="6"/>
      <c r="L59" s="6"/>
      <c r="M59" s="40">
        <f t="shared" si="0"/>
        <v>0</v>
      </c>
      <c r="N59" s="40">
        <f t="shared" si="1"/>
        <v>0</v>
      </c>
      <c r="O59" s="40">
        <f t="shared" si="2"/>
        <v>0</v>
      </c>
      <c r="P59" s="40">
        <f t="shared" si="3"/>
        <v>0</v>
      </c>
    </row>
    <row r="60" spans="2:16" ht="18">
      <c r="B60" s="7" t="s">
        <v>68</v>
      </c>
      <c r="C60" s="11">
        <v>45149</v>
      </c>
      <c r="D60" s="3" t="s">
        <v>383</v>
      </c>
      <c r="E60" s="13" t="s">
        <v>329</v>
      </c>
      <c r="F60" s="6"/>
      <c r="G60" s="8" t="s">
        <v>19</v>
      </c>
      <c r="H60" s="6"/>
      <c r="I60" s="6"/>
      <c r="J60" s="6"/>
      <c r="K60" s="6"/>
      <c r="L60" s="6"/>
      <c r="M60" s="40">
        <f t="shared" si="0"/>
        <v>0</v>
      </c>
      <c r="N60" s="40">
        <f t="shared" si="1"/>
        <v>0</v>
      </c>
      <c r="O60" s="40">
        <f t="shared" si="2"/>
        <v>0</v>
      </c>
      <c r="P60" s="40">
        <f t="shared" si="3"/>
        <v>0</v>
      </c>
    </row>
    <row r="61" spans="2:16" ht="18">
      <c r="B61" s="7" t="s">
        <v>68</v>
      </c>
      <c r="C61" s="11">
        <v>45149</v>
      </c>
      <c r="D61" s="3" t="s">
        <v>384</v>
      </c>
      <c r="E61" s="13" t="s">
        <v>321</v>
      </c>
      <c r="F61" s="6"/>
      <c r="G61" s="8" t="s">
        <v>19</v>
      </c>
      <c r="H61" s="6"/>
      <c r="I61" s="6"/>
      <c r="J61" s="6"/>
      <c r="K61" s="6"/>
      <c r="L61" s="6"/>
      <c r="M61" s="40">
        <f t="shared" si="0"/>
        <v>0</v>
      </c>
      <c r="N61" s="40">
        <f t="shared" si="1"/>
        <v>0</v>
      </c>
      <c r="O61" s="40">
        <f t="shared" si="2"/>
        <v>0</v>
      </c>
      <c r="P61" s="40">
        <f t="shared" si="3"/>
        <v>0</v>
      </c>
    </row>
    <row r="62" spans="2:16" ht="18">
      <c r="B62" s="7" t="s">
        <v>68</v>
      </c>
      <c r="C62" s="11">
        <v>45156</v>
      </c>
      <c r="D62" s="3" t="s">
        <v>385</v>
      </c>
      <c r="E62" s="13" t="s">
        <v>324</v>
      </c>
      <c r="F62" s="6"/>
      <c r="G62" s="8" t="s">
        <v>19</v>
      </c>
      <c r="H62" s="6"/>
      <c r="I62" s="6"/>
      <c r="J62" s="6"/>
      <c r="K62" s="6"/>
      <c r="L62" s="6"/>
      <c r="M62" s="40">
        <f t="shared" si="0"/>
        <v>0</v>
      </c>
      <c r="N62" s="40">
        <f t="shared" si="1"/>
        <v>0</v>
      </c>
      <c r="O62" s="40">
        <f t="shared" si="2"/>
        <v>0</v>
      </c>
      <c r="P62" s="40">
        <f t="shared" si="3"/>
        <v>0</v>
      </c>
    </row>
    <row r="63" spans="2:16" ht="18">
      <c r="B63" s="7" t="s">
        <v>68</v>
      </c>
      <c r="C63" s="11">
        <v>45156</v>
      </c>
      <c r="D63" s="3" t="s">
        <v>386</v>
      </c>
      <c r="E63" s="13" t="s">
        <v>321</v>
      </c>
      <c r="F63" s="6"/>
      <c r="G63" s="8" t="s">
        <v>19</v>
      </c>
      <c r="H63" s="6"/>
      <c r="I63" s="6"/>
      <c r="J63" s="6"/>
      <c r="K63" s="6"/>
      <c r="L63" s="6"/>
      <c r="M63" s="40">
        <f t="shared" si="0"/>
        <v>0</v>
      </c>
      <c r="N63" s="40">
        <f t="shared" si="1"/>
        <v>0</v>
      </c>
      <c r="O63" s="40">
        <f t="shared" si="2"/>
        <v>0</v>
      </c>
      <c r="P63" s="40">
        <f t="shared" si="3"/>
        <v>0</v>
      </c>
    </row>
    <row r="64" spans="2:16" ht="18">
      <c r="B64" s="7" t="s">
        <v>68</v>
      </c>
      <c r="C64" s="11">
        <v>45156</v>
      </c>
      <c r="D64" s="3" t="s">
        <v>387</v>
      </c>
      <c r="E64" s="13" t="s">
        <v>324</v>
      </c>
      <c r="F64" s="6"/>
      <c r="G64" s="8" t="s">
        <v>19</v>
      </c>
      <c r="H64" s="6"/>
      <c r="I64" s="6"/>
      <c r="J64" s="6"/>
      <c r="K64" s="6"/>
      <c r="L64" s="6"/>
      <c r="M64" s="40">
        <f t="shared" si="0"/>
        <v>0</v>
      </c>
      <c r="N64" s="40">
        <f t="shared" si="1"/>
        <v>0</v>
      </c>
      <c r="O64" s="40">
        <f t="shared" si="2"/>
        <v>0</v>
      </c>
      <c r="P64" s="40">
        <f t="shared" si="3"/>
        <v>0</v>
      </c>
    </row>
    <row r="65" spans="2:16" ht="18">
      <c r="B65" s="7" t="s">
        <v>68</v>
      </c>
      <c r="C65" s="11">
        <v>45161</v>
      </c>
      <c r="D65" s="3" t="s">
        <v>388</v>
      </c>
      <c r="E65" s="13" t="s">
        <v>324</v>
      </c>
      <c r="F65" s="6"/>
      <c r="G65" s="8" t="s">
        <v>16</v>
      </c>
      <c r="H65" s="6"/>
      <c r="I65" s="12">
        <v>45229</v>
      </c>
      <c r="J65" s="6"/>
      <c r="K65" s="6" t="s">
        <v>369</v>
      </c>
      <c r="L65" s="6"/>
      <c r="M65" s="40">
        <f t="shared" si="0"/>
        <v>0</v>
      </c>
      <c r="N65" s="40">
        <f t="shared" si="1"/>
        <v>0</v>
      </c>
      <c r="O65" s="40">
        <f t="shared" si="2"/>
        <v>0</v>
      </c>
      <c r="P65" s="40">
        <f t="shared" si="3"/>
        <v>0</v>
      </c>
    </row>
    <row r="66" spans="2:16" ht="18">
      <c r="B66" s="7" t="s">
        <v>68</v>
      </c>
      <c r="C66" s="11">
        <v>45161</v>
      </c>
      <c r="D66" s="3" t="s">
        <v>389</v>
      </c>
      <c r="E66" s="13" t="s">
        <v>319</v>
      </c>
      <c r="F66" s="6"/>
      <c r="G66" s="8" t="s">
        <v>19</v>
      </c>
      <c r="H66" s="6"/>
      <c r="I66" s="6"/>
      <c r="J66" s="6"/>
      <c r="K66" s="6"/>
      <c r="L66" s="6"/>
      <c r="M66" s="40">
        <f t="shared" si="0"/>
        <v>0</v>
      </c>
      <c r="N66" s="40">
        <f t="shared" si="1"/>
        <v>0</v>
      </c>
      <c r="O66" s="40">
        <f t="shared" si="2"/>
        <v>0</v>
      </c>
      <c r="P66" s="40">
        <f t="shared" si="3"/>
        <v>0</v>
      </c>
    </row>
    <row r="67" spans="2:16" ht="18">
      <c r="B67" s="7" t="s">
        <v>77</v>
      </c>
      <c r="C67" s="11">
        <v>45175</v>
      </c>
      <c r="D67" s="3" t="s">
        <v>390</v>
      </c>
      <c r="E67" s="13" t="s">
        <v>321</v>
      </c>
      <c r="F67" s="6"/>
      <c r="G67" s="8" t="s">
        <v>16</v>
      </c>
      <c r="H67" s="6"/>
      <c r="I67" s="12">
        <v>45194</v>
      </c>
      <c r="J67" s="6"/>
      <c r="K67" s="6" t="s">
        <v>391</v>
      </c>
      <c r="L67" s="6"/>
      <c r="M67" s="40">
        <f>IF(H67&gt;0,H67-C67,0)</f>
        <v>0</v>
      </c>
      <c r="N67" s="40">
        <f>IF(H67&gt;0,IF(I67&gt;0,I67-H67,0),0)</f>
        <v>0</v>
      </c>
      <c r="O67" s="40">
        <f>IF(J67&gt;0,J67-I67,0)</f>
        <v>0</v>
      </c>
      <c r="P67" s="40">
        <f>IF(J67&gt;0,J67-C67,0)</f>
        <v>0</v>
      </c>
    </row>
    <row r="68" spans="2:16" ht="18">
      <c r="B68" s="7" t="s">
        <v>77</v>
      </c>
      <c r="C68" s="11">
        <v>45175</v>
      </c>
      <c r="D68" s="3" t="s">
        <v>392</v>
      </c>
      <c r="E68" s="13" t="s">
        <v>329</v>
      </c>
      <c r="F68" s="6"/>
      <c r="G68" s="8" t="s">
        <v>19</v>
      </c>
      <c r="H68" s="6"/>
      <c r="I68" s="6"/>
      <c r="J68" s="6"/>
      <c r="K68" s="6"/>
      <c r="L68" s="6"/>
      <c r="M68" s="40">
        <f>IF(H68&gt;0,H68-C68,0)</f>
        <v>0</v>
      </c>
      <c r="N68" s="40">
        <f>IF(H68&gt;0,IF(I68&gt;0,I68-H68,0),0)</f>
        <v>0</v>
      </c>
      <c r="O68" s="40">
        <f>IF(J68&gt;0,J68-I68,0)</f>
        <v>0</v>
      </c>
      <c r="P68" s="40">
        <f>IF(J68&gt;0,J68-C68,0)</f>
        <v>0</v>
      </c>
    </row>
    <row r="69" spans="2:16" ht="18">
      <c r="B69" s="7" t="s">
        <v>77</v>
      </c>
      <c r="C69" s="11">
        <v>45196</v>
      </c>
      <c r="D69" s="3" t="s">
        <v>393</v>
      </c>
      <c r="E69" s="13" t="s">
        <v>324</v>
      </c>
      <c r="F69" s="6"/>
      <c r="G69" s="8" t="s">
        <v>19</v>
      </c>
      <c r="H69" s="6"/>
      <c r="I69" s="6"/>
      <c r="J69" s="6"/>
      <c r="K69" s="6"/>
      <c r="L69" s="6"/>
      <c r="M69" s="40">
        <f>IF(H69&gt;0,H69-C69,0)</f>
        <v>0</v>
      </c>
      <c r="N69" s="40">
        <f>IF(H69&gt;0,IF(I69&gt;0,I69-H69,0),0)</f>
        <v>0</v>
      </c>
      <c r="O69" s="40">
        <f>IF(J69&gt;0,J69-I69,0)</f>
        <v>0</v>
      </c>
      <c r="P69" s="40">
        <f>IF(J69&gt;0,J69-C69,0)</f>
        <v>0</v>
      </c>
    </row>
    <row r="70" spans="2:16" ht="18">
      <c r="B70" s="7" t="s">
        <v>77</v>
      </c>
      <c r="C70" s="11">
        <v>45191</v>
      </c>
      <c r="D70" s="3" t="s">
        <v>394</v>
      </c>
      <c r="E70" s="13" t="s">
        <v>319</v>
      </c>
      <c r="F70" s="6"/>
      <c r="G70" s="8" t="s">
        <v>19</v>
      </c>
      <c r="H70" s="6"/>
      <c r="I70" s="6"/>
      <c r="J70" s="6"/>
      <c r="K70" s="6"/>
      <c r="L70" s="6"/>
      <c r="M70" s="40">
        <f>IF(H70&gt;0,H70-C70,0)</f>
        <v>0</v>
      </c>
      <c r="N70" s="40">
        <f>IF(H70&gt;0,IF(I70&gt;0,I70-H70,0),0)</f>
        <v>0</v>
      </c>
      <c r="O70" s="40">
        <f>IF(J70&gt;0,J70-I70,0)</f>
        <v>0</v>
      </c>
      <c r="P70" s="40">
        <f>IF(J70&gt;0,J70-C70,0)</f>
        <v>0</v>
      </c>
    </row>
    <row r="71" spans="2:16" ht="18">
      <c r="B71" s="7" t="s">
        <v>77</v>
      </c>
      <c r="C71" s="11">
        <v>45191</v>
      </c>
      <c r="D71" s="3" t="s">
        <v>395</v>
      </c>
      <c r="E71" s="13" t="s">
        <v>324</v>
      </c>
      <c r="F71" s="6"/>
      <c r="G71" s="9" t="s">
        <v>19</v>
      </c>
      <c r="H71" s="6"/>
      <c r="I71" s="6"/>
      <c r="J71" s="6"/>
      <c r="K71" s="6"/>
      <c r="L71" s="6"/>
      <c r="M71" s="40">
        <f>IF(H71&gt;0,H71-C71,0)</f>
        <v>0</v>
      </c>
      <c r="N71" s="40">
        <f>IF(H71&gt;0,IF(I71&gt;0,I71-H71,0),0)</f>
        <v>0</v>
      </c>
      <c r="O71" s="40">
        <f>IF(J71&gt;0,J71-I71,0)</f>
        <v>0</v>
      </c>
      <c r="P71" s="40">
        <f>IF(J71&gt;0,J71-C71,0)</f>
        <v>0</v>
      </c>
    </row>
    <row r="72" spans="2:16" ht="18">
      <c r="B72" s="7" t="s">
        <v>77</v>
      </c>
      <c r="C72" s="11">
        <v>45191</v>
      </c>
      <c r="D72" s="3" t="s">
        <v>396</v>
      </c>
      <c r="E72" s="13" t="s">
        <v>326</v>
      </c>
      <c r="F72" s="6"/>
      <c r="G72" s="8" t="s">
        <v>19</v>
      </c>
      <c r="H72" s="6"/>
      <c r="I72" s="6"/>
      <c r="J72" s="6"/>
      <c r="K72" s="6"/>
      <c r="L72" s="6"/>
      <c r="M72" s="40">
        <f>IF(H72&gt;0,H72-C72,0)</f>
        <v>0</v>
      </c>
      <c r="N72" s="40">
        <f>IF(H72&gt;0,IF(I72&gt;0,I72-H72,0),0)</f>
        <v>0</v>
      </c>
      <c r="O72" s="40">
        <f>IF(J72&gt;0,J72-I72,0)</f>
        <v>0</v>
      </c>
      <c r="P72" s="40">
        <f>IF(J72&gt;0,J72-C72,0)</f>
        <v>0</v>
      </c>
    </row>
    <row r="73" spans="2:16" ht="18">
      <c r="B73" s="7" t="s">
        <v>77</v>
      </c>
      <c r="C73" s="11">
        <v>45198</v>
      </c>
      <c r="D73" s="3" t="s">
        <v>397</v>
      </c>
      <c r="E73" s="13" t="s">
        <v>319</v>
      </c>
      <c r="F73" s="6"/>
      <c r="G73" s="21" t="s">
        <v>19</v>
      </c>
      <c r="H73" s="6"/>
      <c r="I73" s="6"/>
      <c r="J73" s="6"/>
      <c r="K73" s="6"/>
      <c r="L73" s="6"/>
      <c r="M73" s="40">
        <f>IF(H73&gt;0,H73-C73,0)</f>
        <v>0</v>
      </c>
      <c r="N73" s="40">
        <f>IF(H73&gt;0,IF(I73&gt;0,I73-H73,0),0)</f>
        <v>0</v>
      </c>
      <c r="O73" s="40">
        <f>IF(J73&gt;0,J73-I73,0)</f>
        <v>0</v>
      </c>
      <c r="P73" s="40">
        <f>IF(J73&gt;0,J73-C73,0)</f>
        <v>0</v>
      </c>
    </row>
    <row r="74" spans="2:16" ht="18">
      <c r="B74" s="7" t="s">
        <v>77</v>
      </c>
      <c r="C74" s="11">
        <v>45198</v>
      </c>
      <c r="D74" s="3" t="s">
        <v>398</v>
      </c>
      <c r="E74" s="13" t="s">
        <v>324</v>
      </c>
      <c r="F74" s="6"/>
      <c r="G74" s="21" t="s">
        <v>19</v>
      </c>
      <c r="H74" s="6"/>
      <c r="I74" s="6"/>
      <c r="J74" s="6"/>
      <c r="K74" s="6"/>
      <c r="L74" s="6"/>
      <c r="M74" s="40">
        <f>IF(H74&gt;0,H74-C74,0)</f>
        <v>0</v>
      </c>
      <c r="N74" s="40">
        <f>IF(H74&gt;0,IF(I74&gt;0,I74-H74,0),0)</f>
        <v>0</v>
      </c>
      <c r="O74" s="40">
        <f>IF(J74&gt;0,J74-I74,0)</f>
        <v>0</v>
      </c>
      <c r="P74" s="40">
        <f>IF(J74&gt;0,J74-C74,0)</f>
        <v>0</v>
      </c>
    </row>
    <row r="75" spans="2:16" ht="18">
      <c r="B75" s="7" t="s">
        <v>77</v>
      </c>
      <c r="C75" s="11">
        <v>45198</v>
      </c>
      <c r="D75" s="3" t="s">
        <v>399</v>
      </c>
      <c r="E75" s="13" t="s">
        <v>321</v>
      </c>
      <c r="F75" s="6"/>
      <c r="G75" s="21" t="s">
        <v>19</v>
      </c>
      <c r="H75" s="6"/>
      <c r="I75" s="6"/>
      <c r="J75" s="6"/>
      <c r="K75" s="6"/>
      <c r="L75" s="6"/>
      <c r="M75" s="40">
        <f>IF(H75&gt;0,H75-C75,0)</f>
        <v>0</v>
      </c>
      <c r="N75" s="40">
        <f>IF(H75&gt;0,IF(I75&gt;0,I75-H75,0),0)</f>
        <v>0</v>
      </c>
      <c r="O75" s="40">
        <f>IF(J75&gt;0,J75-I75,0)</f>
        <v>0</v>
      </c>
      <c r="P75" s="40">
        <f>IF(J75&gt;0,J75-C75,0)</f>
        <v>0</v>
      </c>
    </row>
    <row r="76" spans="2:16" ht="18">
      <c r="B76" s="7" t="s">
        <v>77</v>
      </c>
      <c r="C76" s="11">
        <v>45198</v>
      </c>
      <c r="D76" s="3" t="s">
        <v>400</v>
      </c>
      <c r="E76" s="13" t="s">
        <v>319</v>
      </c>
      <c r="F76" s="6"/>
      <c r="G76" s="21" t="s">
        <v>19</v>
      </c>
      <c r="H76" s="6"/>
      <c r="I76" s="6"/>
      <c r="J76" s="6"/>
      <c r="K76" s="6"/>
      <c r="L76" s="6"/>
      <c r="M76" s="40">
        <f>IF(H76&gt;0,H76-C76,0)</f>
        <v>0</v>
      </c>
      <c r="N76" s="40">
        <f>IF(H76&gt;0,IF(I76&gt;0,I76-H76,0),0)</f>
        <v>0</v>
      </c>
      <c r="O76" s="40">
        <f>IF(J76&gt;0,J76-I76,0)</f>
        <v>0</v>
      </c>
      <c r="P76" s="40">
        <f>IF(J76&gt;0,J76-C76,0)</f>
        <v>0</v>
      </c>
    </row>
    <row r="77" spans="2:16" ht="18">
      <c r="B77" s="7" t="s">
        <v>77</v>
      </c>
      <c r="C77" s="11">
        <v>45198</v>
      </c>
      <c r="D77" s="3" t="s">
        <v>401</v>
      </c>
      <c r="E77" s="13" t="s">
        <v>319</v>
      </c>
      <c r="F77" s="6"/>
      <c r="G77" s="21" t="s">
        <v>19</v>
      </c>
      <c r="H77" s="6"/>
      <c r="I77" s="6"/>
      <c r="J77" s="6"/>
      <c r="K77" s="6"/>
      <c r="L77" s="6"/>
      <c r="M77" s="40">
        <f>IF(H77&gt;0,H77-C77,0)</f>
        <v>0</v>
      </c>
      <c r="N77" s="40">
        <f>IF(H77&gt;0,IF(I77&gt;0,I77-H77,0),0)</f>
        <v>0</v>
      </c>
      <c r="O77" s="40">
        <f>IF(J77&gt;0,J77-I77,0)</f>
        <v>0</v>
      </c>
      <c r="P77" s="40">
        <f>IF(J77&gt;0,J77-C77,0)</f>
        <v>0</v>
      </c>
    </row>
    <row r="78" spans="2:16" ht="18">
      <c r="B78" s="7" t="s">
        <v>84</v>
      </c>
      <c r="C78" s="11">
        <v>45225</v>
      </c>
      <c r="D78" s="3" t="s">
        <v>402</v>
      </c>
      <c r="E78" s="13" t="s">
        <v>319</v>
      </c>
      <c r="F78" s="6"/>
      <c r="G78" s="8" t="s">
        <v>16</v>
      </c>
      <c r="H78" s="6"/>
      <c r="I78" s="12">
        <v>45252</v>
      </c>
      <c r="J78" s="6"/>
      <c r="K78" s="6" t="s">
        <v>345</v>
      </c>
      <c r="L78" s="6"/>
      <c r="M78" s="40">
        <f>IF(H78&gt;0,H78-C78,0)</f>
        <v>0</v>
      </c>
      <c r="N78" s="40">
        <f>IF(H78&gt;0,IF(I78&gt;0,I78-H78,0),0)</f>
        <v>0</v>
      </c>
      <c r="O78" s="40">
        <f>IF(J78&gt;0,J78-I78,0)</f>
        <v>0</v>
      </c>
      <c r="P78" s="40">
        <f>IF(J78&gt;0,J78-C78,0)</f>
        <v>0</v>
      </c>
    </row>
    <row r="79" spans="2:16" ht="18">
      <c r="B79" s="7" t="s">
        <v>84</v>
      </c>
      <c r="C79" s="11">
        <v>45226</v>
      </c>
      <c r="D79" s="3" t="s">
        <v>403</v>
      </c>
      <c r="E79" s="13" t="s">
        <v>329</v>
      </c>
      <c r="F79" s="6"/>
      <c r="G79" s="8" t="s">
        <v>16</v>
      </c>
      <c r="H79" s="12">
        <v>45231</v>
      </c>
      <c r="I79" s="12">
        <v>45245</v>
      </c>
      <c r="J79" s="12">
        <v>45306</v>
      </c>
      <c r="K79" s="6"/>
      <c r="L79" s="6"/>
      <c r="M79" s="40">
        <f>IF(H79&gt;0,H79-C79,0)</f>
        <v>5</v>
      </c>
      <c r="N79" s="40">
        <f>IF(H79&gt;0,IF(I79&gt;0,I79-H79,0),0)</f>
        <v>14</v>
      </c>
      <c r="O79" s="40">
        <f>IF(J79&gt;0,J79-I79,0)</f>
        <v>61</v>
      </c>
      <c r="P79" s="40">
        <f>IF(J79&gt;0,J79-C79,0)</f>
        <v>80</v>
      </c>
    </row>
    <row r="80" spans="2:16" ht="18">
      <c r="B80" s="7" t="s">
        <v>84</v>
      </c>
      <c r="C80" s="11">
        <v>45226</v>
      </c>
      <c r="D80" s="3" t="s">
        <v>404</v>
      </c>
      <c r="E80" s="13" t="s">
        <v>326</v>
      </c>
      <c r="F80" s="6"/>
      <c r="G80" s="8" t="s">
        <v>16</v>
      </c>
      <c r="H80" s="6"/>
      <c r="I80" s="12">
        <v>45250</v>
      </c>
      <c r="J80" s="6"/>
      <c r="K80" s="6" t="s">
        <v>405</v>
      </c>
      <c r="L80" s="6"/>
      <c r="M80" s="40">
        <f>IF(H80&gt;0,H80-C80,0)</f>
        <v>0</v>
      </c>
      <c r="N80" s="40">
        <f>IF(H80&gt;0,IF(I80&gt;0,I80-H80,0),0)</f>
        <v>0</v>
      </c>
      <c r="O80" s="40">
        <f>IF(J80&gt;0,J80-I80,0)</f>
        <v>0</v>
      </c>
      <c r="P80" s="40">
        <f>IF(J80&gt;0,J80-C80,0)</f>
        <v>0</v>
      </c>
    </row>
    <row r="81" spans="2:16" ht="18">
      <c r="B81" s="7" t="s">
        <v>84</v>
      </c>
      <c r="C81" s="11">
        <v>45226</v>
      </c>
      <c r="D81" s="3" t="s">
        <v>406</v>
      </c>
      <c r="E81" s="13" t="s">
        <v>319</v>
      </c>
      <c r="F81" s="6"/>
      <c r="G81" s="21" t="s">
        <v>19</v>
      </c>
      <c r="H81" s="6"/>
      <c r="I81" s="6"/>
      <c r="J81" s="6"/>
      <c r="K81" s="6"/>
      <c r="L81" s="6"/>
      <c r="M81" s="40">
        <f>IF(H81&gt;0,H81-C81,0)</f>
        <v>0</v>
      </c>
      <c r="N81" s="40">
        <f>IF(H81&gt;0,IF(I81&gt;0,I81-H81,0),0)</f>
        <v>0</v>
      </c>
      <c r="O81" s="40">
        <f>IF(J81&gt;0,J81-I81,0)</f>
        <v>0</v>
      </c>
      <c r="P81" s="40">
        <f>IF(J81&gt;0,J81-C81,0)</f>
        <v>0</v>
      </c>
    </row>
    <row r="82" spans="2:16" ht="18">
      <c r="B82" s="7" t="s">
        <v>84</v>
      </c>
      <c r="C82" s="11">
        <v>45226</v>
      </c>
      <c r="D82" s="3" t="s">
        <v>407</v>
      </c>
      <c r="E82" s="13" t="s">
        <v>324</v>
      </c>
      <c r="F82" s="6"/>
      <c r="G82" s="21" t="s">
        <v>19</v>
      </c>
      <c r="H82" s="6"/>
      <c r="I82" s="6"/>
      <c r="J82" s="6"/>
      <c r="K82" s="6"/>
      <c r="L82" s="6"/>
      <c r="M82" s="40">
        <f>IF(H82&gt;0,H82-C82,0)</f>
        <v>0</v>
      </c>
      <c r="N82" s="40">
        <f>IF(H82&gt;0,IF(I82&gt;0,I82-H82,0),0)</f>
        <v>0</v>
      </c>
      <c r="O82" s="40">
        <f>IF(J82&gt;0,J82-I82,0)</f>
        <v>0</v>
      </c>
      <c r="P82" s="40">
        <f>IF(J82&gt;0,J82-C82,0)</f>
        <v>0</v>
      </c>
    </row>
    <row r="83" spans="2:16" ht="18">
      <c r="B83" s="7" t="s">
        <v>84</v>
      </c>
      <c r="C83" s="11">
        <v>45226</v>
      </c>
      <c r="D83" s="3" t="s">
        <v>408</v>
      </c>
      <c r="E83" s="13" t="s">
        <v>324</v>
      </c>
      <c r="F83" s="6"/>
      <c r="G83" s="21" t="s">
        <v>19</v>
      </c>
      <c r="H83" s="6"/>
      <c r="I83" s="6"/>
      <c r="J83" s="6"/>
      <c r="K83" s="6"/>
      <c r="L83" s="6"/>
      <c r="M83" s="40">
        <f>IF(H83&gt;0,H83-C83,0)</f>
        <v>0</v>
      </c>
      <c r="N83" s="40">
        <f>IF(H83&gt;0,IF(I83&gt;0,I83-H83,0),0)</f>
        <v>0</v>
      </c>
      <c r="O83" s="40">
        <f>IF(J83&gt;0,J83-I83,0)</f>
        <v>0</v>
      </c>
      <c r="P83" s="40">
        <f>IF(J83&gt;0,J83-C83,0)</f>
        <v>0</v>
      </c>
    </row>
    <row r="84" spans="2:16" ht="18">
      <c r="B84" s="7" t="s">
        <v>84</v>
      </c>
      <c r="C84" s="11">
        <v>45226</v>
      </c>
      <c r="D84" s="3" t="s">
        <v>409</v>
      </c>
      <c r="E84" s="13" t="s">
        <v>329</v>
      </c>
      <c r="F84" s="6"/>
      <c r="G84" s="21" t="s">
        <v>19</v>
      </c>
      <c r="H84" s="6"/>
      <c r="I84" s="6"/>
      <c r="J84" s="6"/>
      <c r="K84" s="6"/>
      <c r="L84" s="6"/>
      <c r="M84" s="40">
        <f>IF(H84&gt;0,H84-C84,0)</f>
        <v>0</v>
      </c>
      <c r="N84" s="40">
        <f>IF(H84&gt;0,IF(I84&gt;0,I84-H84,0),0)</f>
        <v>0</v>
      </c>
      <c r="O84" s="40">
        <f>IF(J84&gt;0,J84-I84,0)</f>
        <v>0</v>
      </c>
      <c r="P84" s="40">
        <f>IF(J84&gt;0,J84-C84,0)</f>
        <v>0</v>
      </c>
    </row>
    <row r="85" spans="2:16" ht="18">
      <c r="B85" s="7" t="s">
        <v>84</v>
      </c>
      <c r="C85" s="11">
        <v>45226</v>
      </c>
      <c r="D85" s="3" t="s">
        <v>410</v>
      </c>
      <c r="E85" s="13" t="s">
        <v>324</v>
      </c>
      <c r="F85" s="6"/>
      <c r="G85" s="21" t="s">
        <v>19</v>
      </c>
      <c r="H85" s="6"/>
      <c r="I85" s="6"/>
      <c r="J85" s="6"/>
      <c r="K85" s="6"/>
      <c r="L85" s="6"/>
      <c r="M85" s="40">
        <f>IF(H85&gt;0,H85-C85,0)</f>
        <v>0</v>
      </c>
      <c r="N85" s="40">
        <f>IF(H85&gt;0,IF(I85&gt;0,I85-H85,0),0)</f>
        <v>0</v>
      </c>
      <c r="O85" s="40">
        <f>IF(J85&gt;0,J85-I85,0)</f>
        <v>0</v>
      </c>
      <c r="P85" s="40">
        <f>IF(J85&gt;0,J85-C85,0)</f>
        <v>0</v>
      </c>
    </row>
    <row r="86" spans="2:16" ht="18">
      <c r="B86" s="7" t="s">
        <v>87</v>
      </c>
      <c r="C86" s="11">
        <v>45232</v>
      </c>
      <c r="D86" s="3" t="s">
        <v>411</v>
      </c>
      <c r="E86" s="13" t="s">
        <v>329</v>
      </c>
      <c r="F86" s="6"/>
      <c r="G86" s="21" t="s">
        <v>19</v>
      </c>
      <c r="H86" s="6"/>
      <c r="I86" s="6"/>
      <c r="J86" s="6"/>
      <c r="K86" s="6"/>
      <c r="L86" s="6"/>
      <c r="M86" s="40">
        <f>IF(H86&gt;0,H86-C86,0)</f>
        <v>0</v>
      </c>
      <c r="N86" s="40">
        <f>IF(H86&gt;0,IF(I86&gt;0,I86-H86,0),0)</f>
        <v>0</v>
      </c>
      <c r="O86" s="40">
        <f>IF(J86&gt;0,J86-I86,0)</f>
        <v>0</v>
      </c>
      <c r="P86" s="40">
        <f>IF(J86&gt;0,J86-C86,0)</f>
        <v>0</v>
      </c>
    </row>
    <row r="87" spans="2:16" ht="18">
      <c r="B87" s="7" t="s">
        <v>87</v>
      </c>
      <c r="C87" s="11">
        <v>45240</v>
      </c>
      <c r="D87" s="3" t="s">
        <v>412</v>
      </c>
      <c r="E87" s="13" t="s">
        <v>326</v>
      </c>
      <c r="F87" s="6"/>
      <c r="G87" s="8" t="s">
        <v>16</v>
      </c>
      <c r="H87" s="6"/>
      <c r="I87" s="12">
        <v>45488</v>
      </c>
      <c r="J87" s="12">
        <v>45496</v>
      </c>
      <c r="K87" s="6" t="s">
        <v>413</v>
      </c>
      <c r="L87" s="6"/>
      <c r="M87" s="40">
        <f>IF(H87&gt;0,H87-C87,0)</f>
        <v>0</v>
      </c>
      <c r="N87" s="40">
        <f>IF(H87&gt;0,IF(I87&gt;0,I87-H87,0),0)</f>
        <v>0</v>
      </c>
      <c r="O87" s="40">
        <f>IF(J87&gt;0,J87-I87,0)</f>
        <v>8</v>
      </c>
      <c r="P87" s="40">
        <f>IF(J87&gt;0,J87-C87,0)</f>
        <v>256</v>
      </c>
    </row>
    <row r="88" spans="2:16" ht="18">
      <c r="B88" s="7" t="s">
        <v>87</v>
      </c>
      <c r="C88" s="11">
        <v>45240</v>
      </c>
      <c r="D88" s="3" t="s">
        <v>414</v>
      </c>
      <c r="E88" s="13" t="s">
        <v>321</v>
      </c>
      <c r="F88" s="6"/>
      <c r="G88" s="8" t="s">
        <v>16</v>
      </c>
      <c r="H88" s="6"/>
      <c r="I88" s="12">
        <v>45250</v>
      </c>
      <c r="J88" s="12">
        <v>45306</v>
      </c>
      <c r="K88" s="6"/>
      <c r="L88" s="6"/>
      <c r="M88" s="40">
        <f>IF(H88&gt;0,H88-C88,0)</f>
        <v>0</v>
      </c>
      <c r="N88" s="40">
        <f>IF(H88&gt;0,IF(I88&gt;0,I88-H88,0),0)</f>
        <v>0</v>
      </c>
      <c r="O88" s="40">
        <f>IF(J88&gt;0,J88-I88,0)</f>
        <v>56</v>
      </c>
      <c r="P88" s="40">
        <f>IF(J88&gt;0,J88-C88,0)</f>
        <v>66</v>
      </c>
    </row>
    <row r="89" spans="2:16" ht="18">
      <c r="B89" s="7" t="s">
        <v>87</v>
      </c>
      <c r="C89" s="11">
        <v>45240</v>
      </c>
      <c r="D89" s="3" t="s">
        <v>415</v>
      </c>
      <c r="E89" s="13" t="s">
        <v>326</v>
      </c>
      <c r="F89" s="6"/>
      <c r="G89" s="8" t="s">
        <v>16</v>
      </c>
      <c r="H89" s="6"/>
      <c r="I89" s="12">
        <v>45306</v>
      </c>
      <c r="J89" s="6"/>
      <c r="K89" s="6" t="s">
        <v>51</v>
      </c>
      <c r="L89" s="6"/>
      <c r="M89" s="40">
        <f>IF(H89&gt;0,H89-C89,0)</f>
        <v>0</v>
      </c>
      <c r="N89" s="40">
        <f>IF(H89&gt;0,IF(I89&gt;0,I89-H89,0),0)</f>
        <v>0</v>
      </c>
      <c r="O89" s="40">
        <f>IF(J89&gt;0,J89-I89,0)</f>
        <v>0</v>
      </c>
      <c r="P89" s="40">
        <f>IF(J89&gt;0,J89-C89,0)</f>
        <v>0</v>
      </c>
    </row>
    <row r="90" spans="2:16" ht="18">
      <c r="B90" s="7" t="s">
        <v>87</v>
      </c>
      <c r="C90" s="11">
        <v>45240</v>
      </c>
      <c r="D90" s="3" t="s">
        <v>416</v>
      </c>
      <c r="E90" s="13" t="s">
        <v>326</v>
      </c>
      <c r="F90" s="6"/>
      <c r="G90" s="8" t="s">
        <v>19</v>
      </c>
      <c r="H90" s="6"/>
      <c r="I90" s="6"/>
      <c r="J90" s="6"/>
      <c r="K90" s="6"/>
      <c r="L90" s="6"/>
      <c r="M90" s="40">
        <f>IF(H90&gt;0,H90-C90,0)</f>
        <v>0</v>
      </c>
      <c r="N90" s="40">
        <f>IF(H90&gt;0,IF(I90&gt;0,I90-H90,0),0)</f>
        <v>0</v>
      </c>
      <c r="O90" s="40">
        <f>IF(J90&gt;0,J90-I90,0)</f>
        <v>0</v>
      </c>
      <c r="P90" s="40">
        <f>IF(J90&gt;0,J90-C90,0)</f>
        <v>0</v>
      </c>
    </row>
    <row r="91" spans="2:16" ht="18">
      <c r="B91" s="7" t="s">
        <v>87</v>
      </c>
      <c r="C91" s="11">
        <v>45247</v>
      </c>
      <c r="D91" s="3" t="s">
        <v>417</v>
      </c>
      <c r="E91" s="13" t="s">
        <v>324</v>
      </c>
      <c r="F91" s="6"/>
      <c r="G91" s="8" t="s">
        <v>16</v>
      </c>
      <c r="H91" s="6"/>
      <c r="I91" s="12">
        <v>45308</v>
      </c>
      <c r="J91" s="12">
        <v>45328</v>
      </c>
      <c r="K91" s="6"/>
      <c r="L91" s="6"/>
      <c r="M91" s="40">
        <f>IF(H91&gt;0,H91-C91,0)</f>
        <v>0</v>
      </c>
      <c r="N91" s="40">
        <f>IF(H91&gt;0,IF(I91&gt;0,I91-H91,0),0)</f>
        <v>0</v>
      </c>
      <c r="O91" s="40">
        <f>IF(J91&gt;0,J91-I91,0)</f>
        <v>20</v>
      </c>
      <c r="P91" s="40">
        <f>IF(J91&gt;0,J91-C91,0)</f>
        <v>81</v>
      </c>
    </row>
    <row r="92" spans="2:16" ht="18">
      <c r="B92" s="7" t="s">
        <v>87</v>
      </c>
      <c r="C92" s="11">
        <v>45247</v>
      </c>
      <c r="D92" s="3" t="s">
        <v>418</v>
      </c>
      <c r="E92" s="13" t="s">
        <v>321</v>
      </c>
      <c r="F92" s="6"/>
      <c r="G92" s="8" t="s">
        <v>19</v>
      </c>
      <c r="H92" s="6"/>
      <c r="I92" s="6"/>
      <c r="J92" s="6"/>
      <c r="K92" s="6"/>
      <c r="L92" s="6"/>
      <c r="M92" s="40">
        <f>IF(H92&gt;0,H92-C92,0)</f>
        <v>0</v>
      </c>
      <c r="N92" s="40">
        <f>IF(H92&gt;0,IF(I92&gt;0,I92-H92,0),0)</f>
        <v>0</v>
      </c>
      <c r="O92" s="40">
        <f>IF(J92&gt;0,J92-I92,0)</f>
        <v>0</v>
      </c>
      <c r="P92" s="40">
        <f>IF(J92&gt;0,J92-C92,0)</f>
        <v>0</v>
      </c>
    </row>
    <row r="93" spans="2:16" ht="18">
      <c r="B93" s="7" t="s">
        <v>87</v>
      </c>
      <c r="C93" s="11">
        <v>45247</v>
      </c>
      <c r="D93" s="3" t="s">
        <v>419</v>
      </c>
      <c r="E93" s="13" t="s">
        <v>324</v>
      </c>
      <c r="F93" s="6"/>
      <c r="G93" s="8" t="s">
        <v>19</v>
      </c>
      <c r="H93" s="6"/>
      <c r="I93" s="6"/>
      <c r="J93" s="6"/>
      <c r="K93" s="6"/>
      <c r="L93" s="6"/>
      <c r="M93" s="40">
        <f>IF(H93&gt;0,H93-C93,0)</f>
        <v>0</v>
      </c>
      <c r="N93" s="40">
        <f>IF(H93&gt;0,IF(I93&gt;0,I93-H93,0),0)</f>
        <v>0</v>
      </c>
      <c r="O93" s="40">
        <f>IF(J93&gt;0,J93-I93,0)</f>
        <v>0</v>
      </c>
      <c r="P93" s="40">
        <f>IF(J93&gt;0,J93-C93,0)</f>
        <v>0</v>
      </c>
    </row>
    <row r="94" spans="2:16" ht="18">
      <c r="B94" s="7" t="s">
        <v>87</v>
      </c>
      <c r="C94" s="11">
        <v>45247</v>
      </c>
      <c r="D94" s="3" t="s">
        <v>420</v>
      </c>
      <c r="E94" s="13" t="s">
        <v>321</v>
      </c>
      <c r="F94" s="6"/>
      <c r="G94" s="8" t="s">
        <v>19</v>
      </c>
      <c r="H94" s="6"/>
      <c r="I94" s="6"/>
      <c r="J94" s="6"/>
      <c r="K94" s="6"/>
      <c r="L94" s="6"/>
      <c r="M94" s="40">
        <f>IF(H94&gt;0,H94-C94,0)</f>
        <v>0</v>
      </c>
      <c r="N94" s="40">
        <f>IF(H94&gt;0,IF(I94&gt;0,I94-H94,0),0)</f>
        <v>0</v>
      </c>
      <c r="O94" s="40">
        <f>IF(J94&gt;0,J94-I94,0)</f>
        <v>0</v>
      </c>
      <c r="P94" s="40">
        <f>IF(J94&gt;0,J94-C94,0)</f>
        <v>0</v>
      </c>
    </row>
    <row r="95" spans="2:16" ht="18">
      <c r="B95" s="7" t="s">
        <v>87</v>
      </c>
      <c r="C95" s="11">
        <v>45252</v>
      </c>
      <c r="D95" s="3" t="s">
        <v>421</v>
      </c>
      <c r="E95" s="13" t="s">
        <v>321</v>
      </c>
      <c r="F95" s="6"/>
      <c r="G95" s="8" t="s">
        <v>16</v>
      </c>
      <c r="H95" s="6"/>
      <c r="I95" s="12">
        <v>45383</v>
      </c>
      <c r="J95" s="12">
        <v>45484</v>
      </c>
      <c r="K95" s="6"/>
      <c r="L95" s="6"/>
      <c r="M95" s="40">
        <f>IF(H95&gt;0,H95-C95,0)</f>
        <v>0</v>
      </c>
      <c r="N95" s="40">
        <f>IF(H95&gt;0,IF(I95&gt;0,I95-H95,0),0)</f>
        <v>0</v>
      </c>
      <c r="O95" s="40">
        <f>IF(J95&gt;0,J95-I95,0)</f>
        <v>101</v>
      </c>
      <c r="P95" s="40">
        <f>IF(J95&gt;0,J95-C95,0)</f>
        <v>232</v>
      </c>
    </row>
    <row r="96" spans="2:16" ht="18">
      <c r="B96" s="7" t="s">
        <v>87</v>
      </c>
      <c r="C96" s="11">
        <v>45252</v>
      </c>
      <c r="D96" s="3" t="s">
        <v>422</v>
      </c>
      <c r="E96" s="13" t="s">
        <v>329</v>
      </c>
      <c r="F96" s="6"/>
      <c r="G96" s="8" t="s">
        <v>19</v>
      </c>
      <c r="H96" s="6"/>
      <c r="I96" s="6"/>
      <c r="J96" s="6"/>
      <c r="K96" s="6"/>
      <c r="L96" s="6"/>
      <c r="M96" s="40">
        <f>IF(H96&gt;0,H96-C96,0)</f>
        <v>0</v>
      </c>
      <c r="N96" s="40">
        <f>IF(H96&gt;0,IF(I96&gt;0,I96-H96,0),0)</f>
        <v>0</v>
      </c>
      <c r="O96" s="40">
        <f>IF(J96&gt;0,J96-I96,0)</f>
        <v>0</v>
      </c>
      <c r="P96" s="40">
        <f>IF(J96&gt;0,J96-C96,0)</f>
        <v>0</v>
      </c>
    </row>
    <row r="97" spans="1:16" ht="18">
      <c r="B97" s="7" t="s">
        <v>87</v>
      </c>
      <c r="C97" s="11">
        <v>45252</v>
      </c>
      <c r="D97" s="3" t="s">
        <v>423</v>
      </c>
      <c r="E97" s="13" t="s">
        <v>324</v>
      </c>
      <c r="F97" s="6"/>
      <c r="G97" s="8" t="s">
        <v>19</v>
      </c>
      <c r="H97" s="6"/>
      <c r="I97" s="6"/>
      <c r="J97" s="6"/>
      <c r="K97" s="6"/>
      <c r="L97" s="6"/>
      <c r="M97" s="40">
        <f>IF(H97&gt;0,H97-C97,0)</f>
        <v>0</v>
      </c>
      <c r="N97" s="40">
        <f>IF(H97&gt;0,IF(I97&gt;0,I97-H97,0),0)</f>
        <v>0</v>
      </c>
      <c r="O97" s="40">
        <f>IF(J97&gt;0,J97-I97,0)</f>
        <v>0</v>
      </c>
      <c r="P97" s="40">
        <f>IF(J97&gt;0,J97-C97,0)</f>
        <v>0</v>
      </c>
    </row>
    <row r="98" spans="1:16" ht="18">
      <c r="B98" s="7" t="s">
        <v>87</v>
      </c>
      <c r="C98" s="11">
        <v>45252</v>
      </c>
      <c r="D98" s="3" t="s">
        <v>424</v>
      </c>
      <c r="E98" s="13" t="s">
        <v>324</v>
      </c>
      <c r="F98" s="6"/>
      <c r="G98" s="8" t="s">
        <v>19</v>
      </c>
      <c r="H98" s="6"/>
      <c r="I98" s="6"/>
      <c r="J98" s="6"/>
      <c r="K98" s="6"/>
      <c r="L98" s="6"/>
      <c r="M98" s="40">
        <f>IF(H98&gt;0,H98-C98,0)</f>
        <v>0</v>
      </c>
      <c r="N98" s="40">
        <f>IF(H98&gt;0,IF(I98&gt;0,I98-H98,0),0)</f>
        <v>0</v>
      </c>
      <c r="O98" s="40">
        <f>IF(J98&gt;0,J98-I98,0)</f>
        <v>0</v>
      </c>
      <c r="P98" s="40">
        <f>IF(J98&gt;0,J98-C98,0)</f>
        <v>0</v>
      </c>
    </row>
    <row r="99" spans="1:16" ht="18">
      <c r="B99" s="7" t="s">
        <v>425</v>
      </c>
      <c r="C99" s="11">
        <v>45266</v>
      </c>
      <c r="D99" s="3" t="s">
        <v>426</v>
      </c>
      <c r="E99" s="13" t="s">
        <v>326</v>
      </c>
      <c r="F99" s="6"/>
      <c r="G99" s="8" t="s">
        <v>16</v>
      </c>
      <c r="H99" s="6"/>
      <c r="I99" s="12">
        <v>45589</v>
      </c>
      <c r="J99" s="12">
        <v>45672</v>
      </c>
      <c r="K99" s="6"/>
      <c r="L99" s="6"/>
      <c r="M99" s="40">
        <f>IF(H99&gt;0,H99-C99,0)</f>
        <v>0</v>
      </c>
      <c r="N99" s="40">
        <f>IF(H99&gt;0,IF(I99&gt;0,I99-H99,0),0)</f>
        <v>0</v>
      </c>
      <c r="O99" s="40">
        <f>IF(J99&gt;0,J99-I99,0)</f>
        <v>83</v>
      </c>
      <c r="P99" s="40">
        <f>IF(J99&gt;0,J99-C99,0)</f>
        <v>406</v>
      </c>
    </row>
    <row r="100" spans="1:16" ht="18">
      <c r="B100" s="7" t="s">
        <v>425</v>
      </c>
      <c r="C100" s="11">
        <v>45266</v>
      </c>
      <c r="D100" s="3" t="s">
        <v>427</v>
      </c>
      <c r="E100" s="13" t="s">
        <v>329</v>
      </c>
      <c r="F100" s="6"/>
      <c r="G100" s="8" t="s">
        <v>16</v>
      </c>
      <c r="H100" s="20">
        <v>45580</v>
      </c>
      <c r="I100" s="12">
        <v>45589</v>
      </c>
      <c r="J100" s="12">
        <v>45672</v>
      </c>
      <c r="K100" s="6"/>
      <c r="L100" s="6"/>
      <c r="M100" s="40">
        <f>IF(H100&gt;0,H100-C100,0)</f>
        <v>314</v>
      </c>
      <c r="N100" s="40">
        <f>IF(H100&gt;0,IF(I100&gt;0,I100-H100,0),0)</f>
        <v>9</v>
      </c>
      <c r="O100" s="40">
        <f>IF(J100&gt;0,J100-I100,0)</f>
        <v>83</v>
      </c>
      <c r="P100" s="40">
        <f>IF(J100&gt;0,J100-C100,0)</f>
        <v>406</v>
      </c>
    </row>
    <row r="101" spans="1:16" ht="18">
      <c r="A101" s="54"/>
      <c r="B101" s="7" t="s">
        <v>13</v>
      </c>
      <c r="C101" s="12">
        <v>45310</v>
      </c>
      <c r="D101" s="26" t="s">
        <v>428</v>
      </c>
      <c r="E101" s="30" t="s">
        <v>324</v>
      </c>
      <c r="F101" s="23" t="s">
        <v>103</v>
      </c>
      <c r="G101" s="55" t="s">
        <v>16</v>
      </c>
      <c r="H101" s="55"/>
      <c r="I101" s="55">
        <v>45334</v>
      </c>
      <c r="J101" s="55">
        <v>45362</v>
      </c>
      <c r="K101" s="23"/>
      <c r="L101" s="23"/>
      <c r="M101" s="40">
        <f>IF(H101&gt;0,H101-C101,0)</f>
        <v>0</v>
      </c>
      <c r="N101" s="40">
        <f>IF(H101&gt;0,IF(I101&gt;0,I101-H101,0),0)</f>
        <v>0</v>
      </c>
      <c r="O101" s="40">
        <f>IF(J101&gt;0,J101-I101,0)</f>
        <v>28</v>
      </c>
      <c r="P101" s="40">
        <f>IF(J101&gt;0,J101-C101,0)</f>
        <v>52</v>
      </c>
    </row>
    <row r="102" spans="1:16" ht="18">
      <c r="A102" s="54"/>
      <c r="B102" s="7" t="s">
        <v>13</v>
      </c>
      <c r="C102" s="12">
        <v>45310</v>
      </c>
      <c r="D102" s="26" t="s">
        <v>429</v>
      </c>
      <c r="E102" s="30" t="s">
        <v>319</v>
      </c>
      <c r="F102" s="23"/>
      <c r="G102" s="56" t="s">
        <v>19</v>
      </c>
      <c r="H102" s="56"/>
      <c r="I102" s="56"/>
      <c r="J102" s="56"/>
      <c r="K102" s="23"/>
      <c r="L102" s="23"/>
      <c r="M102" s="40">
        <f>IF(H102&gt;0,H102-C102,0)</f>
        <v>0</v>
      </c>
      <c r="N102" s="40">
        <f>IF(H102&gt;0,IF(I102&gt;0,I102-H102,0),0)</f>
        <v>0</v>
      </c>
      <c r="O102" s="40">
        <f>IF(J102&gt;0,J102-I102,0)</f>
        <v>0</v>
      </c>
      <c r="P102" s="40">
        <f>IF(J102&gt;0,J102-C102,0)</f>
        <v>0</v>
      </c>
    </row>
    <row r="103" spans="1:16" ht="18">
      <c r="A103" s="54"/>
      <c r="B103" s="7" t="s">
        <v>13</v>
      </c>
      <c r="C103" s="12">
        <v>45310</v>
      </c>
      <c r="D103" s="26" t="s">
        <v>430</v>
      </c>
      <c r="E103" s="30" t="s">
        <v>324</v>
      </c>
      <c r="F103" s="23"/>
      <c r="G103" s="56" t="s">
        <v>19</v>
      </c>
      <c r="H103" s="56"/>
      <c r="I103" s="56"/>
      <c r="J103" s="56"/>
      <c r="K103" s="23"/>
      <c r="L103" s="23"/>
      <c r="M103" s="40">
        <f>IF(H103&gt;0,H103-C103,0)</f>
        <v>0</v>
      </c>
      <c r="N103" s="40">
        <f>IF(H103&gt;0,IF(I103&gt;0,I103-H103,0),0)</f>
        <v>0</v>
      </c>
      <c r="O103" s="40">
        <f>IF(J103&gt;0,J103-I103,0)</f>
        <v>0</v>
      </c>
      <c r="P103" s="40">
        <f>IF(J103&gt;0,J103-C103,0)</f>
        <v>0</v>
      </c>
    </row>
    <row r="104" spans="1:16" ht="18">
      <c r="A104" s="54"/>
      <c r="B104" s="7" t="s">
        <v>13</v>
      </c>
      <c r="C104" s="12">
        <v>45310</v>
      </c>
      <c r="D104" s="26" t="s">
        <v>431</v>
      </c>
      <c r="E104" s="30" t="s">
        <v>326</v>
      </c>
      <c r="F104" s="23"/>
      <c r="G104" s="56" t="s">
        <v>19</v>
      </c>
      <c r="H104" s="56"/>
      <c r="I104" s="56"/>
      <c r="J104" s="56"/>
      <c r="K104" s="23"/>
      <c r="L104" s="23"/>
      <c r="M104" s="40">
        <f>IF(H104&gt;0,H104-C104,0)</f>
        <v>0</v>
      </c>
      <c r="N104" s="40">
        <f>IF(H104&gt;0,IF(I104&gt;0,I104-H104,0),0)</f>
        <v>0</v>
      </c>
      <c r="O104" s="40">
        <f>IF(J104&gt;0,J104-I104,0)</f>
        <v>0</v>
      </c>
      <c r="P104" s="40">
        <f>IF(J104&gt;0,J104-C104,0)</f>
        <v>0</v>
      </c>
    </row>
    <row r="105" spans="1:16" ht="18">
      <c r="A105" s="54"/>
      <c r="B105" s="7" t="s">
        <v>13</v>
      </c>
      <c r="C105" s="12">
        <v>45310</v>
      </c>
      <c r="D105" s="26" t="s">
        <v>432</v>
      </c>
      <c r="E105" s="30" t="s">
        <v>319</v>
      </c>
      <c r="F105" s="23"/>
      <c r="G105" s="55" t="s">
        <v>16</v>
      </c>
      <c r="H105" s="55"/>
      <c r="I105" s="55">
        <v>45313</v>
      </c>
      <c r="J105" s="55"/>
      <c r="K105" s="23" t="s">
        <v>345</v>
      </c>
      <c r="L105" s="23"/>
      <c r="M105" s="40">
        <f>IF(H105&gt;0,H105-C105,0)</f>
        <v>0</v>
      </c>
      <c r="N105" s="40">
        <f>IF(H105&gt;0,IF(I105&gt;0,I105-H105,0),0)</f>
        <v>0</v>
      </c>
      <c r="O105" s="40">
        <f>IF(J105&gt;0,J105-I105,0)</f>
        <v>0</v>
      </c>
      <c r="P105" s="40">
        <f>IF(J105&gt;0,J105-C105,0)</f>
        <v>0</v>
      </c>
    </row>
    <row r="106" spans="1:16" ht="18">
      <c r="B106" s="7" t="s">
        <v>13</v>
      </c>
      <c r="C106" s="12">
        <v>45317</v>
      </c>
      <c r="D106" s="26" t="s">
        <v>433</v>
      </c>
      <c r="E106" s="30" t="s">
        <v>326</v>
      </c>
      <c r="F106" s="6" t="s">
        <v>101</v>
      </c>
      <c r="G106" s="56" t="s">
        <v>19</v>
      </c>
      <c r="H106" s="56"/>
      <c r="I106" s="56"/>
      <c r="J106" s="56"/>
      <c r="K106" s="6"/>
      <c r="L106" s="6"/>
      <c r="M106" s="40">
        <f>IF(H106&gt;0,H106-C106,0)</f>
        <v>0</v>
      </c>
      <c r="N106" s="40">
        <f>IF(H106&gt;0,IF(I106&gt;0,I106-H106,0),0)</f>
        <v>0</v>
      </c>
      <c r="O106" s="40">
        <f>IF(J106&gt;0,J106-I106,0)</f>
        <v>0</v>
      </c>
      <c r="P106" s="40">
        <f>IF(J106&gt;0,J106-C106,0)</f>
        <v>0</v>
      </c>
    </row>
    <row r="107" spans="1:16" ht="18">
      <c r="B107" s="7" t="s">
        <v>13</v>
      </c>
      <c r="C107" s="12">
        <v>45317</v>
      </c>
      <c r="D107" s="26" t="s">
        <v>434</v>
      </c>
      <c r="E107" s="30" t="s">
        <v>319</v>
      </c>
      <c r="F107" s="6" t="s">
        <v>101</v>
      </c>
      <c r="G107" s="56" t="s">
        <v>19</v>
      </c>
      <c r="H107" s="56"/>
      <c r="I107" s="56"/>
      <c r="J107" s="56"/>
      <c r="K107" s="6"/>
      <c r="L107" s="6"/>
      <c r="M107" s="40">
        <f>IF(H107&gt;0,H107-C107,0)</f>
        <v>0</v>
      </c>
      <c r="N107" s="40">
        <f>IF(H107&gt;0,IF(I107&gt;0,I107-H107,0),0)</f>
        <v>0</v>
      </c>
      <c r="O107" s="40">
        <f>IF(J107&gt;0,J107-I107,0)</f>
        <v>0</v>
      </c>
      <c r="P107" s="40">
        <f>IF(J107&gt;0,J107-C107,0)</f>
        <v>0</v>
      </c>
    </row>
    <row r="108" spans="1:16" ht="18">
      <c r="B108" s="7" t="s">
        <v>13</v>
      </c>
      <c r="C108" s="12">
        <v>45317</v>
      </c>
      <c r="D108" s="26" t="s">
        <v>435</v>
      </c>
      <c r="E108" s="30" t="s">
        <v>321</v>
      </c>
      <c r="F108" s="6" t="s">
        <v>101</v>
      </c>
      <c r="G108" s="56" t="s">
        <v>19</v>
      </c>
      <c r="H108" s="56"/>
      <c r="I108" s="56"/>
      <c r="J108" s="56"/>
      <c r="K108" s="6"/>
      <c r="L108" s="6"/>
      <c r="M108" s="40">
        <f>IF(H108&gt;0,H108-C108,0)</f>
        <v>0</v>
      </c>
      <c r="N108" s="40">
        <f>IF(H108&gt;0,IF(I108&gt;0,I108-H108,0),0)</f>
        <v>0</v>
      </c>
      <c r="O108" s="40">
        <f>IF(J108&gt;0,J108-I108,0)</f>
        <v>0</v>
      </c>
      <c r="P108" s="40">
        <f>IF(J108&gt;0,J108-C108,0)</f>
        <v>0</v>
      </c>
    </row>
    <row r="109" spans="1:16" ht="18">
      <c r="B109" s="7" t="s">
        <v>24</v>
      </c>
      <c r="C109" s="12">
        <v>45345</v>
      </c>
      <c r="D109" s="26" t="s">
        <v>436</v>
      </c>
      <c r="E109" s="30" t="s">
        <v>324</v>
      </c>
      <c r="F109" s="6" t="s">
        <v>437</v>
      </c>
      <c r="G109" s="8" t="s">
        <v>19</v>
      </c>
      <c r="H109" s="8"/>
      <c r="I109" s="8"/>
      <c r="J109" s="8"/>
      <c r="K109" s="6"/>
      <c r="L109" s="6" t="s">
        <v>438</v>
      </c>
      <c r="M109" s="40">
        <f>IF(H109&gt;0,H109-C109,0)</f>
        <v>0</v>
      </c>
      <c r="N109" s="40">
        <f>IF(H109&gt;0,IF(I109&gt;0,I109-H109,0),0)</f>
        <v>0</v>
      </c>
      <c r="O109" s="40">
        <f>IF(J109&gt;0,J109-I109,0)</f>
        <v>0</v>
      </c>
      <c r="P109" s="40">
        <f>IF(J109&gt;0,J109-C109,0)</f>
        <v>0</v>
      </c>
    </row>
    <row r="110" spans="1:16" ht="18">
      <c r="B110" s="7" t="s">
        <v>24</v>
      </c>
      <c r="C110" s="12">
        <v>45345</v>
      </c>
      <c r="D110" s="26" t="s">
        <v>439</v>
      </c>
      <c r="E110" s="30" t="s">
        <v>319</v>
      </c>
      <c r="F110" s="6" t="s">
        <v>101</v>
      </c>
      <c r="G110" s="8" t="s">
        <v>19</v>
      </c>
      <c r="H110" s="8"/>
      <c r="I110" s="8"/>
      <c r="J110" s="8"/>
      <c r="K110" s="6"/>
      <c r="L110" s="6" t="s">
        <v>440</v>
      </c>
      <c r="M110" s="40">
        <f>IF(H110&gt;0,H110-C110,0)</f>
        <v>0</v>
      </c>
      <c r="N110" s="40">
        <f>IF(H110&gt;0,IF(I110&gt;0,I110-H110,0),0)</f>
        <v>0</v>
      </c>
      <c r="O110" s="40">
        <f>IF(J110&gt;0,J110-I110,0)</f>
        <v>0</v>
      </c>
      <c r="P110" s="40">
        <f>IF(J110&gt;0,J110-C110,0)</f>
        <v>0</v>
      </c>
    </row>
    <row r="111" spans="1:16" ht="18">
      <c r="B111" s="7" t="s">
        <v>34</v>
      </c>
      <c r="C111" s="12">
        <v>45359</v>
      </c>
      <c r="D111" s="26" t="s">
        <v>441</v>
      </c>
      <c r="E111" s="30" t="s">
        <v>319</v>
      </c>
      <c r="F111" s="6" t="s">
        <v>442</v>
      </c>
      <c r="G111" s="8" t="s">
        <v>19</v>
      </c>
      <c r="H111" s="8"/>
      <c r="I111" s="8"/>
      <c r="J111" s="8"/>
      <c r="K111" s="6"/>
      <c r="L111" s="6" t="s">
        <v>438</v>
      </c>
      <c r="M111" s="40">
        <f>IF(H111&gt;0,H111-C111,0)</f>
        <v>0</v>
      </c>
      <c r="N111" s="40">
        <f>IF(H111&gt;0,IF(I111&gt;0,I111-H111,0),0)</f>
        <v>0</v>
      </c>
      <c r="O111" s="40">
        <f>IF(J111&gt;0,J111-I111,0)</f>
        <v>0</v>
      </c>
      <c r="P111" s="40">
        <f>IF(J111&gt;0,J111-C111,0)</f>
        <v>0</v>
      </c>
    </row>
    <row r="112" spans="1:16" ht="18">
      <c r="B112" s="7" t="s">
        <v>34</v>
      </c>
      <c r="C112" s="12">
        <v>45359</v>
      </c>
      <c r="D112" s="26" t="s">
        <v>443</v>
      </c>
      <c r="E112" s="30" t="s">
        <v>319</v>
      </c>
      <c r="F112" s="6" t="s">
        <v>101</v>
      </c>
      <c r="G112" s="8" t="s">
        <v>19</v>
      </c>
      <c r="H112" s="8"/>
      <c r="I112" s="8"/>
      <c r="J112" s="8"/>
      <c r="K112" s="6"/>
      <c r="L112" s="6" t="s">
        <v>438</v>
      </c>
      <c r="M112" s="40">
        <f>IF(H112&gt;0,H112-C112,0)</f>
        <v>0</v>
      </c>
      <c r="N112" s="40">
        <f>IF(H112&gt;0,IF(I112&gt;0,I112-H112,0),0)</f>
        <v>0</v>
      </c>
      <c r="O112" s="40">
        <f>IF(J112&gt;0,J112-I112,0)</f>
        <v>0</v>
      </c>
      <c r="P112" s="40">
        <f>IF(J112&gt;0,J112-C112,0)</f>
        <v>0</v>
      </c>
    </row>
    <row r="113" spans="2:16" ht="18">
      <c r="B113" s="7" t="s">
        <v>34</v>
      </c>
      <c r="C113" s="12">
        <v>45373</v>
      </c>
      <c r="D113" s="26" t="s">
        <v>444</v>
      </c>
      <c r="E113" s="30" t="s">
        <v>326</v>
      </c>
      <c r="F113" s="6" t="s">
        <v>445</v>
      </c>
      <c r="G113" s="8" t="s">
        <v>19</v>
      </c>
      <c r="H113" s="8"/>
      <c r="I113" s="8"/>
      <c r="J113" s="8"/>
      <c r="K113" s="6"/>
      <c r="L113" s="6" t="s">
        <v>438</v>
      </c>
      <c r="M113" s="40">
        <f>IF(H113&gt;0,H113-C113,0)</f>
        <v>0</v>
      </c>
      <c r="N113" s="40">
        <f>IF(H113&gt;0,IF(I113&gt;0,I113-H113,0),0)</f>
        <v>0</v>
      </c>
      <c r="O113" s="40">
        <f>IF(J113&gt;0,J113-I113,0)</f>
        <v>0</v>
      </c>
      <c r="P113" s="40">
        <f>IF(J113&gt;0,J113-C113,0)</f>
        <v>0</v>
      </c>
    </row>
    <row r="114" spans="2:16" ht="18">
      <c r="B114" s="7" t="s">
        <v>38</v>
      </c>
      <c r="C114" s="12">
        <v>45394</v>
      </c>
      <c r="D114" s="26" t="s">
        <v>446</v>
      </c>
      <c r="E114" s="30" t="s">
        <v>321</v>
      </c>
      <c r="F114" s="6" t="s">
        <v>447</v>
      </c>
      <c r="G114" s="8" t="s">
        <v>19</v>
      </c>
      <c r="H114" s="8"/>
      <c r="I114" s="8"/>
      <c r="J114" s="8"/>
      <c r="K114" s="6"/>
      <c r="L114" s="6"/>
      <c r="M114" s="40">
        <f>IF(H114&gt;0,H114-C114,0)</f>
        <v>0</v>
      </c>
      <c r="N114" s="40">
        <f>IF(H114&gt;0,IF(I114&gt;0,I114-H114,0),0)</f>
        <v>0</v>
      </c>
      <c r="O114" s="40">
        <f>IF(J114&gt;0,J114-I114,0)</f>
        <v>0</v>
      </c>
      <c r="P114" s="40">
        <f>IF(J114&gt;0,J114-C114,0)</f>
        <v>0</v>
      </c>
    </row>
    <row r="115" spans="2:16" ht="18">
      <c r="B115" s="7" t="s">
        <v>38</v>
      </c>
      <c r="C115" s="12">
        <v>45394</v>
      </c>
      <c r="D115" s="26" t="s">
        <v>448</v>
      </c>
      <c r="E115" s="30" t="s">
        <v>326</v>
      </c>
      <c r="F115" s="6" t="s">
        <v>449</v>
      </c>
      <c r="G115" s="12" t="s">
        <v>16</v>
      </c>
      <c r="H115" s="12"/>
      <c r="I115" s="12">
        <v>45426</v>
      </c>
      <c r="J115" s="12">
        <v>45447</v>
      </c>
      <c r="K115" s="6"/>
      <c r="L115" s="6"/>
      <c r="M115" s="40">
        <f>IF(H115&gt;0,H115-C115,0)</f>
        <v>0</v>
      </c>
      <c r="N115" s="40">
        <f>IF(H115&gt;0,IF(I115&gt;0,I115-H115,0),0)</f>
        <v>0</v>
      </c>
      <c r="O115" s="40">
        <f>IF(J115&gt;0,J115-I115,0)</f>
        <v>21</v>
      </c>
      <c r="P115" s="40">
        <f>IF(J115&gt;0,J115-C115,0)</f>
        <v>53</v>
      </c>
    </row>
    <row r="116" spans="2:16" ht="18">
      <c r="B116" s="7" t="s">
        <v>38</v>
      </c>
      <c r="C116" s="12">
        <v>45394</v>
      </c>
      <c r="D116" s="26" t="s">
        <v>450</v>
      </c>
      <c r="E116" s="30" t="s">
        <v>326</v>
      </c>
      <c r="F116" s="6" t="s">
        <v>451</v>
      </c>
      <c r="G116" s="8" t="s">
        <v>19</v>
      </c>
      <c r="H116" s="8"/>
      <c r="I116" s="8"/>
      <c r="J116" s="8"/>
      <c r="K116" s="6"/>
      <c r="L116" s="6"/>
      <c r="M116" s="40">
        <f>IF(H116&gt;0,H116-C116,0)</f>
        <v>0</v>
      </c>
      <c r="N116" s="40">
        <f>IF(H116&gt;0,IF(I116&gt;0,I116-H116,0),0)</f>
        <v>0</v>
      </c>
      <c r="O116" s="40">
        <f>IF(J116&gt;0,J116-I116,0)</f>
        <v>0</v>
      </c>
      <c r="P116" s="40">
        <f>IF(J116&gt;0,J116-C116,0)</f>
        <v>0</v>
      </c>
    </row>
    <row r="117" spans="2:16" ht="18">
      <c r="B117" s="7" t="s">
        <v>38</v>
      </c>
      <c r="C117" s="12">
        <v>45401</v>
      </c>
      <c r="D117" s="26" t="s">
        <v>452</v>
      </c>
      <c r="E117" s="30" t="s">
        <v>321</v>
      </c>
      <c r="F117" s="6" t="s">
        <v>453</v>
      </c>
      <c r="G117" s="12" t="s">
        <v>16</v>
      </c>
      <c r="H117" s="12"/>
      <c r="I117" s="12">
        <v>45404</v>
      </c>
      <c r="J117" s="12">
        <v>45414</v>
      </c>
      <c r="K117" s="6"/>
      <c r="L117" s="6"/>
      <c r="M117" s="40">
        <f>IF(H117&gt;0,H117-C117,0)</f>
        <v>0</v>
      </c>
      <c r="N117" s="40">
        <f>IF(H117&gt;0,IF(I117&gt;0,I117-H117,0),0)</f>
        <v>0</v>
      </c>
      <c r="O117" s="40">
        <f>IF(J117&gt;0,J117-I117,0)</f>
        <v>10</v>
      </c>
      <c r="P117" s="40">
        <f>IF(J117&gt;0,J117-C117,0)</f>
        <v>13</v>
      </c>
    </row>
    <row r="118" spans="2:16" ht="18">
      <c r="B118" s="7" t="s">
        <v>38</v>
      </c>
      <c r="C118" s="12">
        <v>45401</v>
      </c>
      <c r="D118" s="26" t="s">
        <v>454</v>
      </c>
      <c r="E118" s="30" t="s">
        <v>329</v>
      </c>
      <c r="F118" s="6" t="s">
        <v>455</v>
      </c>
      <c r="G118" s="12" t="s">
        <v>16</v>
      </c>
      <c r="H118" s="12">
        <v>45404</v>
      </c>
      <c r="I118" s="12">
        <v>45411</v>
      </c>
      <c r="J118" s="12"/>
      <c r="K118" s="6" t="s">
        <v>456</v>
      </c>
      <c r="L118" s="6"/>
      <c r="M118" s="40">
        <f>IF(H118&gt;0,H118-C118,0)</f>
        <v>3</v>
      </c>
      <c r="N118" s="40">
        <f>IF(H118&gt;0,IF(I118&gt;0,I118-H118,0),0)</f>
        <v>7</v>
      </c>
      <c r="O118" s="40">
        <f>IF(J118&gt;0,J118-I118,0)</f>
        <v>0</v>
      </c>
      <c r="P118" s="40">
        <f>IF(J118&gt;0,J118-C118,0)</f>
        <v>0</v>
      </c>
    </row>
    <row r="119" spans="2:16" ht="18">
      <c r="B119" s="7" t="s">
        <v>38</v>
      </c>
      <c r="C119" s="12">
        <v>45408</v>
      </c>
      <c r="D119" s="26" t="s">
        <v>457</v>
      </c>
      <c r="E119" s="30" t="s">
        <v>326</v>
      </c>
      <c r="F119" s="6" t="s">
        <v>116</v>
      </c>
      <c r="G119" s="8" t="s">
        <v>19</v>
      </c>
      <c r="H119" s="8"/>
      <c r="I119" s="8"/>
      <c r="J119" s="8"/>
      <c r="K119" s="6"/>
      <c r="L119" s="6" t="s">
        <v>438</v>
      </c>
      <c r="M119" s="40">
        <f>IF(H119&gt;0,H119-C119,0)</f>
        <v>0</v>
      </c>
      <c r="N119" s="40">
        <f>IF(H119&gt;0,IF(I119&gt;0,I119-H119,0),0)</f>
        <v>0</v>
      </c>
      <c r="O119" s="40">
        <f>IF(J119&gt;0,J119-I119,0)</f>
        <v>0</v>
      </c>
      <c r="P119" s="40">
        <f>IF(J119&gt;0,J119-C119,0)</f>
        <v>0</v>
      </c>
    </row>
    <row r="120" spans="2:16" ht="18">
      <c r="B120" s="7" t="s">
        <v>47</v>
      </c>
      <c r="C120" s="12">
        <v>45422</v>
      </c>
      <c r="D120" s="26" t="s">
        <v>458</v>
      </c>
      <c r="E120" s="30" t="s">
        <v>326</v>
      </c>
      <c r="F120" s="6" t="s">
        <v>459</v>
      </c>
      <c r="G120" s="8" t="s">
        <v>16</v>
      </c>
      <c r="H120" s="8"/>
      <c r="I120" s="12">
        <v>45677</v>
      </c>
      <c r="J120" s="12">
        <v>45721</v>
      </c>
      <c r="K120" s="6"/>
      <c r="L120" s="6"/>
      <c r="M120" s="40">
        <f>IF(H120&gt;0,H120-C120,0)</f>
        <v>0</v>
      </c>
      <c r="N120" s="40">
        <f>IF(H120&gt;0,IF(I120&gt;0,I120-H120,0),0)</f>
        <v>0</v>
      </c>
      <c r="O120" s="40">
        <f>IF(J120&gt;0,J120-I120,0)</f>
        <v>44</v>
      </c>
      <c r="P120" s="40">
        <f>IF(J120&gt;0,J120-C120,0)</f>
        <v>299</v>
      </c>
    </row>
    <row r="121" spans="2:16" ht="18">
      <c r="B121" s="7" t="s">
        <v>47</v>
      </c>
      <c r="C121" s="12">
        <v>45422</v>
      </c>
      <c r="D121" s="26" t="s">
        <v>460</v>
      </c>
      <c r="E121" s="30" t="s">
        <v>326</v>
      </c>
      <c r="F121" s="6" t="s">
        <v>461</v>
      </c>
      <c r="G121" s="8" t="s">
        <v>462</v>
      </c>
      <c r="H121" s="8"/>
      <c r="I121" s="8"/>
      <c r="J121" s="8"/>
      <c r="K121" s="6"/>
      <c r="L121" s="6" t="s">
        <v>463</v>
      </c>
      <c r="M121" s="40">
        <f>IF(H121&gt;0,H121-C121,0)</f>
        <v>0</v>
      </c>
      <c r="N121" s="40">
        <f>IF(H121&gt;0,IF(I121&gt;0,I121-H121,0),0)</f>
        <v>0</v>
      </c>
      <c r="O121" s="40">
        <f>IF(J121&gt;0,J121-I121,0)</f>
        <v>0</v>
      </c>
      <c r="P121" s="40">
        <f>IF(J121&gt;0,J121-C121,0)</f>
        <v>0</v>
      </c>
    </row>
    <row r="122" spans="2:16" ht="18">
      <c r="B122" s="7" t="s">
        <v>47</v>
      </c>
      <c r="C122" s="12">
        <v>45429</v>
      </c>
      <c r="D122" s="26" t="s">
        <v>464</v>
      </c>
      <c r="E122" s="30" t="s">
        <v>326</v>
      </c>
      <c r="F122" s="23" t="s">
        <v>126</v>
      </c>
      <c r="G122" s="12" t="s">
        <v>16</v>
      </c>
      <c r="H122" s="12"/>
      <c r="I122" s="12">
        <v>45502</v>
      </c>
      <c r="J122" s="12"/>
      <c r="K122" s="6" t="s">
        <v>465</v>
      </c>
      <c r="L122" s="6"/>
      <c r="M122" s="40">
        <f>IF(H122&gt;0,H122-C122,0)</f>
        <v>0</v>
      </c>
      <c r="N122" s="40">
        <f>IF(H122&gt;0,IF(I122&gt;0,I122-H122,0),0)</f>
        <v>0</v>
      </c>
      <c r="O122" s="40">
        <f>IF(J122&gt;0,J122-I122,0)</f>
        <v>0</v>
      </c>
      <c r="P122" s="40">
        <f>IF(J122&gt;0,J122-C122,0)</f>
        <v>0</v>
      </c>
    </row>
    <row r="123" spans="2:16" ht="18">
      <c r="B123" s="7" t="s">
        <v>47</v>
      </c>
      <c r="C123" s="12">
        <v>45429</v>
      </c>
      <c r="D123" s="26" t="s">
        <v>466</v>
      </c>
      <c r="E123" s="30" t="s">
        <v>321</v>
      </c>
      <c r="F123" s="6" t="s">
        <v>101</v>
      </c>
      <c r="G123" s="8" t="s">
        <v>19</v>
      </c>
      <c r="H123" s="8"/>
      <c r="I123" s="8"/>
      <c r="J123" s="8"/>
      <c r="K123" s="6"/>
      <c r="L123" s="6"/>
      <c r="M123" s="40">
        <f>IF(H123&gt;0,H123-C123,0)</f>
        <v>0</v>
      </c>
      <c r="N123" s="40">
        <f>IF(H123&gt;0,IF(I123&gt;0,I123-H123,0),0)</f>
        <v>0</v>
      </c>
      <c r="O123" s="40">
        <f>IF(J123&gt;0,J123-I123,0)</f>
        <v>0</v>
      </c>
      <c r="P123" s="40">
        <f>IF(J123&gt;0,J123-C123,0)</f>
        <v>0</v>
      </c>
    </row>
    <row r="124" spans="2:16" ht="18">
      <c r="B124" s="7" t="s">
        <v>47</v>
      </c>
      <c r="C124" s="12">
        <v>45429</v>
      </c>
      <c r="D124" s="26" t="s">
        <v>467</v>
      </c>
      <c r="E124" s="30" t="s">
        <v>319</v>
      </c>
      <c r="F124" s="6" t="s">
        <v>468</v>
      </c>
      <c r="G124" s="8" t="s">
        <v>19</v>
      </c>
      <c r="H124" s="8"/>
      <c r="I124" s="8"/>
      <c r="J124" s="8"/>
      <c r="K124" s="6"/>
      <c r="L124" s="6"/>
      <c r="M124" s="40">
        <f>IF(H124&gt;0,H124-C124,0)</f>
        <v>0</v>
      </c>
      <c r="N124" s="40">
        <f>IF(H124&gt;0,IF(I124&gt;0,I124-H124,0),0)</f>
        <v>0</v>
      </c>
      <c r="O124" s="40">
        <f>IF(J124&gt;0,J124-I124,0)</f>
        <v>0</v>
      </c>
      <c r="P124" s="40">
        <f>IF(J124&gt;0,J124-C124,0)</f>
        <v>0</v>
      </c>
    </row>
    <row r="125" spans="2:16" ht="18">
      <c r="B125" s="7" t="s">
        <v>47</v>
      </c>
      <c r="C125" s="12">
        <v>45443</v>
      </c>
      <c r="D125" s="26" t="s">
        <v>469</v>
      </c>
      <c r="E125" s="30" t="s">
        <v>329</v>
      </c>
      <c r="F125" s="57" t="s">
        <v>470</v>
      </c>
      <c r="G125" s="12" t="s">
        <v>16</v>
      </c>
      <c r="H125" s="12">
        <v>45457</v>
      </c>
      <c r="I125" s="12">
        <v>45481</v>
      </c>
      <c r="J125" s="12">
        <v>45525</v>
      </c>
      <c r="K125" s="6"/>
      <c r="L125" s="6"/>
      <c r="M125" s="40">
        <f>IF(H125&gt;0,H125-C125,0)</f>
        <v>14</v>
      </c>
      <c r="N125" s="40">
        <f>IF(H125&gt;0,IF(I125&gt;0,I125-H125,0),0)</f>
        <v>24</v>
      </c>
      <c r="O125" s="40">
        <f>IF(J125&gt;0,J125-I125,0)</f>
        <v>44</v>
      </c>
      <c r="P125" s="40">
        <f>IF(J125&gt;0,J125-C125,0)</f>
        <v>82</v>
      </c>
    </row>
    <row r="126" spans="2:16" ht="18">
      <c r="B126" s="7" t="s">
        <v>47</v>
      </c>
      <c r="C126" s="12">
        <v>45443</v>
      </c>
      <c r="D126" s="26" t="s">
        <v>471</v>
      </c>
      <c r="E126" s="30" t="s">
        <v>321</v>
      </c>
      <c r="F126" s="57" t="s">
        <v>470</v>
      </c>
      <c r="G126" s="12" t="s">
        <v>16</v>
      </c>
      <c r="H126" s="12"/>
      <c r="I126" s="12">
        <v>45481</v>
      </c>
      <c r="J126" s="12">
        <v>45525</v>
      </c>
      <c r="K126" s="6"/>
      <c r="L126" s="8"/>
      <c r="M126" s="40">
        <f>IF(H126&gt;0,H126-C126,0)</f>
        <v>0</v>
      </c>
      <c r="N126" s="40">
        <f>IF(H126&gt;0,IF(I126&gt;0,I126-H126,0),0)</f>
        <v>0</v>
      </c>
      <c r="O126" s="40">
        <f>IF(J126&gt;0,J126-I126,0)</f>
        <v>44</v>
      </c>
      <c r="P126" s="40">
        <f>IF(J126&gt;0,J126-C126,0)</f>
        <v>82</v>
      </c>
    </row>
    <row r="127" spans="2:16" ht="18">
      <c r="B127" s="7" t="s">
        <v>57</v>
      </c>
      <c r="C127" s="12">
        <v>45450</v>
      </c>
      <c r="D127" s="26" t="s">
        <v>472</v>
      </c>
      <c r="E127" s="26" t="s">
        <v>321</v>
      </c>
      <c r="F127" s="57" t="s">
        <v>109</v>
      </c>
      <c r="G127" s="8" t="s">
        <v>19</v>
      </c>
      <c r="H127" s="8"/>
      <c r="I127" s="8"/>
      <c r="J127" s="8"/>
      <c r="K127" s="8"/>
      <c r="L127" s="8"/>
      <c r="M127" s="40">
        <f>IF(H127&gt;0,H127-C127,0)</f>
        <v>0</v>
      </c>
      <c r="N127" s="40">
        <f>IF(H127&gt;0,IF(I127&gt;0,I127-H127,0),0)</f>
        <v>0</v>
      </c>
      <c r="O127" s="40">
        <f>IF(J127&gt;0,J127-I127,0)</f>
        <v>0</v>
      </c>
      <c r="P127" s="40">
        <f>IF(J127&gt;0,J127-C127,0)</f>
        <v>0</v>
      </c>
    </row>
    <row r="128" spans="2:16" ht="18">
      <c r="B128" s="7" t="s">
        <v>57</v>
      </c>
      <c r="C128" s="12">
        <v>45457</v>
      </c>
      <c r="D128" s="26" t="s">
        <v>473</v>
      </c>
      <c r="E128" s="30" t="s">
        <v>319</v>
      </c>
      <c r="F128" s="6" t="s">
        <v>222</v>
      </c>
      <c r="G128" s="8" t="s">
        <v>19</v>
      </c>
      <c r="H128" s="8"/>
      <c r="I128" s="8"/>
      <c r="J128" s="8"/>
      <c r="K128" s="6"/>
      <c r="L128" s="6"/>
      <c r="M128" s="40">
        <f>IF(H128&gt;0,H128-C128,0)</f>
        <v>0</v>
      </c>
      <c r="N128" s="40">
        <f>IF(H128&gt;0,IF(I128&gt;0,I128-H128,0),0)</f>
        <v>0</v>
      </c>
      <c r="O128" s="40">
        <f>IF(J128&gt;0,J128-I128,0)</f>
        <v>0</v>
      </c>
      <c r="P128" s="40">
        <f>IF(J128&gt;0,J128-C128,0)</f>
        <v>0</v>
      </c>
    </row>
    <row r="129" spans="2:16" ht="18">
      <c r="B129" s="7" t="s">
        <v>57</v>
      </c>
      <c r="C129" s="12">
        <v>45457</v>
      </c>
      <c r="D129" s="26" t="s">
        <v>474</v>
      </c>
      <c r="E129" s="30" t="s">
        <v>319</v>
      </c>
      <c r="F129" s="57" t="s">
        <v>103</v>
      </c>
      <c r="G129" s="8" t="s">
        <v>19</v>
      </c>
      <c r="H129" s="8"/>
      <c r="I129" s="8"/>
      <c r="J129" s="8"/>
      <c r="K129" s="6"/>
      <c r="L129" s="6"/>
      <c r="M129" s="40">
        <f>IF(H129&gt;0,H129-C129,0)</f>
        <v>0</v>
      </c>
      <c r="N129" s="40">
        <f>IF(H129&gt;0,IF(I129&gt;0,I129-H129,0),0)</f>
        <v>0</v>
      </c>
      <c r="O129" s="40">
        <f>IF(J129&gt;0,J129-I129,0)</f>
        <v>0</v>
      </c>
      <c r="P129" s="40">
        <f>IF(J129&gt;0,J129-C129,0)</f>
        <v>0</v>
      </c>
    </row>
    <row r="130" spans="2:16" ht="18">
      <c r="B130" s="7" t="s">
        <v>57</v>
      </c>
      <c r="C130" s="12">
        <v>45457</v>
      </c>
      <c r="D130" s="26" t="s">
        <v>475</v>
      </c>
      <c r="E130" s="26" t="s">
        <v>321</v>
      </c>
      <c r="F130" s="6" t="s">
        <v>101</v>
      </c>
      <c r="G130" s="8" t="s">
        <v>19</v>
      </c>
      <c r="H130" s="8"/>
      <c r="I130" s="8"/>
      <c r="J130" s="8"/>
      <c r="K130" s="6"/>
      <c r="L130" s="6"/>
      <c r="M130" s="40">
        <f>IF(H130&gt;0,H130-C130,0)</f>
        <v>0</v>
      </c>
      <c r="N130" s="40">
        <f>IF(H130&gt;0,IF(I130&gt;0,I130-H130,0),0)</f>
        <v>0</v>
      </c>
      <c r="O130" s="40">
        <f>IF(J130&gt;0,J130-I130,0)</f>
        <v>0</v>
      </c>
      <c r="P130" s="40">
        <f>IF(J130&gt;0,J130-C130,0)</f>
        <v>0</v>
      </c>
    </row>
    <row r="131" spans="2:16" ht="18">
      <c r="B131" s="7" t="s">
        <v>57</v>
      </c>
      <c r="C131" s="12">
        <v>45457</v>
      </c>
      <c r="D131" s="26" t="s">
        <v>476</v>
      </c>
      <c r="E131" s="30" t="s">
        <v>324</v>
      </c>
      <c r="F131" s="6"/>
      <c r="G131" s="8" t="s">
        <v>19</v>
      </c>
      <c r="H131" s="8"/>
      <c r="I131" s="8"/>
      <c r="J131" s="8"/>
      <c r="K131" s="6"/>
      <c r="L131" s="6"/>
      <c r="M131" s="40">
        <f>IF(H131&gt;0,H131-C131,0)</f>
        <v>0</v>
      </c>
      <c r="N131" s="40">
        <f>IF(H131&gt;0,IF(I131&gt;0,I131-H131,0),0)</f>
        <v>0</v>
      </c>
      <c r="O131" s="40">
        <f>IF(J131&gt;0,J131-I131,0)</f>
        <v>0</v>
      </c>
      <c r="P131" s="40">
        <f>IF(J131&gt;0,J131-C131,0)</f>
        <v>0</v>
      </c>
    </row>
    <row r="132" spans="2:16" ht="18">
      <c r="B132" s="7" t="s">
        <v>62</v>
      </c>
      <c r="C132" s="12">
        <v>45492</v>
      </c>
      <c r="D132" s="26" t="s">
        <v>477</v>
      </c>
      <c r="E132" s="30" t="s">
        <v>321</v>
      </c>
      <c r="F132" s="6" t="s">
        <v>478</v>
      </c>
      <c r="G132" s="8" t="s">
        <v>19</v>
      </c>
      <c r="H132" s="6"/>
      <c r="I132" s="6"/>
      <c r="J132" s="6"/>
      <c r="K132" s="6"/>
      <c r="L132" s="6"/>
      <c r="M132" s="40">
        <f>IF(H132&gt;0,H132-C132,0)</f>
        <v>0</v>
      </c>
      <c r="N132" s="40">
        <f>IF(H132&gt;0,IF(I132&gt;0,I132-H132,0),0)</f>
        <v>0</v>
      </c>
      <c r="O132" s="40">
        <f>IF(J132&gt;0,J132-I132,0)</f>
        <v>0</v>
      </c>
      <c r="P132" s="40">
        <f>IF(J132&gt;0,J132-C132,0)</f>
        <v>0</v>
      </c>
    </row>
    <row r="133" spans="2:16" ht="18">
      <c r="B133" s="7" t="s">
        <v>62</v>
      </c>
      <c r="C133" s="12">
        <v>45492</v>
      </c>
      <c r="D133" s="26" t="s">
        <v>479</v>
      </c>
      <c r="E133" s="30" t="s">
        <v>324</v>
      </c>
      <c r="F133" s="6" t="s">
        <v>480</v>
      </c>
      <c r="G133" s="8" t="s">
        <v>19</v>
      </c>
      <c r="H133" s="6"/>
      <c r="I133" s="6"/>
      <c r="J133" s="6"/>
      <c r="K133" s="6"/>
      <c r="L133" s="6"/>
      <c r="M133" s="40">
        <f>IF(H133&gt;0,H133-C133,0)</f>
        <v>0</v>
      </c>
      <c r="N133" s="40">
        <f>IF(H133&gt;0,IF(I133&gt;0,I133-H133,0),0)</f>
        <v>0</v>
      </c>
      <c r="O133" s="40">
        <f>IF(J133&gt;0,J133-I133,0)</f>
        <v>0</v>
      </c>
      <c r="P133" s="40">
        <f>IF(J133&gt;0,J133-C133,0)</f>
        <v>0</v>
      </c>
    </row>
    <row r="134" spans="2:16" ht="18">
      <c r="B134" s="7" t="s">
        <v>62</v>
      </c>
      <c r="C134" s="12">
        <v>45492</v>
      </c>
      <c r="D134" s="26" t="s">
        <v>481</v>
      </c>
      <c r="E134" s="30" t="s">
        <v>324</v>
      </c>
      <c r="F134" s="6" t="s">
        <v>144</v>
      </c>
      <c r="G134" s="8" t="s">
        <v>16</v>
      </c>
      <c r="H134" s="6"/>
      <c r="I134" s="12">
        <v>45498</v>
      </c>
      <c r="J134" s="6"/>
      <c r="K134" s="6" t="s">
        <v>482</v>
      </c>
      <c r="L134" s="6"/>
      <c r="M134" s="40">
        <f>IF(H134&gt;0,H134-C134,0)</f>
        <v>0</v>
      </c>
      <c r="N134" s="40">
        <f>IF(H134&gt;0,IF(I134&gt;0,I134-H134,0),0)</f>
        <v>0</v>
      </c>
      <c r="O134" s="40">
        <f>IF(J134&gt;0,J134-I134,0)</f>
        <v>0</v>
      </c>
      <c r="P134" s="40">
        <f>IF(J134&gt;0,J134-C134,0)</f>
        <v>0</v>
      </c>
    </row>
    <row r="135" spans="2:16" ht="18">
      <c r="B135" s="7" t="s">
        <v>62</v>
      </c>
      <c r="C135" s="12">
        <v>45492</v>
      </c>
      <c r="D135" s="26" t="s">
        <v>483</v>
      </c>
      <c r="E135" s="30" t="s">
        <v>329</v>
      </c>
      <c r="F135" s="6" t="s">
        <v>484</v>
      </c>
      <c r="G135" s="8" t="s">
        <v>16</v>
      </c>
      <c r="H135" s="12">
        <v>45498</v>
      </c>
      <c r="I135" s="6"/>
      <c r="K135" s="6" t="s">
        <v>485</v>
      </c>
      <c r="L135" s="6"/>
      <c r="M135" s="40">
        <f>IF(H135&gt;0,H135-C135,0)</f>
        <v>6</v>
      </c>
      <c r="N135" s="40">
        <f>IF(H135&gt;0,IF(I135&gt;0,I135-H135,0),0)</f>
        <v>0</v>
      </c>
      <c r="O135" s="40">
        <f>IF(J135&gt;0,J135-I135,0)</f>
        <v>0</v>
      </c>
      <c r="P135" s="40">
        <f>IF(J135&gt;0,J135-C135,0)</f>
        <v>0</v>
      </c>
    </row>
    <row r="136" spans="2:16" ht="18">
      <c r="B136" s="7" t="s">
        <v>62</v>
      </c>
      <c r="C136" s="12">
        <v>45492</v>
      </c>
      <c r="D136" s="26" t="s">
        <v>486</v>
      </c>
      <c r="E136" s="30" t="s">
        <v>326</v>
      </c>
      <c r="F136" s="6" t="s">
        <v>484</v>
      </c>
      <c r="G136" s="8" t="s">
        <v>16</v>
      </c>
      <c r="H136" s="6"/>
      <c r="I136" s="12">
        <v>45503</v>
      </c>
      <c r="J136" s="6"/>
      <c r="K136" s="6" t="s">
        <v>456</v>
      </c>
      <c r="L136" s="6"/>
      <c r="M136" s="40">
        <f>IF(H136&gt;0,H136-C136,0)</f>
        <v>0</v>
      </c>
      <c r="N136" s="40">
        <f>IF(H136&gt;0,IF(I136&gt;0,I136-H136,0),0)</f>
        <v>0</v>
      </c>
      <c r="O136" s="40">
        <f>IF(J136&gt;0,J136-I136,0)</f>
        <v>0</v>
      </c>
      <c r="P136" s="40">
        <f>IF(J136&gt;0,J136-C136,0)</f>
        <v>0</v>
      </c>
    </row>
    <row r="137" spans="2:16" ht="18">
      <c r="B137" s="7" t="s">
        <v>62</v>
      </c>
      <c r="C137" s="20">
        <v>45499</v>
      </c>
      <c r="D137" s="6" t="s">
        <v>487</v>
      </c>
      <c r="E137" s="30" t="s">
        <v>319</v>
      </c>
      <c r="F137" s="6" t="s">
        <v>488</v>
      </c>
      <c r="G137" s="8" t="s">
        <v>16</v>
      </c>
      <c r="H137" s="8"/>
      <c r="I137" s="12">
        <v>45502</v>
      </c>
      <c r="J137" s="12">
        <v>45537</v>
      </c>
      <c r="K137" s="6"/>
      <c r="L137" s="6"/>
      <c r="M137" s="40">
        <f>IF(H137&gt;0,H137-C137,0)</f>
        <v>0</v>
      </c>
      <c r="N137" s="40">
        <f>IF(H137&gt;0,IF(I137&gt;0,I137-H137,0),0)</f>
        <v>0</v>
      </c>
      <c r="O137" s="40">
        <f>IF(J137&gt;0,J137-I137,0)</f>
        <v>35</v>
      </c>
      <c r="P137" s="40">
        <f>IF(J137&gt;0,J137-C137,0)</f>
        <v>38</v>
      </c>
    </row>
    <row r="138" spans="2:16" ht="18">
      <c r="B138" s="7" t="s">
        <v>62</v>
      </c>
      <c r="C138" s="20">
        <v>45499</v>
      </c>
      <c r="D138" s="6" t="s">
        <v>489</v>
      </c>
      <c r="E138" s="30" t="s">
        <v>319</v>
      </c>
      <c r="F138" s="6" t="s">
        <v>490</v>
      </c>
      <c r="G138" s="8" t="s">
        <v>16</v>
      </c>
      <c r="H138" s="6"/>
      <c r="I138" s="12">
        <v>45502</v>
      </c>
      <c r="J138" s="12">
        <v>45525</v>
      </c>
      <c r="K138" s="6"/>
      <c r="L138" s="6"/>
      <c r="M138" s="40">
        <f>IF(H138&gt;0,H138-C138,0)</f>
        <v>0</v>
      </c>
      <c r="N138" s="40">
        <f>IF(H138&gt;0,IF(I138&gt;0,I138-H138,0),0)</f>
        <v>0</v>
      </c>
      <c r="O138" s="40">
        <f>IF(J138&gt;0,J138-I138,0)</f>
        <v>23</v>
      </c>
      <c r="P138" s="40">
        <f>IF(J138&gt;0,J138-C138,0)</f>
        <v>26</v>
      </c>
    </row>
    <row r="139" spans="2:16" ht="18">
      <c r="B139" s="7" t="s">
        <v>62</v>
      </c>
      <c r="C139" s="20">
        <v>45499</v>
      </c>
      <c r="D139" s="26" t="s">
        <v>491</v>
      </c>
      <c r="E139" s="30" t="s">
        <v>329</v>
      </c>
      <c r="F139" s="6" t="s">
        <v>492</v>
      </c>
      <c r="G139" s="8" t="s">
        <v>19</v>
      </c>
      <c r="H139" s="12"/>
      <c r="I139" s="6"/>
      <c r="J139" s="6"/>
      <c r="K139" s="6"/>
      <c r="L139" s="6"/>
      <c r="M139" s="40">
        <f>IF(H139&gt;0,H139-C139,0)</f>
        <v>0</v>
      </c>
      <c r="N139" s="40">
        <f>IF(H139&gt;0,IF(I139&gt;0,I139-H139,0),0)</f>
        <v>0</v>
      </c>
      <c r="O139" s="40">
        <f>IF(J139&gt;0,J139-I139,0)</f>
        <v>0</v>
      </c>
      <c r="P139" s="40">
        <f>IF(J139&gt;0,J139-C139,0)</f>
        <v>0</v>
      </c>
    </row>
    <row r="140" spans="2:16" ht="18">
      <c r="B140" s="7" t="s">
        <v>68</v>
      </c>
      <c r="C140" s="55">
        <v>45505</v>
      </c>
      <c r="D140" s="26" t="s">
        <v>493</v>
      </c>
      <c r="E140" s="26" t="s">
        <v>329</v>
      </c>
      <c r="F140" s="6" t="s">
        <v>101</v>
      </c>
      <c r="G140" s="8" t="s">
        <v>19</v>
      </c>
      <c r="H140" s="6"/>
      <c r="I140" s="6"/>
      <c r="J140" s="6"/>
      <c r="K140" s="6"/>
      <c r="L140" s="6" t="s">
        <v>494</v>
      </c>
      <c r="M140" s="40">
        <f>IF(H140&gt;0,H140-C140,0)</f>
        <v>0</v>
      </c>
      <c r="N140" s="40">
        <f>IF(H140&gt;0,IF(I140&gt;0,I140-H140,0),0)</f>
        <v>0</v>
      </c>
      <c r="O140" s="40">
        <f>IF(J140&gt;0,J140-I140,0)</f>
        <v>0</v>
      </c>
      <c r="P140" s="40">
        <f>IF(J140&gt;0,J140-C140,0)</f>
        <v>0</v>
      </c>
    </row>
    <row r="141" spans="2:16" ht="18">
      <c r="B141" s="7" t="s">
        <v>68</v>
      </c>
      <c r="C141" s="55">
        <v>45513</v>
      </c>
      <c r="D141" s="26" t="s">
        <v>495</v>
      </c>
      <c r="E141" s="30" t="s">
        <v>324</v>
      </c>
      <c r="F141" s="6" t="s">
        <v>496</v>
      </c>
      <c r="G141" s="8" t="s">
        <v>19</v>
      </c>
      <c r="H141" s="6"/>
      <c r="I141" s="6"/>
      <c r="J141" s="6"/>
      <c r="K141" s="6"/>
      <c r="L141" s="6"/>
      <c r="M141" s="40">
        <f>IF(H141&gt;0,H141-C141,0)</f>
        <v>0</v>
      </c>
      <c r="N141" s="40">
        <f>IF(H141&gt;0,IF(I141&gt;0,I141-H141,0),0)</f>
        <v>0</v>
      </c>
      <c r="O141" s="40">
        <f>IF(J141&gt;0,J141-I141,0)</f>
        <v>0</v>
      </c>
      <c r="P141" s="40">
        <f>IF(J141&gt;0,J141-C141,0)</f>
        <v>0</v>
      </c>
    </row>
    <row r="142" spans="2:16" ht="18">
      <c r="B142" s="7" t="s">
        <v>68</v>
      </c>
      <c r="C142" s="55">
        <v>45516</v>
      </c>
      <c r="D142" s="26" t="s">
        <v>497</v>
      </c>
      <c r="E142" s="30" t="s">
        <v>329</v>
      </c>
      <c r="F142" s="6" t="s">
        <v>222</v>
      </c>
      <c r="G142" s="8" t="s">
        <v>19</v>
      </c>
      <c r="H142" s="6"/>
      <c r="I142" s="6"/>
      <c r="J142" s="6"/>
      <c r="K142" s="6"/>
      <c r="L142" s="6"/>
      <c r="M142" s="40">
        <f>IF(H142&gt;0,H142-C142,0)</f>
        <v>0</v>
      </c>
      <c r="N142" s="40">
        <f>IF(H142&gt;0,IF(I142&gt;0,I142-H142,0),0)</f>
        <v>0</v>
      </c>
      <c r="O142" s="40">
        <f>IF(J142&gt;0,J142-I142,0)</f>
        <v>0</v>
      </c>
      <c r="P142" s="40">
        <f>IF(J142&gt;0,J142-C142,0)</f>
        <v>0</v>
      </c>
    </row>
    <row r="143" spans="2:16" ht="18">
      <c r="B143" s="7" t="s">
        <v>68</v>
      </c>
      <c r="C143" s="55">
        <v>45520</v>
      </c>
      <c r="D143" s="26" t="s">
        <v>498</v>
      </c>
      <c r="E143" s="30" t="s">
        <v>319</v>
      </c>
      <c r="F143" s="6" t="s">
        <v>499</v>
      </c>
      <c r="G143" s="8" t="s">
        <v>19</v>
      </c>
      <c r="H143" s="6"/>
      <c r="I143" s="6"/>
      <c r="J143" s="6"/>
      <c r="K143" s="6"/>
      <c r="L143" s="6"/>
      <c r="M143" s="40">
        <f>IF(H143&gt;0,H143-C143,0)</f>
        <v>0</v>
      </c>
      <c r="N143" s="40">
        <f>IF(H143&gt;0,IF(I143&gt;0,I143-H143,0),0)</f>
        <v>0</v>
      </c>
      <c r="O143" s="40">
        <f>IF(J143&gt;0,J143-I143,0)</f>
        <v>0</v>
      </c>
      <c r="P143" s="40">
        <f>IF(J143&gt;0,J143-C143,0)</f>
        <v>0</v>
      </c>
    </row>
    <row r="144" spans="2:16" ht="18">
      <c r="B144" s="7" t="s">
        <v>68</v>
      </c>
      <c r="C144" s="55">
        <v>45520</v>
      </c>
      <c r="D144" s="26" t="s">
        <v>500</v>
      </c>
      <c r="E144" s="30" t="s">
        <v>329</v>
      </c>
      <c r="F144" s="6" t="s">
        <v>101</v>
      </c>
      <c r="G144" s="8" t="s">
        <v>16</v>
      </c>
      <c r="H144" s="12">
        <v>45533</v>
      </c>
      <c r="I144" s="12">
        <v>45538</v>
      </c>
      <c r="J144" s="12">
        <v>45560</v>
      </c>
      <c r="K144" s="6"/>
      <c r="L144" s="6"/>
      <c r="M144" s="40">
        <f>IF(H144&gt;0,H144-C144,0)</f>
        <v>13</v>
      </c>
      <c r="N144" s="40">
        <f>IF(H144&gt;0,IF(I144&gt;0,I144-H144,0),0)</f>
        <v>5</v>
      </c>
      <c r="O144" s="40">
        <f>IF(J144&gt;0,J144-I144,0)</f>
        <v>22</v>
      </c>
      <c r="P144" s="40">
        <f>IF(J144&gt;0,J144-C144,0)</f>
        <v>40</v>
      </c>
    </row>
    <row r="145" spans="2:16" ht="18">
      <c r="B145" s="7" t="s">
        <v>68</v>
      </c>
      <c r="C145" s="55">
        <v>45520</v>
      </c>
      <c r="D145" s="26" t="s">
        <v>501</v>
      </c>
      <c r="E145" s="30" t="s">
        <v>321</v>
      </c>
      <c r="F145" s="6" t="s">
        <v>109</v>
      </c>
      <c r="G145" s="8" t="s">
        <v>16</v>
      </c>
      <c r="H145" s="6"/>
      <c r="I145" s="12">
        <v>45614</v>
      </c>
      <c r="J145" s="12">
        <v>45678</v>
      </c>
      <c r="K145" s="6"/>
      <c r="L145" s="6"/>
      <c r="M145" s="40">
        <f>IF(H145&gt;0,H145-C145,0)</f>
        <v>0</v>
      </c>
      <c r="N145" s="40">
        <f>IF(H145&gt;0,IF(I145&gt;0,I145-H145,0),0)</f>
        <v>0</v>
      </c>
      <c r="O145" s="40">
        <f>IF(J145&gt;0,J145-I145,0)</f>
        <v>64</v>
      </c>
      <c r="P145" s="40">
        <f>IF(J145&gt;0,J145-C145,0)</f>
        <v>158</v>
      </c>
    </row>
    <row r="146" spans="2:16" ht="18">
      <c r="B146" s="7" t="s">
        <v>68</v>
      </c>
      <c r="C146" s="55">
        <v>45520</v>
      </c>
      <c r="D146" s="26" t="s">
        <v>502</v>
      </c>
      <c r="E146" s="30" t="s">
        <v>324</v>
      </c>
      <c r="F146" s="6" t="s">
        <v>103</v>
      </c>
      <c r="G146" s="8" t="s">
        <v>19</v>
      </c>
      <c r="H146" s="6"/>
      <c r="I146" s="6"/>
      <c r="J146" s="6"/>
      <c r="K146" s="6"/>
      <c r="L146" s="6"/>
      <c r="M146" s="40">
        <f>IF(H146&gt;0,H146-C146,0)</f>
        <v>0</v>
      </c>
      <c r="N146" s="40">
        <f>IF(H146&gt;0,IF(I146&gt;0,I146-H146,0),0)</f>
        <v>0</v>
      </c>
      <c r="O146" s="40">
        <f>IF(J146&gt;0,J146-I146,0)</f>
        <v>0</v>
      </c>
      <c r="P146" s="40">
        <f>IF(J146&gt;0,J146-C146,0)</f>
        <v>0</v>
      </c>
    </row>
    <row r="147" spans="2:16" ht="18">
      <c r="B147" s="7" t="s">
        <v>68</v>
      </c>
      <c r="C147" s="20">
        <v>45534</v>
      </c>
      <c r="D147" s="26" t="s">
        <v>503</v>
      </c>
      <c r="E147" s="30" t="s">
        <v>329</v>
      </c>
      <c r="F147" s="6" t="s">
        <v>504</v>
      </c>
      <c r="G147" s="8" t="s">
        <v>16</v>
      </c>
      <c r="H147" s="20">
        <v>45590</v>
      </c>
      <c r="I147" s="6"/>
      <c r="J147" s="6"/>
      <c r="K147" s="6" t="s">
        <v>505</v>
      </c>
      <c r="L147" s="6"/>
      <c r="M147" s="40">
        <f>IF(H147&gt;0,H147-C147,0)</f>
        <v>56</v>
      </c>
      <c r="N147" s="40">
        <f>IF(H147&gt;0,IF(I147&gt;0,I147-H147,0),0)</f>
        <v>0</v>
      </c>
      <c r="O147" s="40">
        <f>IF(J147&gt;0,J147-I147,0)</f>
        <v>0</v>
      </c>
      <c r="P147" s="40">
        <f>IF(J147&gt;0,J147-C147,0)</f>
        <v>0</v>
      </c>
    </row>
    <row r="148" spans="2:16" ht="18">
      <c r="B148" s="7" t="s">
        <v>68</v>
      </c>
      <c r="C148" s="20">
        <v>45534</v>
      </c>
      <c r="D148" s="26" t="s">
        <v>506</v>
      </c>
      <c r="E148" s="30" t="s">
        <v>324</v>
      </c>
      <c r="F148" s="6" t="s">
        <v>222</v>
      </c>
      <c r="G148" s="8" t="s">
        <v>19</v>
      </c>
      <c r="H148" s="6"/>
      <c r="I148" s="6"/>
      <c r="J148" s="6"/>
      <c r="K148" s="6"/>
      <c r="L148" s="6"/>
      <c r="M148" s="40">
        <f>IF(H148&gt;0,H148-C148,0)</f>
        <v>0</v>
      </c>
      <c r="N148" s="40">
        <f>IF(H148&gt;0,IF(I148&gt;0,I148-H148,0),0)</f>
        <v>0</v>
      </c>
      <c r="O148" s="40">
        <f>IF(J148&gt;0,J148-I148,0)</f>
        <v>0</v>
      </c>
      <c r="P148" s="40">
        <f>IF(J148&gt;0,J148-C148,0)</f>
        <v>0</v>
      </c>
    </row>
    <row r="149" spans="2:16" ht="18">
      <c r="B149" s="7" t="s">
        <v>77</v>
      </c>
      <c r="C149" s="20">
        <v>45548</v>
      </c>
      <c r="D149" s="26" t="s">
        <v>507</v>
      </c>
      <c r="E149" s="30" t="s">
        <v>329</v>
      </c>
      <c r="F149" s="6" t="s">
        <v>508</v>
      </c>
      <c r="G149" s="8" t="s">
        <v>16</v>
      </c>
      <c r="H149" s="12">
        <v>45552</v>
      </c>
      <c r="I149" s="12">
        <v>45561</v>
      </c>
      <c r="J149" s="12">
        <v>45630</v>
      </c>
      <c r="K149" s="6"/>
      <c r="L149" s="6"/>
      <c r="M149" s="40">
        <f>IF(H149&gt;0,H149-C149,0)</f>
        <v>4</v>
      </c>
      <c r="N149" s="40">
        <f>IF(H149&gt;0,IF(I149&gt;0,I149-H149,0),0)</f>
        <v>9</v>
      </c>
      <c r="O149" s="40">
        <f>IF(J149&gt;0,J149-I149,0)</f>
        <v>69</v>
      </c>
      <c r="P149" s="40">
        <f>IF(J149&gt;0,J149-C149,0)</f>
        <v>82</v>
      </c>
    </row>
    <row r="150" spans="2:16" ht="18">
      <c r="B150" s="7" t="s">
        <v>77</v>
      </c>
      <c r="C150" s="20">
        <v>45548</v>
      </c>
      <c r="D150" s="26" t="s">
        <v>509</v>
      </c>
      <c r="E150" s="30" t="s">
        <v>319</v>
      </c>
      <c r="F150" s="6" t="s">
        <v>510</v>
      </c>
      <c r="G150" s="8" t="s">
        <v>19</v>
      </c>
      <c r="H150" s="6"/>
      <c r="I150" s="6"/>
      <c r="J150" s="6"/>
      <c r="K150" s="6"/>
      <c r="L150" s="6"/>
      <c r="M150" s="40">
        <f>IF(H150&gt;0,H150-C150,0)</f>
        <v>0</v>
      </c>
      <c r="N150" s="40">
        <f>IF(H150&gt;0,IF(I150&gt;0,I150-H150,0),0)</f>
        <v>0</v>
      </c>
      <c r="O150" s="40">
        <f>IF(J150&gt;0,J150-I150,0)</f>
        <v>0</v>
      </c>
      <c r="P150" s="40">
        <f>IF(J150&gt;0,J150-C150,0)</f>
        <v>0</v>
      </c>
    </row>
    <row r="151" spans="2:16" ht="18">
      <c r="B151" s="7" t="s">
        <v>77</v>
      </c>
      <c r="C151" s="20">
        <v>45548</v>
      </c>
      <c r="D151" s="26" t="s">
        <v>511</v>
      </c>
      <c r="E151" s="30" t="s">
        <v>329</v>
      </c>
      <c r="F151" s="6" t="s">
        <v>101</v>
      </c>
      <c r="G151" s="8" t="s">
        <v>19</v>
      </c>
      <c r="H151" s="6"/>
      <c r="I151" s="6"/>
      <c r="J151" s="6"/>
      <c r="K151" s="6"/>
      <c r="L151" s="6"/>
      <c r="M151" s="40">
        <f>IF(H151&gt;0,H151-C151,0)</f>
        <v>0</v>
      </c>
      <c r="N151" s="40">
        <f>IF(H151&gt;0,IF(I151&gt;0,I151-H151,0),0)</f>
        <v>0</v>
      </c>
      <c r="O151" s="40">
        <f>IF(J151&gt;0,J151-I151,0)</f>
        <v>0</v>
      </c>
      <c r="P151" s="40">
        <f>IF(J151&gt;0,J151-C151,0)</f>
        <v>0</v>
      </c>
    </row>
    <row r="152" spans="2:16" ht="18">
      <c r="B152" s="7" t="s">
        <v>77</v>
      </c>
      <c r="C152" s="20">
        <v>45562</v>
      </c>
      <c r="D152" s="26" t="s">
        <v>512</v>
      </c>
      <c r="E152" s="30" t="s">
        <v>321</v>
      </c>
      <c r="F152" s="6" t="s">
        <v>109</v>
      </c>
      <c r="G152" s="8" t="s">
        <v>19</v>
      </c>
      <c r="H152" s="6"/>
      <c r="I152" s="6"/>
      <c r="J152" s="6"/>
      <c r="K152" s="6"/>
      <c r="L152" s="6"/>
      <c r="M152" s="40">
        <f>IF(H152&gt;0,H152-C152,0)</f>
        <v>0</v>
      </c>
      <c r="N152" s="40">
        <f>IF(H152&gt;0,IF(I152&gt;0,I152-H152,0),0)</f>
        <v>0</v>
      </c>
      <c r="O152" s="40">
        <f>IF(J152&gt;0,J152-I152,0)</f>
        <v>0</v>
      </c>
      <c r="P152" s="40">
        <f>IF(J152&gt;0,J152-C152,0)</f>
        <v>0</v>
      </c>
    </row>
    <row r="153" spans="2:16" ht="18">
      <c r="B153" s="7" t="s">
        <v>84</v>
      </c>
      <c r="C153" s="20">
        <v>45581</v>
      </c>
      <c r="D153" s="26" t="s">
        <v>513</v>
      </c>
      <c r="E153" s="30" t="s">
        <v>319</v>
      </c>
      <c r="F153" s="6" t="s">
        <v>109</v>
      </c>
      <c r="G153" s="8" t="s">
        <v>16</v>
      </c>
      <c r="H153" s="6"/>
      <c r="I153" s="12">
        <v>45621</v>
      </c>
      <c r="J153" s="6"/>
      <c r="K153" s="6" t="s">
        <v>465</v>
      </c>
      <c r="L153" s="6"/>
      <c r="M153" s="40">
        <f>IF(H153&gt;0,H153-C153,0)</f>
        <v>0</v>
      </c>
      <c r="N153" s="40">
        <f>IF(H153&gt;0,IF(I153&gt;0,I153-H153,0),0)</f>
        <v>0</v>
      </c>
      <c r="O153" s="40">
        <f>IF(J153&gt;0,J153-I153,0)</f>
        <v>0</v>
      </c>
      <c r="P153" s="40">
        <f>IF(J153&gt;0,J153-C153,0)</f>
        <v>0</v>
      </c>
    </row>
    <row r="154" spans="2:16" ht="18">
      <c r="B154" s="7" t="s">
        <v>84</v>
      </c>
      <c r="C154" s="20">
        <v>45583</v>
      </c>
      <c r="D154" s="26" t="s">
        <v>514</v>
      </c>
      <c r="E154" s="30" t="s">
        <v>324</v>
      </c>
      <c r="F154" s="6" t="s">
        <v>109</v>
      </c>
      <c r="G154" s="8" t="s">
        <v>19</v>
      </c>
      <c r="H154" s="6"/>
      <c r="I154" s="6"/>
      <c r="J154" s="6"/>
      <c r="K154" s="6"/>
      <c r="L154" s="6"/>
      <c r="M154" s="40">
        <f>IF(H154&gt;0,H154-C154,0)</f>
        <v>0</v>
      </c>
      <c r="N154" s="40">
        <f>IF(H154&gt;0,IF(I154&gt;0,I154-H154,0),0)</f>
        <v>0</v>
      </c>
      <c r="O154" s="40">
        <f>IF(J154&gt;0,J154-I154,0)</f>
        <v>0</v>
      </c>
      <c r="P154" s="40">
        <f>IF(J154&gt;0,J154-C154,0)</f>
        <v>0</v>
      </c>
    </row>
    <row r="155" spans="2:16" ht="18">
      <c r="B155" s="7" t="s">
        <v>84</v>
      </c>
      <c r="C155" s="20">
        <v>45583</v>
      </c>
      <c r="D155" s="26" t="s">
        <v>515</v>
      </c>
      <c r="E155" s="30" t="s">
        <v>319</v>
      </c>
      <c r="F155" s="6" t="s">
        <v>109</v>
      </c>
      <c r="G155" s="8" t="s">
        <v>19</v>
      </c>
      <c r="H155" s="6"/>
      <c r="I155" s="6"/>
      <c r="J155" s="6"/>
      <c r="K155" s="6"/>
      <c r="L155" s="6"/>
      <c r="M155" s="40">
        <f>IF(H155&gt;0,H155-C155,0)</f>
        <v>0</v>
      </c>
      <c r="N155" s="40">
        <f>IF(H155&gt;0,IF(I155&gt;0,I155-H155,0),0)</f>
        <v>0</v>
      </c>
      <c r="O155" s="40">
        <f>IF(J155&gt;0,J155-I155,0)</f>
        <v>0</v>
      </c>
      <c r="P155" s="40">
        <f>IF(J155&gt;0,J155-C155,0)</f>
        <v>0</v>
      </c>
    </row>
    <row r="156" spans="2:16" ht="18">
      <c r="B156" s="7" t="s">
        <v>84</v>
      </c>
      <c r="C156" s="20">
        <v>45583</v>
      </c>
      <c r="D156" s="26" t="s">
        <v>516</v>
      </c>
      <c r="E156" s="30" t="s">
        <v>329</v>
      </c>
      <c r="F156" s="6" t="s">
        <v>109</v>
      </c>
      <c r="G156" s="8" t="s">
        <v>16</v>
      </c>
      <c r="H156" s="12">
        <v>45629</v>
      </c>
      <c r="I156" s="12">
        <v>45673</v>
      </c>
      <c r="J156" s="12">
        <v>45694</v>
      </c>
      <c r="K156" s="6"/>
      <c r="L156" s="6"/>
      <c r="M156" s="40">
        <f>IF(H156&gt;0,H156-C156,0)</f>
        <v>46</v>
      </c>
      <c r="N156" s="40">
        <f>IF(H156&gt;0,IF(I156&gt;0,I156-H156,0),0)</f>
        <v>44</v>
      </c>
      <c r="O156" s="40">
        <f>IF(J156&gt;0,J156-I156,0)</f>
        <v>21</v>
      </c>
      <c r="P156" s="40">
        <f>IF(J156&gt;0,J156-C156,0)</f>
        <v>111</v>
      </c>
    </row>
    <row r="157" spans="2:16" ht="18">
      <c r="B157" s="7" t="s">
        <v>84</v>
      </c>
      <c r="C157" s="20">
        <v>45583</v>
      </c>
      <c r="D157" s="26" t="s">
        <v>517</v>
      </c>
      <c r="E157" s="30" t="s">
        <v>321</v>
      </c>
      <c r="F157" s="6" t="s">
        <v>109</v>
      </c>
      <c r="G157" s="8" t="s">
        <v>16</v>
      </c>
      <c r="H157" s="6"/>
      <c r="I157" s="12">
        <v>45594</v>
      </c>
      <c r="J157" s="12">
        <v>45684</v>
      </c>
      <c r="K157" s="6"/>
      <c r="L157" s="6"/>
      <c r="M157" s="40">
        <f>IF(H157&gt;0,H157-C157,0)</f>
        <v>0</v>
      </c>
      <c r="N157" s="40">
        <f>IF(H157&gt;0,IF(I157&gt;0,I157-H157,0),0)</f>
        <v>0</v>
      </c>
      <c r="O157" s="40">
        <f>IF(J157&gt;0,J157-I157,0)</f>
        <v>90</v>
      </c>
      <c r="P157" s="40">
        <f>IF(J157&gt;0,J157-C157,0)</f>
        <v>101</v>
      </c>
    </row>
    <row r="158" spans="2:16" ht="18">
      <c r="B158" s="7" t="s">
        <v>84</v>
      </c>
      <c r="C158" s="20">
        <v>45590</v>
      </c>
      <c r="D158" s="26" t="s">
        <v>518</v>
      </c>
      <c r="E158" s="30" t="s">
        <v>326</v>
      </c>
      <c r="F158" s="6" t="s">
        <v>101</v>
      </c>
      <c r="G158" s="8" t="s">
        <v>19</v>
      </c>
      <c r="H158" s="6"/>
      <c r="I158" s="6"/>
      <c r="J158" s="6"/>
      <c r="K158" s="6"/>
      <c r="L158" s="6"/>
      <c r="M158" s="40">
        <f>IF(H158&gt;0,H158-C158,0)</f>
        <v>0</v>
      </c>
      <c r="N158" s="40">
        <f>IF(H158&gt;0,IF(I158&gt;0,I158-H158,0),0)</f>
        <v>0</v>
      </c>
      <c r="O158" s="40">
        <f>IF(J158&gt;0,J158-I158,0)</f>
        <v>0</v>
      </c>
      <c r="P158" s="40">
        <f>IF(J158&gt;0,J158-C158,0)</f>
        <v>0</v>
      </c>
    </row>
    <row r="159" spans="2:16" ht="18">
      <c r="B159" s="7" t="s">
        <v>84</v>
      </c>
      <c r="C159" s="20">
        <v>45590</v>
      </c>
      <c r="D159" s="26" t="s">
        <v>519</v>
      </c>
      <c r="E159" s="30" t="s">
        <v>321</v>
      </c>
      <c r="F159" s="6" t="s">
        <v>520</v>
      </c>
      <c r="G159" s="8" t="s">
        <v>16</v>
      </c>
      <c r="H159" s="6"/>
      <c r="I159" s="12">
        <v>45616</v>
      </c>
      <c r="J159" s="12">
        <v>45673</v>
      </c>
      <c r="K159" s="6"/>
      <c r="L159" s="6"/>
      <c r="M159" s="40">
        <f>IF(H159&gt;0,H159-C159,0)</f>
        <v>0</v>
      </c>
      <c r="N159" s="40">
        <f>IF(H159&gt;0,IF(I159&gt;0,I159-H159,0),0)</f>
        <v>0</v>
      </c>
      <c r="O159" s="40">
        <f>IF(J159&gt;0,J159-I159,0)</f>
        <v>57</v>
      </c>
      <c r="P159" s="40">
        <f>IF(J159&gt;0,J159-C159,0)</f>
        <v>83</v>
      </c>
    </row>
    <row r="160" spans="2:16" ht="18">
      <c r="B160" s="7" t="s">
        <v>87</v>
      </c>
      <c r="C160" s="20">
        <v>45604</v>
      </c>
      <c r="D160" s="26" t="s">
        <v>521</v>
      </c>
      <c r="E160" s="30" t="s">
        <v>319</v>
      </c>
      <c r="F160" s="6" t="s">
        <v>109</v>
      </c>
      <c r="G160" s="8" t="s">
        <v>19</v>
      </c>
      <c r="H160" s="6"/>
      <c r="I160" s="6"/>
      <c r="J160" s="6"/>
      <c r="K160" s="6"/>
      <c r="L160" s="6"/>
      <c r="M160" s="40">
        <f>IF(H160&gt;0,H160-C160,0)</f>
        <v>0</v>
      </c>
      <c r="N160" s="40">
        <f>IF(H160&gt;0,IF(I160&gt;0,I160-H160,0),0)</f>
        <v>0</v>
      </c>
      <c r="O160" s="40">
        <f>IF(J160&gt;0,J160-I160,0)</f>
        <v>0</v>
      </c>
      <c r="P160" s="40">
        <f>IF(J160&gt;0,J160-C160,0)</f>
        <v>0</v>
      </c>
    </row>
    <row r="161" spans="2:16" ht="18">
      <c r="B161" s="7" t="s">
        <v>87</v>
      </c>
      <c r="C161" s="20">
        <v>45604</v>
      </c>
      <c r="D161" s="26" t="s">
        <v>522</v>
      </c>
      <c r="E161" s="30" t="s">
        <v>326</v>
      </c>
      <c r="F161" s="6" t="s">
        <v>109</v>
      </c>
      <c r="G161" s="8" t="s">
        <v>19</v>
      </c>
      <c r="H161" s="6"/>
      <c r="I161" s="6"/>
      <c r="J161" s="6"/>
      <c r="K161" s="6"/>
      <c r="L161" s="6"/>
      <c r="M161" s="40">
        <f>IF(H161&gt;0,H161-C161,0)</f>
        <v>0</v>
      </c>
      <c r="N161" s="40">
        <f>IF(H161&gt;0,IF(I161&gt;0,I161-H161,0),0)</f>
        <v>0</v>
      </c>
      <c r="O161" s="40">
        <f>IF(J161&gt;0,J161-I161,0)</f>
        <v>0</v>
      </c>
      <c r="P161" s="40">
        <f>IF(J161&gt;0,J161-C161,0)</f>
        <v>0</v>
      </c>
    </row>
    <row r="162" spans="2:16" ht="18">
      <c r="B162" s="7" t="s">
        <v>87</v>
      </c>
      <c r="C162" s="20">
        <v>45604</v>
      </c>
      <c r="D162" s="26" t="s">
        <v>523</v>
      </c>
      <c r="E162" s="30" t="s">
        <v>329</v>
      </c>
      <c r="F162" s="6"/>
      <c r="G162" s="8" t="s">
        <v>16</v>
      </c>
      <c r="H162" s="20">
        <v>45889</v>
      </c>
      <c r="I162" s="6"/>
      <c r="J162" s="6"/>
      <c r="K162" s="6" t="s">
        <v>524</v>
      </c>
      <c r="L162" s="6"/>
      <c r="M162" s="40">
        <f>IF(H162&gt;0,H162-C162,0)</f>
        <v>285</v>
      </c>
      <c r="N162" s="40">
        <f>IF(H162&gt;0,IF(I162&gt;0,I162-H162,0),0)</f>
        <v>0</v>
      </c>
      <c r="O162" s="40">
        <f>IF(J162&gt;0,J162-I162,0)</f>
        <v>0</v>
      </c>
      <c r="P162" s="40">
        <f>IF(J162&gt;0,J162-C162,0)</f>
        <v>0</v>
      </c>
    </row>
    <row r="163" spans="2:16" ht="18">
      <c r="B163" s="7" t="s">
        <v>87</v>
      </c>
      <c r="C163" s="20">
        <v>45604</v>
      </c>
      <c r="D163" s="26" t="s">
        <v>525</v>
      </c>
      <c r="E163" s="30" t="s">
        <v>321</v>
      </c>
      <c r="F163" s="6"/>
      <c r="G163" s="8" t="s">
        <v>19</v>
      </c>
      <c r="H163" s="6"/>
      <c r="I163" s="6"/>
      <c r="J163" s="6"/>
      <c r="K163" s="6"/>
      <c r="L163" s="6"/>
      <c r="M163" s="40">
        <f>IF(H163&gt;0,H163-C163,0)</f>
        <v>0</v>
      </c>
      <c r="N163" s="40">
        <f>IF(H163&gt;0,IF(I163&gt;0,I163-H163,0),0)</f>
        <v>0</v>
      </c>
      <c r="O163" s="40">
        <f>IF(J163&gt;0,J163-I163,0)</f>
        <v>0</v>
      </c>
      <c r="P163" s="40">
        <f>IF(J163&gt;0,J163-C163,0)</f>
        <v>0</v>
      </c>
    </row>
    <row r="164" spans="2:16" ht="18">
      <c r="B164" s="7" t="s">
        <v>87</v>
      </c>
      <c r="C164" s="20">
        <v>45611</v>
      </c>
      <c r="D164" s="26" t="s">
        <v>526</v>
      </c>
      <c r="E164" s="30" t="s">
        <v>319</v>
      </c>
      <c r="F164" s="6" t="s">
        <v>527</v>
      </c>
      <c r="G164" s="8" t="s">
        <v>19</v>
      </c>
      <c r="H164" s="6"/>
      <c r="I164" s="6"/>
      <c r="J164" s="6"/>
      <c r="K164" s="6"/>
      <c r="L164" s="6"/>
      <c r="M164" s="40">
        <f>IF(H164&gt;0,H164-C164,0)</f>
        <v>0</v>
      </c>
      <c r="N164" s="40">
        <f>IF(H164&gt;0,IF(I164&gt;0,I164-H164,0),0)</f>
        <v>0</v>
      </c>
      <c r="O164" s="40">
        <f>IF(J164&gt;0,J164-I164,0)</f>
        <v>0</v>
      </c>
      <c r="P164" s="40">
        <f>IF(J164&gt;0,J164-C164,0)</f>
        <v>0</v>
      </c>
    </row>
    <row r="165" spans="2:16" ht="18">
      <c r="B165" s="7" t="s">
        <v>87</v>
      </c>
      <c r="C165" s="20">
        <v>45611</v>
      </c>
      <c r="D165" s="26" t="s">
        <v>528</v>
      </c>
      <c r="E165" s="30" t="s">
        <v>329</v>
      </c>
      <c r="F165" s="6" t="s">
        <v>529</v>
      </c>
      <c r="G165" s="8" t="s">
        <v>16</v>
      </c>
      <c r="H165" s="20">
        <v>45636</v>
      </c>
      <c r="I165" s="6"/>
      <c r="J165" s="6"/>
      <c r="K165" s="6" t="s">
        <v>530</v>
      </c>
      <c r="L165" s="6"/>
      <c r="M165" s="40">
        <f>IF(H165&gt;0,H165-C165,0)</f>
        <v>25</v>
      </c>
      <c r="N165" s="40">
        <f>IF(H165&gt;0,IF(I165&gt;0,I165-H165,0),0)</f>
        <v>0</v>
      </c>
      <c r="O165" s="40">
        <f>IF(J165&gt;0,J165-I165,0)</f>
        <v>0</v>
      </c>
      <c r="P165" s="40">
        <f>IF(J165&gt;0,J165-C165,0)</f>
        <v>0</v>
      </c>
    </row>
    <row r="166" spans="2:16" ht="18">
      <c r="B166" s="7" t="s">
        <v>87</v>
      </c>
      <c r="C166" s="20">
        <v>45611</v>
      </c>
      <c r="D166" s="26" t="s">
        <v>531</v>
      </c>
      <c r="E166" s="30" t="s">
        <v>326</v>
      </c>
      <c r="F166" s="6" t="s">
        <v>532</v>
      </c>
      <c r="G166" s="8" t="s">
        <v>19</v>
      </c>
      <c r="H166" s="6"/>
      <c r="I166" s="6"/>
      <c r="J166" s="6"/>
      <c r="K166" s="6"/>
      <c r="L166" s="6"/>
      <c r="M166" s="40">
        <f>IF(H166&gt;0,H166-C166,0)</f>
        <v>0</v>
      </c>
      <c r="N166" s="40">
        <f>IF(H166&gt;0,IF(I166&gt;0,I166-H166,0),0)</f>
        <v>0</v>
      </c>
      <c r="O166" s="40">
        <f>IF(J166&gt;0,J166-I166,0)</f>
        <v>0</v>
      </c>
      <c r="P166" s="40">
        <f>IF(J166&gt;0,J166-C166,0)</f>
        <v>0</v>
      </c>
    </row>
    <row r="167" spans="2:16" ht="18">
      <c r="B167" s="7" t="s">
        <v>87</v>
      </c>
      <c r="C167" s="20">
        <v>45611</v>
      </c>
      <c r="D167" s="26" t="s">
        <v>533</v>
      </c>
      <c r="E167" s="30" t="s">
        <v>319</v>
      </c>
      <c r="F167" s="6" t="s">
        <v>532</v>
      </c>
      <c r="G167" s="8" t="s">
        <v>19</v>
      </c>
      <c r="H167" s="6"/>
      <c r="I167" s="6"/>
      <c r="J167" s="6"/>
      <c r="K167" s="6"/>
      <c r="L167" s="6"/>
      <c r="M167" s="40">
        <f>IF(H167&gt;0,H167-C167,0)</f>
        <v>0</v>
      </c>
      <c r="N167" s="40">
        <f>IF(H167&gt;0,IF(I167&gt;0,I167-H167,0),0)</f>
        <v>0</v>
      </c>
      <c r="O167" s="40">
        <f>IF(J167&gt;0,J167-I167,0)</f>
        <v>0</v>
      </c>
      <c r="P167" s="40">
        <f>IF(J167&gt;0,J167-C167,0)</f>
        <v>0</v>
      </c>
    </row>
    <row r="168" spans="2:16" ht="18">
      <c r="B168" s="7" t="s">
        <v>87</v>
      </c>
      <c r="C168" s="20">
        <v>45611</v>
      </c>
      <c r="D168" s="26" t="s">
        <v>534</v>
      </c>
      <c r="E168" s="30" t="s">
        <v>329</v>
      </c>
      <c r="F168" s="6" t="s">
        <v>109</v>
      </c>
      <c r="G168" s="8" t="s">
        <v>19</v>
      </c>
      <c r="H168" s="6"/>
      <c r="I168" s="6"/>
      <c r="J168" s="6"/>
      <c r="K168" s="6"/>
      <c r="L168" s="6"/>
      <c r="M168" s="40">
        <f>IF(H168&gt;0,H168-C168,0)</f>
        <v>0</v>
      </c>
      <c r="N168" s="40">
        <f>IF(H168&gt;0,IF(I168&gt;0,I168-H168,0),0)</f>
        <v>0</v>
      </c>
      <c r="O168" s="40">
        <f>IF(J168&gt;0,J168-I168,0)</f>
        <v>0</v>
      </c>
      <c r="P168" s="40">
        <f>IF(J168&gt;0,J168-C168,0)</f>
        <v>0</v>
      </c>
    </row>
    <row r="169" spans="2:16" ht="18">
      <c r="B169" s="7" t="s">
        <v>87</v>
      </c>
      <c r="C169" s="20">
        <v>45618</v>
      </c>
      <c r="D169" s="26" t="s">
        <v>535</v>
      </c>
      <c r="E169" s="30" t="s">
        <v>321</v>
      </c>
      <c r="F169" s="6" t="s">
        <v>103</v>
      </c>
      <c r="G169" s="8" t="s">
        <v>19</v>
      </c>
      <c r="H169" s="6"/>
      <c r="I169" s="6"/>
      <c r="J169" s="6"/>
      <c r="K169" s="6"/>
      <c r="L169" s="6"/>
      <c r="M169" s="40">
        <f>IF(H169&gt;0,H169-C169,0)</f>
        <v>0</v>
      </c>
      <c r="N169" s="40">
        <f>IF(H169&gt;0,IF(I169&gt;0,I169-H169,0),0)</f>
        <v>0</v>
      </c>
      <c r="O169" s="40">
        <f>IF(J169&gt;0,J169-I169,0)</f>
        <v>0</v>
      </c>
      <c r="P169" s="40">
        <f>IF(J169&gt;0,J169-C169,0)</f>
        <v>0</v>
      </c>
    </row>
    <row r="170" spans="2:16" ht="18">
      <c r="B170" s="7" t="s">
        <v>87</v>
      </c>
      <c r="C170" s="20">
        <v>45618</v>
      </c>
      <c r="D170" s="26" t="s">
        <v>536</v>
      </c>
      <c r="E170" s="30" t="s">
        <v>329</v>
      </c>
      <c r="F170" s="6" t="s">
        <v>537</v>
      </c>
      <c r="G170" s="8" t="s">
        <v>19</v>
      </c>
      <c r="H170" s="6"/>
      <c r="I170" s="6"/>
      <c r="J170" s="6"/>
      <c r="K170" s="6"/>
      <c r="L170" s="6"/>
      <c r="M170" s="40">
        <f>IF(H170&gt;0,H170-C170,0)</f>
        <v>0</v>
      </c>
      <c r="N170" s="40">
        <f>IF(H170&gt;0,IF(I170&gt;0,I170-H170,0),0)</f>
        <v>0</v>
      </c>
      <c r="O170" s="40">
        <f>IF(J170&gt;0,J170-I170,0)</f>
        <v>0</v>
      </c>
      <c r="P170" s="40">
        <f>IF(J170&gt;0,J170-C170,0)</f>
        <v>0</v>
      </c>
    </row>
    <row r="171" spans="2:16" ht="18">
      <c r="B171" s="7" t="s">
        <v>87</v>
      </c>
      <c r="C171" s="20">
        <v>45625</v>
      </c>
      <c r="D171" s="26" t="s">
        <v>347</v>
      </c>
      <c r="E171" s="30" t="s">
        <v>329</v>
      </c>
      <c r="F171" s="6" t="s">
        <v>538</v>
      </c>
      <c r="G171" s="8" t="s">
        <v>16</v>
      </c>
      <c r="H171" s="20">
        <v>45636</v>
      </c>
      <c r="I171" s="12">
        <v>45673</v>
      </c>
      <c r="J171" s="12">
        <v>45694</v>
      </c>
      <c r="K171" s="6"/>
      <c r="L171" s="6"/>
      <c r="M171" s="40">
        <f>IF(H171&gt;0,H171-C171,0)</f>
        <v>11</v>
      </c>
      <c r="N171" s="40">
        <f>IF(H171&gt;0,IF(I171&gt;0,I171-H171,0),0)</f>
        <v>37</v>
      </c>
      <c r="O171" s="40">
        <f>IF(J171&gt;0,J171-I171,0)</f>
        <v>21</v>
      </c>
      <c r="P171" s="40">
        <f>IF(J171&gt;0,J171-C171,0)</f>
        <v>69</v>
      </c>
    </row>
    <row r="172" spans="2:16" ht="18">
      <c r="B172" s="7" t="s">
        <v>87</v>
      </c>
      <c r="C172" s="20">
        <v>45625</v>
      </c>
      <c r="D172" s="26" t="s">
        <v>539</v>
      </c>
      <c r="E172" s="30" t="s">
        <v>324</v>
      </c>
      <c r="F172" s="6" t="s">
        <v>103</v>
      </c>
      <c r="G172" s="8" t="s">
        <v>19</v>
      </c>
      <c r="H172" s="6"/>
      <c r="I172" s="6"/>
      <c r="J172" s="6"/>
      <c r="K172" s="6"/>
      <c r="L172" s="6"/>
      <c r="M172" s="40">
        <f>IF(H172&gt;0,H172-C172,0)</f>
        <v>0</v>
      </c>
      <c r="N172" s="40">
        <f>IF(H172&gt;0,IF(I172&gt;0,I172-H172,0),0)</f>
        <v>0</v>
      </c>
      <c r="O172" s="40">
        <f>IF(J172&gt;0,J172-I172,0)</f>
        <v>0</v>
      </c>
      <c r="P172" s="40">
        <f>IF(J172&gt;0,J172-C172,0)</f>
        <v>0</v>
      </c>
    </row>
    <row r="173" spans="2:16" ht="18">
      <c r="B173" s="7" t="s">
        <v>425</v>
      </c>
      <c r="C173" s="20">
        <v>45639</v>
      </c>
      <c r="D173" s="26" t="s">
        <v>540</v>
      </c>
      <c r="E173" s="30" t="s">
        <v>321</v>
      </c>
      <c r="F173" s="6" t="s">
        <v>541</v>
      </c>
      <c r="G173" s="8" t="s">
        <v>16</v>
      </c>
      <c r="H173" s="6"/>
      <c r="I173" s="12">
        <v>45673</v>
      </c>
      <c r="J173" s="12">
        <v>45692</v>
      </c>
      <c r="K173" s="6"/>
      <c r="L173" s="6"/>
      <c r="M173" s="40">
        <f>IF(H173&gt;0,H173-C173,0)</f>
        <v>0</v>
      </c>
      <c r="N173" s="40">
        <f>IF(H173&gt;0,IF(I173&gt;0,I173-H173,0),0)</f>
        <v>0</v>
      </c>
      <c r="O173" s="40">
        <f>IF(J173&gt;0,J173-I173,0)</f>
        <v>19</v>
      </c>
      <c r="P173" s="40">
        <f>IF(J173&gt;0,J173-C173,0)</f>
        <v>53</v>
      </c>
    </row>
    <row r="174" spans="2:16" ht="18">
      <c r="B174" s="7" t="s">
        <v>542</v>
      </c>
      <c r="C174" s="20">
        <v>45674</v>
      </c>
      <c r="D174" s="26" t="s">
        <v>543</v>
      </c>
      <c r="E174" s="30" t="s">
        <v>324</v>
      </c>
      <c r="F174" s="6" t="s">
        <v>101</v>
      </c>
      <c r="G174" s="8" t="s">
        <v>19</v>
      </c>
      <c r="H174" s="6"/>
      <c r="I174" s="6"/>
      <c r="J174" s="6"/>
      <c r="K174" s="6"/>
      <c r="L174" s="6"/>
      <c r="M174" s="40">
        <f>IF(H174&gt;0,H174-C174,0)</f>
        <v>0</v>
      </c>
      <c r="N174" s="40">
        <f>IF(H174&gt;0,IF(I174&gt;0,I174-H174,0),0)</f>
        <v>0</v>
      </c>
      <c r="O174" s="40">
        <f>IF(J174&gt;0,J174-I174,0)</f>
        <v>0</v>
      </c>
      <c r="P174" s="40">
        <f>IF(J174&gt;0,J174-C174,0)</f>
        <v>0</v>
      </c>
    </row>
    <row r="175" spans="2:16" ht="18">
      <c r="B175" s="7" t="s">
        <v>542</v>
      </c>
      <c r="C175" s="20">
        <v>45674</v>
      </c>
      <c r="D175" s="26" t="s">
        <v>544</v>
      </c>
      <c r="E175" s="30" t="s">
        <v>321</v>
      </c>
      <c r="F175" s="6" t="s">
        <v>103</v>
      </c>
      <c r="G175" s="8" t="s">
        <v>19</v>
      </c>
      <c r="H175" s="6"/>
      <c r="I175" s="6"/>
      <c r="J175" s="6"/>
      <c r="K175" s="6"/>
      <c r="L175" s="6"/>
      <c r="M175" s="40">
        <f>IF(H175&gt;0,H175-C175,0)</f>
        <v>0</v>
      </c>
      <c r="N175" s="40">
        <f>IF(H175&gt;0,IF(I175&gt;0,I175-H175,0),0)</f>
        <v>0</v>
      </c>
      <c r="O175" s="40">
        <f>IF(J175&gt;0,J175-I175,0)</f>
        <v>0</v>
      </c>
      <c r="P175" s="40">
        <f>IF(J175&gt;0,J175-C175,0)</f>
        <v>0</v>
      </c>
    </row>
    <row r="176" spans="2:16" ht="18">
      <c r="B176" s="7" t="s">
        <v>542</v>
      </c>
      <c r="C176" s="20">
        <v>45674</v>
      </c>
      <c r="D176" s="26" t="s">
        <v>545</v>
      </c>
      <c r="E176" s="30" t="s">
        <v>324</v>
      </c>
      <c r="F176" s="6" t="s">
        <v>103</v>
      </c>
      <c r="G176" s="8" t="s">
        <v>19</v>
      </c>
      <c r="H176" s="6"/>
      <c r="I176" s="6"/>
      <c r="J176" s="6"/>
      <c r="K176" s="6"/>
      <c r="L176" s="6"/>
      <c r="M176" s="40">
        <f>IF(H176&gt;0,H176-C176,0)</f>
        <v>0</v>
      </c>
      <c r="N176" s="40">
        <f>IF(H176&gt;0,IF(I176&gt;0,I176-H176,0),0)</f>
        <v>0</v>
      </c>
      <c r="O176" s="40">
        <f>IF(J176&gt;0,J176-I176,0)</f>
        <v>0</v>
      </c>
      <c r="P176" s="40">
        <f>IF(J176&gt;0,J176-C176,0)</f>
        <v>0</v>
      </c>
    </row>
    <row r="177" spans="2:16" ht="18">
      <c r="B177" s="7" t="s">
        <v>542</v>
      </c>
      <c r="C177" s="20">
        <v>45674</v>
      </c>
      <c r="D177" s="26" t="s">
        <v>546</v>
      </c>
      <c r="E177" s="30" t="s">
        <v>319</v>
      </c>
      <c r="F177" s="6" t="s">
        <v>109</v>
      </c>
      <c r="G177" s="8" t="s">
        <v>19</v>
      </c>
      <c r="H177" s="6"/>
      <c r="I177" s="6"/>
      <c r="J177" s="6"/>
      <c r="K177" s="6"/>
      <c r="L177" s="6"/>
      <c r="M177" s="40">
        <f>IF(H177&gt;0,H177-C177,0)</f>
        <v>0</v>
      </c>
      <c r="N177" s="40">
        <f>IF(H177&gt;0,IF(I177&gt;0,I177-H177,0),0)</f>
        <v>0</v>
      </c>
      <c r="O177" s="40">
        <f>IF(J177&gt;0,J177-I177,0)</f>
        <v>0</v>
      </c>
      <c r="P177" s="40">
        <f>IF(J177&gt;0,J177-C177,0)</f>
        <v>0</v>
      </c>
    </row>
    <row r="178" spans="2:16" ht="18">
      <c r="B178" s="7" t="s">
        <v>542</v>
      </c>
      <c r="C178" s="20">
        <v>45674</v>
      </c>
      <c r="D178" s="26" t="s">
        <v>547</v>
      </c>
      <c r="E178" s="30" t="s">
        <v>324</v>
      </c>
      <c r="F178" s="6" t="s">
        <v>103</v>
      </c>
      <c r="G178" s="8" t="s">
        <v>19</v>
      </c>
      <c r="H178" s="6"/>
      <c r="I178" s="6"/>
      <c r="J178" s="6"/>
      <c r="K178" s="6"/>
      <c r="L178" s="6"/>
      <c r="M178" s="40">
        <f>IF(H178&gt;0,H178-C178,0)</f>
        <v>0</v>
      </c>
      <c r="N178" s="40">
        <f>IF(H178&gt;0,IF(I178&gt;0,I178-H178,0),0)</f>
        <v>0</v>
      </c>
      <c r="O178" s="40">
        <f>IF(J178&gt;0,J178-I178,0)</f>
        <v>0</v>
      </c>
      <c r="P178" s="40">
        <f>IF(J178&gt;0,J178-C178,0)</f>
        <v>0</v>
      </c>
    </row>
    <row r="179" spans="2:16" ht="18">
      <c r="B179" s="7" t="s">
        <v>542</v>
      </c>
      <c r="C179" s="20">
        <v>45674</v>
      </c>
      <c r="D179" s="26" t="s">
        <v>548</v>
      </c>
      <c r="E179" s="30" t="s">
        <v>321</v>
      </c>
      <c r="F179" s="6" t="s">
        <v>103</v>
      </c>
      <c r="G179" s="8" t="s">
        <v>19</v>
      </c>
      <c r="H179" s="6"/>
      <c r="I179" s="6"/>
      <c r="J179" s="6"/>
      <c r="K179" s="6"/>
      <c r="L179" s="6"/>
      <c r="M179" s="40">
        <f>IF(H179&gt;0,H179-C179,0)</f>
        <v>0</v>
      </c>
      <c r="N179" s="40">
        <f>IF(H179&gt;0,IF(I179&gt;0,I179-H179,0),0)</f>
        <v>0</v>
      </c>
      <c r="O179" s="40">
        <f>IF(J179&gt;0,J179-I179,0)</f>
        <v>0</v>
      </c>
      <c r="P179" s="40">
        <f>IF(J179&gt;0,J179-C179,0)</f>
        <v>0</v>
      </c>
    </row>
    <row r="180" spans="2:16" ht="18">
      <c r="B180" s="7" t="s">
        <v>542</v>
      </c>
      <c r="C180" s="20">
        <v>45674</v>
      </c>
      <c r="D180" s="26" t="s">
        <v>549</v>
      </c>
      <c r="E180" s="30" t="s">
        <v>329</v>
      </c>
      <c r="F180" s="6" t="s">
        <v>103</v>
      </c>
      <c r="G180" s="8" t="s">
        <v>19</v>
      </c>
      <c r="H180" s="6"/>
      <c r="I180" s="6"/>
      <c r="J180" s="6"/>
      <c r="K180" s="6"/>
      <c r="L180" s="6"/>
      <c r="M180" s="40">
        <f>IF(H180&gt;0,H180-C180,0)</f>
        <v>0</v>
      </c>
      <c r="N180" s="40">
        <f>IF(H180&gt;0,IF(I180&gt;0,I180-H180,0),0)</f>
        <v>0</v>
      </c>
      <c r="O180" s="40">
        <f>IF(J180&gt;0,J180-I180,0)</f>
        <v>0</v>
      </c>
      <c r="P180" s="40">
        <f>IF(J180&gt;0,J180-C180,0)</f>
        <v>0</v>
      </c>
    </row>
    <row r="181" spans="2:16" ht="18">
      <c r="B181" s="7" t="s">
        <v>542</v>
      </c>
      <c r="C181" s="20">
        <v>45674</v>
      </c>
      <c r="D181" s="26" t="s">
        <v>550</v>
      </c>
      <c r="E181" s="30" t="s">
        <v>321</v>
      </c>
      <c r="F181" s="6" t="s">
        <v>551</v>
      </c>
      <c r="G181" s="8" t="s">
        <v>16</v>
      </c>
      <c r="H181" s="6"/>
      <c r="I181" s="12">
        <v>45684</v>
      </c>
      <c r="J181" s="12">
        <v>45715</v>
      </c>
      <c r="K181" s="6"/>
      <c r="L181" s="6"/>
      <c r="M181" s="40">
        <f>IF(H181&gt;0,H181-C181,0)</f>
        <v>0</v>
      </c>
      <c r="N181" s="40">
        <f>IF(H181&gt;0,IF(I181&gt;0,I181-H181,0),0)</f>
        <v>0</v>
      </c>
      <c r="O181" s="40">
        <f>IF(J181&gt;0,J181-I181,0)</f>
        <v>31</v>
      </c>
      <c r="P181" s="40">
        <f>IF(J181&gt;0,J181-C181,0)</f>
        <v>41</v>
      </c>
    </row>
    <row r="182" spans="2:16" ht="18">
      <c r="B182" s="7" t="s">
        <v>542</v>
      </c>
      <c r="C182" s="20">
        <v>45674</v>
      </c>
      <c r="D182" s="26" t="s">
        <v>552</v>
      </c>
      <c r="E182" s="30" t="s">
        <v>319</v>
      </c>
      <c r="F182" s="6" t="s">
        <v>551</v>
      </c>
      <c r="G182" s="8" t="s">
        <v>19</v>
      </c>
      <c r="H182" s="6"/>
      <c r="I182" s="6"/>
      <c r="J182" s="6"/>
      <c r="K182" s="6"/>
      <c r="L182" s="6"/>
      <c r="M182" s="40">
        <f>IF(H182&gt;0,H182-C182,0)</f>
        <v>0</v>
      </c>
      <c r="N182" s="40">
        <f>IF(H182&gt;0,IF(I182&gt;0,I182-H182,0),0)</f>
        <v>0</v>
      </c>
      <c r="O182" s="40">
        <f>IF(J182&gt;0,J182-I182,0)</f>
        <v>0</v>
      </c>
      <c r="P182" s="40">
        <f>IF(J182&gt;0,J182-C182,0)</f>
        <v>0</v>
      </c>
    </row>
    <row r="183" spans="2:16" ht="18">
      <c r="B183" s="7" t="s">
        <v>542</v>
      </c>
      <c r="C183" s="20">
        <v>45681</v>
      </c>
      <c r="D183" s="26" t="s">
        <v>553</v>
      </c>
      <c r="E183" s="30" t="s">
        <v>324</v>
      </c>
      <c r="F183" s="6" t="s">
        <v>101</v>
      </c>
      <c r="G183" s="8" t="s">
        <v>16</v>
      </c>
      <c r="H183" s="6"/>
      <c r="I183" s="12">
        <v>45684</v>
      </c>
      <c r="J183" s="12">
        <v>45771</v>
      </c>
      <c r="K183" s="6"/>
      <c r="L183" s="6"/>
      <c r="M183" s="40">
        <f>IF(H183&gt;0,H183-C183,0)</f>
        <v>0</v>
      </c>
      <c r="N183" s="40">
        <f>IF(H183&gt;0,IF(I183&gt;0,I183-H183,0),0)</f>
        <v>0</v>
      </c>
      <c r="O183" s="40">
        <f>IF(J183&gt;0,J183-I183,0)</f>
        <v>87</v>
      </c>
      <c r="P183" s="40">
        <f>IF(J183&gt;0,J183-C183,0)</f>
        <v>90</v>
      </c>
    </row>
    <row r="184" spans="2:16" ht="18">
      <c r="B184" s="7" t="s">
        <v>542</v>
      </c>
      <c r="C184" s="20">
        <v>45688</v>
      </c>
      <c r="D184" s="26" t="s">
        <v>554</v>
      </c>
      <c r="E184" s="30" t="s">
        <v>321</v>
      </c>
      <c r="F184" s="35" t="s">
        <v>181</v>
      </c>
      <c r="G184" s="8" t="s">
        <v>16</v>
      </c>
      <c r="H184" s="6"/>
      <c r="I184" s="12">
        <v>45908</v>
      </c>
      <c r="J184" s="12">
        <v>45950</v>
      </c>
      <c r="K184" s="6"/>
      <c r="L184" s="6"/>
      <c r="M184" s="40">
        <f>IF(H184&gt;0,H184-C184,0)</f>
        <v>0</v>
      </c>
      <c r="N184" s="40">
        <f>IF(H184&gt;0,IF(I184&gt;0,I184-H184,0),0)</f>
        <v>0</v>
      </c>
      <c r="O184" s="40">
        <f>IF(J184&gt;0,J184-I184,0)</f>
        <v>42</v>
      </c>
      <c r="P184" s="40">
        <f>IF(J184&gt;0,J184-C184,0)</f>
        <v>262</v>
      </c>
    </row>
    <row r="185" spans="2:16" ht="18">
      <c r="B185" s="7" t="s">
        <v>542</v>
      </c>
      <c r="C185" s="20">
        <v>45688</v>
      </c>
      <c r="D185" s="26" t="s">
        <v>555</v>
      </c>
      <c r="E185" s="30" t="s">
        <v>326</v>
      </c>
      <c r="F185" s="6" t="s">
        <v>101</v>
      </c>
      <c r="G185" s="8" t="s">
        <v>16</v>
      </c>
      <c r="H185" s="6"/>
      <c r="I185" s="12">
        <v>45768</v>
      </c>
      <c r="J185" s="12">
        <v>45785</v>
      </c>
      <c r="K185" s="6"/>
      <c r="L185" s="6"/>
      <c r="M185" s="40">
        <f>IF(H185&gt;0,H185-C185,0)</f>
        <v>0</v>
      </c>
      <c r="N185" s="40">
        <f>IF(H185&gt;0,IF(I185&gt;0,I185-H185,0),0)</f>
        <v>0</v>
      </c>
      <c r="O185" s="40">
        <f>IF(J185&gt;0,J185-I185,0)</f>
        <v>17</v>
      </c>
      <c r="P185" s="40">
        <f>IF(J185&gt;0,J185-C185,0)</f>
        <v>97</v>
      </c>
    </row>
    <row r="186" spans="2:16" ht="18">
      <c r="B186" s="7" t="s">
        <v>542</v>
      </c>
      <c r="C186" s="20">
        <v>45688</v>
      </c>
      <c r="D186" s="26" t="s">
        <v>556</v>
      </c>
      <c r="E186" s="30" t="s">
        <v>319</v>
      </c>
      <c r="F186" s="6" t="s">
        <v>103</v>
      </c>
      <c r="G186" s="8" t="s">
        <v>19</v>
      </c>
      <c r="H186" s="6"/>
      <c r="I186" s="6"/>
      <c r="J186" s="6"/>
      <c r="K186" s="6"/>
      <c r="L186" s="6"/>
      <c r="M186" s="40">
        <f>IF(H186&gt;0,H186-C186,0)</f>
        <v>0</v>
      </c>
      <c r="N186" s="40">
        <f>IF(H186&gt;0,IF(I186&gt;0,I186-H186,0),0)</f>
        <v>0</v>
      </c>
      <c r="O186" s="40">
        <f>IF(J186&gt;0,J186-I186,0)</f>
        <v>0</v>
      </c>
      <c r="P186" s="40">
        <f>IF(J186&gt;0,J186-C186,0)</f>
        <v>0</v>
      </c>
    </row>
    <row r="187" spans="2:16" ht="18">
      <c r="B187" s="7" t="s">
        <v>542</v>
      </c>
      <c r="C187" s="20">
        <v>45688</v>
      </c>
      <c r="D187" s="26" t="s">
        <v>557</v>
      </c>
      <c r="E187" s="30" t="s">
        <v>319</v>
      </c>
      <c r="F187" s="6" t="s">
        <v>101</v>
      </c>
      <c r="G187" s="8" t="s">
        <v>16</v>
      </c>
      <c r="H187" s="6"/>
      <c r="I187" s="12">
        <v>45691</v>
      </c>
      <c r="J187" s="12">
        <v>45709</v>
      </c>
      <c r="K187" s="6"/>
      <c r="L187" s="6"/>
      <c r="M187" s="40">
        <f>IF(H187&gt;0,H187-C187,0)</f>
        <v>0</v>
      </c>
      <c r="N187" s="40">
        <f>IF(H187&gt;0,IF(I187&gt;0,I187-H187,0),0)</f>
        <v>0</v>
      </c>
      <c r="O187" s="40">
        <f>IF(J187&gt;0,J187-I187,0)</f>
        <v>18</v>
      </c>
      <c r="P187" s="40">
        <f>IF(J187&gt;0,J187-C187,0)</f>
        <v>21</v>
      </c>
    </row>
    <row r="188" spans="2:16" ht="18">
      <c r="B188" s="7" t="s">
        <v>24</v>
      </c>
      <c r="C188" s="20">
        <v>45694</v>
      </c>
      <c r="D188" s="26" t="s">
        <v>558</v>
      </c>
      <c r="E188" s="30" t="s">
        <v>319</v>
      </c>
      <c r="F188" s="6" t="s">
        <v>103</v>
      </c>
      <c r="G188" s="8" t="s">
        <v>16</v>
      </c>
      <c r="H188" s="6"/>
      <c r="I188" s="12">
        <v>45719</v>
      </c>
      <c r="J188" s="12">
        <v>45777</v>
      </c>
      <c r="K188" s="6"/>
      <c r="L188" s="6"/>
      <c r="M188" s="40">
        <f>IF(H188&gt;0,H188-C188,0)</f>
        <v>0</v>
      </c>
      <c r="N188" s="40">
        <f>IF(H188&gt;0,IF(I188&gt;0,I188-H188,0),0)</f>
        <v>0</v>
      </c>
      <c r="O188" s="40">
        <f>IF(J188&gt;0,J188-I188,0)</f>
        <v>58</v>
      </c>
      <c r="P188" s="40">
        <f>IF(J188&gt;0,J188-C188,0)</f>
        <v>83</v>
      </c>
    </row>
    <row r="189" spans="2:16" ht="18">
      <c r="B189" s="7" t="s">
        <v>24</v>
      </c>
      <c r="C189" s="20">
        <v>45702</v>
      </c>
      <c r="D189" s="26" t="s">
        <v>559</v>
      </c>
      <c r="E189" s="30" t="s">
        <v>329</v>
      </c>
      <c r="F189" s="6" t="s">
        <v>103</v>
      </c>
      <c r="G189" s="8" t="s">
        <v>16</v>
      </c>
      <c r="H189" s="6"/>
      <c r="I189" s="12">
        <v>45706</v>
      </c>
      <c r="J189" s="12">
        <v>45726</v>
      </c>
      <c r="K189" s="6"/>
      <c r="L189" s="6"/>
      <c r="M189" s="40">
        <f>IF(H189&gt;0,H189-C189,0)</f>
        <v>0</v>
      </c>
      <c r="N189" s="40">
        <f>IF(H189&gt;0,IF(I189&gt;0,I189-H189,0),0)</f>
        <v>0</v>
      </c>
      <c r="O189" s="40">
        <f>IF(J189&gt;0,J189-I189,0)</f>
        <v>20</v>
      </c>
      <c r="P189" s="40">
        <f>IF(J189&gt;0,J189-C189,0)</f>
        <v>24</v>
      </c>
    </row>
    <row r="190" spans="2:16" ht="18">
      <c r="B190" s="7" t="s">
        <v>24</v>
      </c>
      <c r="C190" s="20">
        <v>45702</v>
      </c>
      <c r="D190" s="26" t="s">
        <v>560</v>
      </c>
      <c r="E190" s="30" t="s">
        <v>329</v>
      </c>
      <c r="F190" s="6" t="s">
        <v>103</v>
      </c>
      <c r="G190" s="8" t="s">
        <v>16</v>
      </c>
      <c r="H190" s="20">
        <v>45709</v>
      </c>
      <c r="I190" s="12">
        <v>45719</v>
      </c>
      <c r="J190" s="12">
        <v>45777</v>
      </c>
      <c r="K190" s="6"/>
      <c r="L190" s="6"/>
      <c r="M190" s="40">
        <f>IF(H190&gt;0,H190-C190,0)</f>
        <v>7</v>
      </c>
      <c r="N190" s="40">
        <f>IF(H190&gt;0,IF(I190&gt;0,I190-H190,0),0)</f>
        <v>10</v>
      </c>
      <c r="O190" s="40">
        <f>IF(J190&gt;0,J190-I190,0)</f>
        <v>58</v>
      </c>
      <c r="P190" s="40">
        <f>IF(J190&gt;0,J190-C190,0)</f>
        <v>75</v>
      </c>
    </row>
    <row r="191" spans="2:16" ht="18">
      <c r="B191" s="7" t="s">
        <v>24</v>
      </c>
      <c r="C191" s="20">
        <v>45702</v>
      </c>
      <c r="D191" s="26" t="s">
        <v>561</v>
      </c>
      <c r="E191" s="30" t="s">
        <v>326</v>
      </c>
      <c r="F191" s="6" t="s">
        <v>101</v>
      </c>
      <c r="G191" s="8" t="s">
        <v>19</v>
      </c>
      <c r="H191" s="6"/>
      <c r="I191" s="6"/>
      <c r="J191" s="6"/>
      <c r="K191" s="6"/>
      <c r="L191" s="6"/>
      <c r="M191" s="40">
        <f>IF(H191&gt;0,H191-C191,0)</f>
        <v>0</v>
      </c>
      <c r="N191" s="40">
        <f>IF(H191&gt;0,IF(I191&gt;0,I191-H191,0),0)</f>
        <v>0</v>
      </c>
      <c r="O191" s="40">
        <f>IF(J191&gt;0,J191-I191,0)</f>
        <v>0</v>
      </c>
      <c r="P191" s="40">
        <f>IF(J191&gt;0,J191-C191,0)</f>
        <v>0</v>
      </c>
    </row>
    <row r="192" spans="2:16" ht="18">
      <c r="B192" s="7" t="s">
        <v>24</v>
      </c>
      <c r="C192" s="20">
        <v>45702</v>
      </c>
      <c r="D192" s="26" t="s">
        <v>562</v>
      </c>
      <c r="E192" s="30" t="s">
        <v>319</v>
      </c>
      <c r="F192" s="6" t="s">
        <v>101</v>
      </c>
      <c r="G192" s="8" t="s">
        <v>19</v>
      </c>
      <c r="H192" s="6"/>
      <c r="I192" s="6"/>
      <c r="J192" s="6"/>
      <c r="K192" s="6"/>
      <c r="L192" s="6"/>
      <c r="M192" s="40">
        <f>IF(H192&gt;0,H192-C192,0)</f>
        <v>0</v>
      </c>
      <c r="N192" s="40">
        <f>IF(H192&gt;0,IF(I192&gt;0,I192-H192,0),0)</f>
        <v>0</v>
      </c>
      <c r="O192" s="40">
        <f>IF(J192&gt;0,J192-I192,0)</f>
        <v>0</v>
      </c>
      <c r="P192" s="40">
        <f>IF(J192&gt;0,J192-C192,0)</f>
        <v>0</v>
      </c>
    </row>
    <row r="193" spans="2:16" ht="18">
      <c r="B193" s="7" t="s">
        <v>24</v>
      </c>
      <c r="C193" s="20">
        <v>45716</v>
      </c>
      <c r="D193" s="26" t="s">
        <v>563</v>
      </c>
      <c r="E193" s="30" t="s">
        <v>321</v>
      </c>
      <c r="F193" s="6" t="s">
        <v>109</v>
      </c>
      <c r="G193" s="8" t="s">
        <v>19</v>
      </c>
      <c r="H193" s="6"/>
      <c r="I193" s="6"/>
      <c r="J193" s="6"/>
      <c r="K193" s="6"/>
      <c r="L193" s="6"/>
      <c r="M193" s="40">
        <f>IF(H193&gt;0,H193-C193,0)</f>
        <v>0</v>
      </c>
      <c r="N193" s="40">
        <f>IF(H193&gt;0,IF(I193&gt;0,I193-H193,0),0)</f>
        <v>0</v>
      </c>
      <c r="O193" s="40">
        <f>IF(J193&gt;0,J193-I193,0)</f>
        <v>0</v>
      </c>
      <c r="P193" s="40">
        <f>IF(J193&gt;0,J193-C193,0)</f>
        <v>0</v>
      </c>
    </row>
    <row r="194" spans="2:16" ht="18">
      <c r="B194" s="7" t="s">
        <v>24</v>
      </c>
      <c r="C194" s="20">
        <v>45716</v>
      </c>
      <c r="D194" s="26" t="s">
        <v>564</v>
      </c>
      <c r="E194" s="30" t="s">
        <v>324</v>
      </c>
      <c r="F194" s="6" t="s">
        <v>565</v>
      </c>
      <c r="G194" s="8" t="s">
        <v>19</v>
      </c>
      <c r="H194" s="6"/>
      <c r="I194" s="6"/>
      <c r="J194" s="6"/>
      <c r="K194" s="6"/>
      <c r="L194" s="6"/>
      <c r="M194" s="40">
        <f>IF(H194&gt;0,H194-C194,0)</f>
        <v>0</v>
      </c>
      <c r="N194" s="40">
        <f>IF(H194&gt;0,IF(I194&gt;0,I194-H194,0),0)</f>
        <v>0</v>
      </c>
      <c r="O194" s="40">
        <f>IF(J194&gt;0,J194-I194,0)</f>
        <v>0</v>
      </c>
      <c r="P194" s="40">
        <f>IF(J194&gt;0,J194-C194,0)</f>
        <v>0</v>
      </c>
    </row>
    <row r="195" spans="2:16" ht="18">
      <c r="B195" s="7" t="s">
        <v>24</v>
      </c>
      <c r="C195" s="20">
        <v>45716</v>
      </c>
      <c r="D195" s="26" t="s">
        <v>566</v>
      </c>
      <c r="E195" s="30" t="s">
        <v>319</v>
      </c>
      <c r="F195" s="6" t="s">
        <v>567</v>
      </c>
      <c r="G195" s="8" t="s">
        <v>16</v>
      </c>
      <c r="H195" s="6"/>
      <c r="I195" s="12">
        <v>45728</v>
      </c>
      <c r="J195" s="6"/>
      <c r="K195" s="6" t="s">
        <v>465</v>
      </c>
      <c r="L195" s="6"/>
      <c r="M195" s="40">
        <f>IF(H195&gt;0,H195-C195,0)</f>
        <v>0</v>
      </c>
      <c r="N195" s="40">
        <f>IF(H195&gt;0,IF(I195&gt;0,I195-H195,0),0)</f>
        <v>0</v>
      </c>
      <c r="O195" s="40">
        <f>IF(J195&gt;0,J195-I195,0)</f>
        <v>0</v>
      </c>
      <c r="P195" s="40">
        <f>IF(J195&gt;0,J195-C195,0)</f>
        <v>0</v>
      </c>
    </row>
    <row r="196" spans="2:16" ht="18">
      <c r="B196" s="7" t="s">
        <v>568</v>
      </c>
      <c r="C196" s="20">
        <v>45722</v>
      </c>
      <c r="D196" s="26" t="s">
        <v>569</v>
      </c>
      <c r="E196" s="30" t="s">
        <v>329</v>
      </c>
      <c r="F196" s="6" t="s">
        <v>109</v>
      </c>
      <c r="G196" s="8" t="s">
        <v>19</v>
      </c>
      <c r="H196" s="6"/>
      <c r="I196" s="6"/>
      <c r="J196" s="6"/>
      <c r="K196" s="6"/>
      <c r="L196" s="6"/>
      <c r="M196" s="40">
        <f>IF(H196&gt;0,H196-C196,0)</f>
        <v>0</v>
      </c>
      <c r="N196" s="40">
        <f>IF(H196&gt;0,IF(I196&gt;0,I196-H196,0),0)</f>
        <v>0</v>
      </c>
      <c r="O196" s="40">
        <f>IF(J196&gt;0,J196-I196,0)</f>
        <v>0</v>
      </c>
      <c r="P196" s="40">
        <f>IF(J196&gt;0,J196-C196,0)</f>
        <v>0</v>
      </c>
    </row>
    <row r="197" spans="2:16" ht="18">
      <c r="B197" s="7" t="s">
        <v>34</v>
      </c>
      <c r="C197" s="20">
        <v>45730</v>
      </c>
      <c r="D197" s="26" t="s">
        <v>570</v>
      </c>
      <c r="E197" s="30" t="s">
        <v>321</v>
      </c>
      <c r="F197" s="6" t="s">
        <v>109</v>
      </c>
      <c r="G197" s="8" t="s">
        <v>16</v>
      </c>
      <c r="H197" s="6"/>
      <c r="I197" s="12">
        <v>45747</v>
      </c>
      <c r="J197" s="12">
        <v>45863</v>
      </c>
      <c r="K197" s="6" t="s">
        <v>571</v>
      </c>
      <c r="L197" s="6"/>
      <c r="M197" s="40">
        <f>IF(H197&gt;0,H197-C197,0)</f>
        <v>0</v>
      </c>
      <c r="N197" s="40">
        <f>IF(H197&gt;0,IF(I197&gt;0,I197-H197,0),0)</f>
        <v>0</v>
      </c>
      <c r="O197" s="40">
        <f>IF(J197&gt;0,J197-I197,0)</f>
        <v>116</v>
      </c>
      <c r="P197" s="40">
        <f>IF(J197&gt;0,J197-C197,0)</f>
        <v>133</v>
      </c>
    </row>
    <row r="198" spans="2:16" ht="18.75">
      <c r="B198" s="14" t="s">
        <v>34</v>
      </c>
      <c r="C198" s="240">
        <v>45744</v>
      </c>
      <c r="D198" s="241" t="s">
        <v>572</v>
      </c>
      <c r="E198" s="242" t="s">
        <v>329</v>
      </c>
      <c r="F198" s="17" t="s">
        <v>573</v>
      </c>
      <c r="G198" s="18" t="s">
        <v>19</v>
      </c>
      <c r="H198" s="17"/>
      <c r="I198" s="19"/>
      <c r="J198" s="17"/>
      <c r="K198" s="17" t="s">
        <v>574</v>
      </c>
      <c r="L198" s="6"/>
      <c r="M198" s="40">
        <f>IF(H198&gt;0,H198-C198,0)</f>
        <v>0</v>
      </c>
      <c r="N198" s="40">
        <f>IF(H198&gt;0,IF(I198&gt;0,I198-H198,0),0)</f>
        <v>0</v>
      </c>
      <c r="O198" s="40">
        <f>IF(J198&gt;0,J198-I198,0)</f>
        <v>0</v>
      </c>
      <c r="P198" s="40">
        <f>IF(J198&gt;0,J198-C198,0)</f>
        <v>0</v>
      </c>
    </row>
    <row r="199" spans="2:16" ht="18">
      <c r="B199" s="7" t="s">
        <v>34</v>
      </c>
      <c r="C199" s="20">
        <v>45744</v>
      </c>
      <c r="D199" s="26" t="s">
        <v>575</v>
      </c>
      <c r="E199" s="30" t="s">
        <v>319</v>
      </c>
      <c r="F199" s="6" t="s">
        <v>103</v>
      </c>
      <c r="G199" s="8" t="s">
        <v>19</v>
      </c>
      <c r="H199" s="6"/>
      <c r="I199" s="12"/>
      <c r="J199" s="6"/>
      <c r="K199" s="6"/>
      <c r="L199" s="6"/>
      <c r="M199" s="40">
        <f>IF(H199&gt;0,H199-C199,0)</f>
        <v>0</v>
      </c>
      <c r="N199" s="40">
        <f>IF(H199&gt;0,IF(I199&gt;0,I199-H199,0),0)</f>
        <v>0</v>
      </c>
      <c r="O199" s="40">
        <f>IF(J199&gt;0,J199-I199,0)</f>
        <v>0</v>
      </c>
      <c r="P199" s="40">
        <f>IF(J199&gt;0,J199-C199,0)</f>
        <v>0</v>
      </c>
    </row>
    <row r="200" spans="2:16" ht="18">
      <c r="B200" s="27" t="s">
        <v>34</v>
      </c>
      <c r="C200" s="98">
        <v>45744</v>
      </c>
      <c r="D200" s="95" t="s">
        <v>576</v>
      </c>
      <c r="E200" s="162" t="s">
        <v>326</v>
      </c>
      <c r="F200" s="29" t="s">
        <v>109</v>
      </c>
      <c r="G200" s="97" t="s">
        <v>19</v>
      </c>
      <c r="H200" s="29"/>
      <c r="I200" s="62"/>
      <c r="J200" s="29"/>
      <c r="K200" s="29"/>
      <c r="L200" s="29"/>
      <c r="M200" s="40">
        <f>IF(H200&gt;0,H200-C200,0)</f>
        <v>0</v>
      </c>
      <c r="N200" s="40">
        <f>IF(H200&gt;0,IF(I200&gt;0,I200-H200,0),0)</f>
        <v>0</v>
      </c>
      <c r="O200" s="40">
        <f>IF(J200&gt;0,J200-I200,0)</f>
        <v>0</v>
      </c>
      <c r="P200" s="40">
        <f>IF(J200&gt;0,J200-C200,0)</f>
        <v>0</v>
      </c>
    </row>
    <row r="201" spans="2:16" ht="18.75">
      <c r="B201" s="148" t="s">
        <v>38</v>
      </c>
      <c r="C201" s="157">
        <v>45756</v>
      </c>
      <c r="D201" s="158" t="s">
        <v>577</v>
      </c>
      <c r="E201" s="159" t="s">
        <v>326</v>
      </c>
      <c r="F201" s="160" t="s">
        <v>116</v>
      </c>
      <c r="G201" s="161" t="s">
        <v>19</v>
      </c>
      <c r="H201" s="160"/>
      <c r="I201" s="160"/>
      <c r="J201" s="160"/>
      <c r="K201" s="160" t="s">
        <v>578</v>
      </c>
      <c r="L201" s="160"/>
      <c r="M201" s="160"/>
    </row>
    <row r="202" spans="2:16" ht="18.75">
      <c r="B202" s="148" t="s">
        <v>38</v>
      </c>
      <c r="C202" s="157">
        <v>45758</v>
      </c>
      <c r="D202" s="158" t="s">
        <v>579</v>
      </c>
      <c r="E202" s="159" t="s">
        <v>326</v>
      </c>
      <c r="F202" s="160" t="s">
        <v>103</v>
      </c>
      <c r="G202" s="161" t="s">
        <v>19</v>
      </c>
      <c r="H202" s="160"/>
      <c r="I202" s="163"/>
      <c r="J202" s="160"/>
      <c r="K202" s="160"/>
      <c r="L202" s="160"/>
      <c r="M202" s="160"/>
    </row>
    <row r="203" spans="2:16" ht="18.75">
      <c r="B203" s="148" t="s">
        <v>38</v>
      </c>
      <c r="C203" s="157">
        <v>45758</v>
      </c>
      <c r="D203" s="158" t="s">
        <v>580</v>
      </c>
      <c r="E203" s="159" t="s">
        <v>324</v>
      </c>
      <c r="F203" s="160" t="s">
        <v>296</v>
      </c>
      <c r="G203" s="161" t="s">
        <v>16</v>
      </c>
      <c r="H203" s="160"/>
      <c r="I203" s="163">
        <v>45789</v>
      </c>
      <c r="J203" s="163">
        <v>45804</v>
      </c>
      <c r="K203" s="160" t="s">
        <v>581</v>
      </c>
      <c r="L203" s="160"/>
      <c r="M203" s="160"/>
    </row>
    <row r="204" spans="2:16" ht="18.75">
      <c r="B204" s="148" t="s">
        <v>38</v>
      </c>
      <c r="C204" s="157">
        <v>45758</v>
      </c>
      <c r="D204" s="158" t="s">
        <v>582</v>
      </c>
      <c r="E204" s="159" t="s">
        <v>329</v>
      </c>
      <c r="F204" s="160" t="s">
        <v>103</v>
      </c>
      <c r="G204" s="161" t="s">
        <v>16</v>
      </c>
      <c r="H204" s="157">
        <v>45775</v>
      </c>
      <c r="I204" s="160"/>
      <c r="J204" s="160"/>
      <c r="K204" s="160" t="s">
        <v>583</v>
      </c>
      <c r="L204" s="160"/>
      <c r="M204" s="160"/>
    </row>
    <row r="205" spans="2:16" ht="18.75">
      <c r="B205" s="148" t="s">
        <v>38</v>
      </c>
      <c r="C205" s="157">
        <v>45758</v>
      </c>
      <c r="D205" s="158" t="s">
        <v>584</v>
      </c>
      <c r="E205" s="159" t="s">
        <v>321</v>
      </c>
      <c r="F205" s="160" t="s">
        <v>103</v>
      </c>
      <c r="G205" s="161" t="s">
        <v>16</v>
      </c>
      <c r="H205" s="160"/>
      <c r="I205" s="163">
        <v>45846</v>
      </c>
      <c r="J205" s="163">
        <v>45890</v>
      </c>
      <c r="K205" s="160"/>
      <c r="L205" s="160"/>
      <c r="M205" s="160"/>
    </row>
    <row r="206" spans="2:16" ht="18.75">
      <c r="B206" s="148" t="s">
        <v>38</v>
      </c>
      <c r="C206" s="157">
        <v>45758</v>
      </c>
      <c r="D206" s="158" t="s">
        <v>585</v>
      </c>
      <c r="E206" s="159" t="s">
        <v>329</v>
      </c>
      <c r="F206" s="160" t="s">
        <v>586</v>
      </c>
      <c r="G206" s="161" t="s">
        <v>19</v>
      </c>
      <c r="H206" s="160"/>
      <c r="I206" s="160"/>
      <c r="J206" s="160"/>
      <c r="K206" s="160" t="s">
        <v>587</v>
      </c>
      <c r="L206" s="160"/>
      <c r="M206" s="160"/>
    </row>
    <row r="207" spans="2:16" ht="18.75">
      <c r="B207" s="148" t="s">
        <v>38</v>
      </c>
      <c r="C207" s="157">
        <v>45758</v>
      </c>
      <c r="D207" s="158" t="s">
        <v>588</v>
      </c>
      <c r="E207" s="159" t="s">
        <v>326</v>
      </c>
      <c r="F207" s="160" t="s">
        <v>586</v>
      </c>
      <c r="G207" s="161" t="s">
        <v>19</v>
      </c>
      <c r="H207" s="160"/>
      <c r="I207" s="160"/>
      <c r="J207" s="160"/>
      <c r="K207" s="160"/>
      <c r="L207" s="160"/>
      <c r="M207" s="160"/>
    </row>
    <row r="208" spans="2:16" ht="18.75">
      <c r="B208" s="148" t="s">
        <v>38</v>
      </c>
      <c r="C208" s="157">
        <v>45772</v>
      </c>
      <c r="D208" s="158" t="s">
        <v>589</v>
      </c>
      <c r="E208" s="159" t="s">
        <v>329</v>
      </c>
      <c r="F208" s="160" t="s">
        <v>103</v>
      </c>
      <c r="G208" s="161" t="s">
        <v>19</v>
      </c>
      <c r="H208" s="160"/>
      <c r="I208" s="160"/>
      <c r="J208" s="160"/>
      <c r="K208" s="160"/>
      <c r="L208" s="160"/>
      <c r="M208" s="160"/>
    </row>
    <row r="209" spans="2:13" ht="18.75">
      <c r="B209" s="148" t="s">
        <v>38</v>
      </c>
      <c r="C209" s="157">
        <v>45772</v>
      </c>
      <c r="D209" s="158" t="s">
        <v>590</v>
      </c>
      <c r="E209" s="159" t="s">
        <v>319</v>
      </c>
      <c r="F209" s="160" t="s">
        <v>591</v>
      </c>
      <c r="G209" s="161" t="s">
        <v>19</v>
      </c>
      <c r="H209" s="160"/>
      <c r="I209" s="160"/>
      <c r="J209" s="160"/>
      <c r="K209" s="160"/>
      <c r="L209" s="160"/>
      <c r="M209" s="160"/>
    </row>
    <row r="210" spans="2:13" ht="18.75">
      <c r="B210" s="148" t="s">
        <v>38</v>
      </c>
      <c r="C210" s="157">
        <v>45772</v>
      </c>
      <c r="D210" s="158" t="s">
        <v>592</v>
      </c>
      <c r="E210" s="159" t="s">
        <v>326</v>
      </c>
      <c r="F210" s="160" t="s">
        <v>591</v>
      </c>
      <c r="G210" s="161" t="s">
        <v>19</v>
      </c>
      <c r="H210" s="160"/>
      <c r="I210" s="160"/>
      <c r="J210" s="160"/>
      <c r="K210" s="160"/>
      <c r="L210" s="160"/>
      <c r="M210" s="160"/>
    </row>
    <row r="211" spans="2:13" ht="18.75">
      <c r="B211" s="148" t="s">
        <v>38</v>
      </c>
      <c r="C211" s="157">
        <v>45772</v>
      </c>
      <c r="D211" s="158" t="s">
        <v>593</v>
      </c>
      <c r="E211" s="159" t="s">
        <v>329</v>
      </c>
      <c r="F211" s="160" t="s">
        <v>103</v>
      </c>
      <c r="G211" s="161" t="s">
        <v>19</v>
      </c>
      <c r="H211" s="160"/>
      <c r="I211" s="160"/>
      <c r="J211" s="160"/>
      <c r="K211" s="160"/>
      <c r="L211" s="160"/>
      <c r="M211" s="160"/>
    </row>
    <row r="212" spans="2:13" ht="18.75">
      <c r="B212" s="148" t="s">
        <v>38</v>
      </c>
      <c r="C212" s="157">
        <v>45772</v>
      </c>
      <c r="D212" s="158" t="s">
        <v>594</v>
      </c>
      <c r="E212" s="159" t="s">
        <v>321</v>
      </c>
      <c r="F212" s="160" t="s">
        <v>103</v>
      </c>
      <c r="G212" s="161" t="s">
        <v>19</v>
      </c>
      <c r="H212" s="160"/>
      <c r="I212" s="160"/>
      <c r="J212" s="160"/>
      <c r="K212" s="160"/>
      <c r="L212" s="160"/>
      <c r="M212" s="160"/>
    </row>
    <row r="213" spans="2:13" ht="18.75">
      <c r="B213" s="148" t="s">
        <v>38</v>
      </c>
      <c r="C213" s="157">
        <v>45772</v>
      </c>
      <c r="D213" s="158" t="s">
        <v>595</v>
      </c>
      <c r="E213" s="159" t="s">
        <v>326</v>
      </c>
      <c r="F213" s="160" t="s">
        <v>103</v>
      </c>
      <c r="G213" s="161" t="s">
        <v>16</v>
      </c>
      <c r="H213" s="160"/>
      <c r="I213" s="163">
        <v>45873</v>
      </c>
      <c r="J213" s="160"/>
      <c r="K213" s="160" t="s">
        <v>596</v>
      </c>
      <c r="L213" s="160"/>
      <c r="M213" s="160"/>
    </row>
    <row r="214" spans="2:13" ht="18.75">
      <c r="B214" s="152" t="s">
        <v>38</v>
      </c>
      <c r="C214" s="165">
        <v>45777</v>
      </c>
      <c r="D214" s="166" t="s">
        <v>597</v>
      </c>
      <c r="E214" s="170" t="s">
        <v>326</v>
      </c>
      <c r="F214" s="168" t="s">
        <v>196</v>
      </c>
      <c r="G214" s="169" t="s">
        <v>19</v>
      </c>
      <c r="H214" s="168"/>
      <c r="I214" s="168"/>
      <c r="J214" s="168"/>
      <c r="K214" s="168" t="s">
        <v>598</v>
      </c>
      <c r="L214" s="168"/>
      <c r="M214" s="168"/>
    </row>
    <row r="215" spans="2:13" ht="18.75">
      <c r="B215" s="148" t="s">
        <v>599</v>
      </c>
      <c r="C215" s="157">
        <v>45786</v>
      </c>
      <c r="D215" s="158" t="s">
        <v>600</v>
      </c>
      <c r="E215" s="159" t="s">
        <v>324</v>
      </c>
      <c r="F215" s="160" t="s">
        <v>601</v>
      </c>
      <c r="G215" s="161" t="s">
        <v>19</v>
      </c>
      <c r="H215" s="160"/>
      <c r="I215" s="160"/>
      <c r="J215" s="160"/>
      <c r="K215" s="160" t="s">
        <v>602</v>
      </c>
      <c r="L215" s="160"/>
      <c r="M215" s="160"/>
    </row>
    <row r="216" spans="2:13" ht="18.75">
      <c r="B216" s="148" t="s">
        <v>599</v>
      </c>
      <c r="C216" s="157">
        <v>45786</v>
      </c>
      <c r="D216" s="158" t="s">
        <v>603</v>
      </c>
      <c r="E216" s="159" t="s">
        <v>319</v>
      </c>
      <c r="F216" s="160" t="s">
        <v>101</v>
      </c>
      <c r="G216" s="161" t="s">
        <v>19</v>
      </c>
      <c r="H216" s="160"/>
      <c r="I216" s="160"/>
      <c r="J216" s="160"/>
      <c r="K216" s="160"/>
      <c r="L216" s="160"/>
      <c r="M216" s="160"/>
    </row>
    <row r="217" spans="2:13" ht="18.75">
      <c r="B217" s="148" t="s">
        <v>599</v>
      </c>
      <c r="C217" s="157">
        <v>45786</v>
      </c>
      <c r="D217" s="158" t="s">
        <v>604</v>
      </c>
      <c r="E217" s="159" t="s">
        <v>319</v>
      </c>
      <c r="F217" s="160" t="s">
        <v>601</v>
      </c>
      <c r="G217" s="161" t="s">
        <v>19</v>
      </c>
      <c r="H217" s="160"/>
      <c r="I217" s="160"/>
      <c r="J217" s="160"/>
      <c r="K217" s="160"/>
      <c r="L217" s="160"/>
      <c r="M217" s="160"/>
    </row>
    <row r="218" spans="2:13" ht="18.75">
      <c r="B218" s="148" t="s">
        <v>599</v>
      </c>
      <c r="C218" s="157">
        <v>45800</v>
      </c>
      <c r="D218" s="158" t="s">
        <v>605</v>
      </c>
      <c r="E218" s="159" t="s">
        <v>326</v>
      </c>
      <c r="F218" s="160" t="s">
        <v>175</v>
      </c>
      <c r="G218" s="161" t="s">
        <v>19</v>
      </c>
      <c r="H218" s="160"/>
      <c r="I218" s="160"/>
      <c r="J218" s="160"/>
      <c r="K218" s="160" t="s">
        <v>606</v>
      </c>
      <c r="L218" s="160"/>
      <c r="M218" s="160"/>
    </row>
    <row r="219" spans="2:13" ht="18.75">
      <c r="B219" s="148" t="s">
        <v>599</v>
      </c>
      <c r="C219" s="157">
        <v>45800</v>
      </c>
      <c r="D219" s="158" t="s">
        <v>607</v>
      </c>
      <c r="E219" s="159" t="s">
        <v>326</v>
      </c>
      <c r="F219" s="160" t="s">
        <v>608</v>
      </c>
      <c r="G219" s="161" t="s">
        <v>19</v>
      </c>
      <c r="H219" s="160"/>
      <c r="I219" s="160"/>
      <c r="J219" s="160"/>
      <c r="K219" s="160"/>
      <c r="L219" s="160"/>
      <c r="M219" s="160"/>
    </row>
    <row r="220" spans="2:13" ht="18.75">
      <c r="B220" s="148" t="s">
        <v>599</v>
      </c>
      <c r="C220" s="157">
        <v>45800</v>
      </c>
      <c r="D220" s="158" t="s">
        <v>609</v>
      </c>
      <c r="E220" s="159" t="s">
        <v>326</v>
      </c>
      <c r="F220" s="160" t="s">
        <v>610</v>
      </c>
      <c r="G220" s="161" t="s">
        <v>19</v>
      </c>
      <c r="H220" s="160"/>
      <c r="I220" s="160"/>
      <c r="J220" s="160"/>
      <c r="K220" s="160"/>
      <c r="L220" s="160"/>
      <c r="M220" s="160"/>
    </row>
    <row r="221" spans="2:13" ht="18.75">
      <c r="B221" s="148" t="s">
        <v>599</v>
      </c>
      <c r="C221" s="157">
        <v>45800</v>
      </c>
      <c r="D221" s="158" t="s">
        <v>611</v>
      </c>
      <c r="E221" s="159" t="s">
        <v>324</v>
      </c>
      <c r="F221" s="160" t="s">
        <v>612</v>
      </c>
      <c r="G221" s="161" t="s">
        <v>16</v>
      </c>
      <c r="H221" s="160"/>
      <c r="I221" s="163">
        <v>45804</v>
      </c>
      <c r="J221" s="163">
        <v>45825</v>
      </c>
      <c r="K221" s="160" t="s">
        <v>613</v>
      </c>
      <c r="L221" s="160"/>
      <c r="M221" s="160"/>
    </row>
    <row r="222" spans="2:13" ht="18.75">
      <c r="B222" s="148" t="s">
        <v>599</v>
      </c>
      <c r="C222" s="157">
        <v>45800</v>
      </c>
      <c r="D222" s="158" t="s">
        <v>614</v>
      </c>
      <c r="E222" s="159" t="s">
        <v>324</v>
      </c>
      <c r="F222" s="160" t="s">
        <v>109</v>
      </c>
      <c r="G222" s="161" t="s">
        <v>19</v>
      </c>
      <c r="H222" s="160"/>
      <c r="I222" s="160"/>
      <c r="J222" s="160"/>
      <c r="K222" s="160"/>
      <c r="L222" s="160"/>
      <c r="M222" s="160"/>
    </row>
    <row r="223" spans="2:13" ht="18.75">
      <c r="B223" s="152" t="s">
        <v>599</v>
      </c>
      <c r="C223" s="165">
        <v>45800</v>
      </c>
      <c r="D223" s="166" t="s">
        <v>615</v>
      </c>
      <c r="E223" s="170" t="s">
        <v>321</v>
      </c>
      <c r="F223" s="168" t="s">
        <v>109</v>
      </c>
      <c r="G223" s="169" t="s">
        <v>19</v>
      </c>
      <c r="H223" s="168"/>
      <c r="I223" s="168"/>
      <c r="J223" s="168"/>
      <c r="K223" s="168"/>
      <c r="L223" s="168"/>
      <c r="M223" s="168"/>
    </row>
    <row r="224" spans="2:13" ht="18.75">
      <c r="B224" s="148" t="s">
        <v>599</v>
      </c>
      <c r="C224" s="157">
        <v>45800</v>
      </c>
      <c r="D224" s="158" t="s">
        <v>616</v>
      </c>
      <c r="E224" s="159" t="s">
        <v>324</v>
      </c>
      <c r="F224" s="160" t="s">
        <v>175</v>
      </c>
      <c r="G224" s="161" t="s">
        <v>16</v>
      </c>
      <c r="H224" s="160"/>
      <c r="I224" s="163">
        <v>45845</v>
      </c>
      <c r="J224" s="163">
        <v>45859</v>
      </c>
      <c r="K224" s="160"/>
      <c r="L224" s="160"/>
      <c r="M224" s="160"/>
    </row>
    <row r="225" spans="2:13" ht="18.75">
      <c r="B225" s="148" t="s">
        <v>599</v>
      </c>
      <c r="C225" s="157">
        <v>45800</v>
      </c>
      <c r="D225" s="158" t="s">
        <v>406</v>
      </c>
      <c r="E225" s="159" t="s">
        <v>329</v>
      </c>
      <c r="F225" s="160"/>
      <c r="G225" s="161" t="s">
        <v>19</v>
      </c>
      <c r="H225" s="160"/>
      <c r="I225" s="160"/>
      <c r="J225" s="160"/>
      <c r="K225" s="160" t="s">
        <v>617</v>
      </c>
      <c r="L225" s="160"/>
      <c r="M225" s="160"/>
    </row>
    <row r="226" spans="2:13" ht="18.75">
      <c r="B226" s="148" t="s">
        <v>599</v>
      </c>
      <c r="C226" s="157">
        <v>45800</v>
      </c>
      <c r="D226" s="158" t="s">
        <v>618</v>
      </c>
      <c r="E226" s="159" t="s">
        <v>326</v>
      </c>
      <c r="F226" s="160"/>
      <c r="G226" s="161" t="s">
        <v>19</v>
      </c>
      <c r="H226" s="160"/>
      <c r="I226" s="160"/>
      <c r="J226" s="160"/>
      <c r="K226" s="160" t="s">
        <v>617</v>
      </c>
      <c r="L226" s="160"/>
      <c r="M226" s="160"/>
    </row>
    <row r="227" spans="2:13" ht="18.75">
      <c r="B227" s="152" t="s">
        <v>599</v>
      </c>
      <c r="C227" s="165">
        <v>45803</v>
      </c>
      <c r="D227" s="166" t="s">
        <v>619</v>
      </c>
      <c r="E227" s="170" t="s">
        <v>321</v>
      </c>
      <c r="F227" s="168"/>
      <c r="G227" s="169" t="s">
        <v>19</v>
      </c>
      <c r="H227" s="168"/>
      <c r="I227" s="168"/>
      <c r="J227" s="168"/>
      <c r="K227" s="168" t="s">
        <v>276</v>
      </c>
      <c r="L227" s="168"/>
      <c r="M227" s="168"/>
    </row>
    <row r="228" spans="2:13" ht="18.75">
      <c r="B228" s="148" t="s">
        <v>599</v>
      </c>
      <c r="C228" s="157">
        <v>45807</v>
      </c>
      <c r="D228" s="158" t="s">
        <v>620</v>
      </c>
      <c r="E228" s="159" t="s">
        <v>321</v>
      </c>
      <c r="F228" s="160" t="s">
        <v>621</v>
      </c>
      <c r="G228" s="161" t="s">
        <v>19</v>
      </c>
      <c r="H228" s="160"/>
      <c r="I228" s="160"/>
      <c r="J228" s="160"/>
      <c r="K228" s="160" t="s">
        <v>622</v>
      </c>
      <c r="L228" s="160"/>
      <c r="M228" s="160"/>
    </row>
    <row r="229" spans="2:13" ht="18.75">
      <c r="B229" s="148" t="s">
        <v>599</v>
      </c>
      <c r="C229" s="157">
        <v>45807</v>
      </c>
      <c r="D229" s="158" t="s">
        <v>623</v>
      </c>
      <c r="E229" s="159" t="s">
        <v>321</v>
      </c>
      <c r="F229" s="160" t="s">
        <v>624</v>
      </c>
      <c r="G229" s="161" t="s">
        <v>16</v>
      </c>
      <c r="I229" s="157">
        <v>45979</v>
      </c>
      <c r="J229" s="163">
        <v>46036</v>
      </c>
      <c r="K229" s="160"/>
      <c r="L229" s="160"/>
      <c r="M229" s="160"/>
    </row>
    <row r="230" spans="2:13" ht="18.75">
      <c r="B230" s="148" t="s">
        <v>625</v>
      </c>
      <c r="C230" s="157">
        <v>45812</v>
      </c>
      <c r="D230" s="158" t="s">
        <v>626</v>
      </c>
      <c r="E230" s="159" t="s">
        <v>326</v>
      </c>
      <c r="F230" s="160" t="s">
        <v>627</v>
      </c>
      <c r="G230" s="161" t="s">
        <v>16</v>
      </c>
      <c r="H230" s="160"/>
      <c r="I230" s="163">
        <v>45845</v>
      </c>
      <c r="J230" s="160"/>
      <c r="K230" s="160" t="s">
        <v>465</v>
      </c>
      <c r="L230" s="160"/>
      <c r="M230" s="160"/>
    </row>
    <row r="231" spans="2:13" ht="18.75">
      <c r="B231" s="148" t="s">
        <v>625</v>
      </c>
      <c r="C231" s="157">
        <v>45819</v>
      </c>
      <c r="D231" s="158" t="s">
        <v>628</v>
      </c>
      <c r="E231" s="159" t="s">
        <v>321</v>
      </c>
      <c r="F231" s="160" t="s">
        <v>109</v>
      </c>
      <c r="G231" s="161" t="s">
        <v>16</v>
      </c>
      <c r="H231" s="160"/>
      <c r="I231" s="163">
        <v>45866</v>
      </c>
      <c r="J231" s="160"/>
      <c r="K231" s="160" t="s">
        <v>629</v>
      </c>
      <c r="L231" s="160"/>
      <c r="M231" s="160"/>
    </row>
    <row r="232" spans="2:13" ht="18.75">
      <c r="B232" s="152" t="s">
        <v>625</v>
      </c>
      <c r="C232" s="165">
        <v>45828</v>
      </c>
      <c r="D232" s="166" t="s">
        <v>630</v>
      </c>
      <c r="E232" s="170" t="s">
        <v>324</v>
      </c>
      <c r="F232" s="168" t="s">
        <v>101</v>
      </c>
      <c r="G232" s="169" t="s">
        <v>19</v>
      </c>
      <c r="H232" s="168"/>
      <c r="I232" s="168"/>
      <c r="J232" s="168"/>
      <c r="K232" s="168"/>
      <c r="L232" s="168"/>
      <c r="M232" s="168"/>
    </row>
    <row r="233" spans="2:13" ht="18.75">
      <c r="B233" s="152" t="s">
        <v>625</v>
      </c>
      <c r="C233" s="165">
        <v>45828</v>
      </c>
      <c r="D233" s="166" t="s">
        <v>631</v>
      </c>
      <c r="E233" s="170" t="s">
        <v>324</v>
      </c>
      <c r="F233" s="168" t="s">
        <v>632</v>
      </c>
      <c r="G233" s="169" t="s">
        <v>19</v>
      </c>
      <c r="H233" s="168"/>
      <c r="I233" s="168"/>
      <c r="J233" s="168"/>
      <c r="K233" s="168"/>
      <c r="L233" s="168"/>
      <c r="M233" s="168"/>
    </row>
    <row r="234" spans="2:13" ht="18.75">
      <c r="B234" s="148" t="s">
        <v>625</v>
      </c>
      <c r="C234" s="157">
        <v>45828</v>
      </c>
      <c r="D234" s="158" t="s">
        <v>633</v>
      </c>
      <c r="E234" s="159" t="s">
        <v>319</v>
      </c>
      <c r="F234" s="160" t="s">
        <v>634</v>
      </c>
      <c r="G234" s="161" t="s">
        <v>19</v>
      </c>
      <c r="H234" s="160"/>
      <c r="I234" s="160"/>
      <c r="J234" s="160"/>
      <c r="K234" s="160"/>
      <c r="L234" s="160"/>
      <c r="M234" s="160"/>
    </row>
    <row r="235" spans="2:13" ht="18.75">
      <c r="B235" s="148" t="s">
        <v>625</v>
      </c>
      <c r="C235" s="157">
        <v>45828</v>
      </c>
      <c r="D235" s="158" t="s">
        <v>635</v>
      </c>
      <c r="E235" s="159" t="s">
        <v>319</v>
      </c>
      <c r="F235" s="160" t="s">
        <v>101</v>
      </c>
      <c r="G235" s="161" t="s">
        <v>19</v>
      </c>
      <c r="H235" s="160"/>
      <c r="I235" s="160"/>
      <c r="J235" s="160"/>
      <c r="K235" s="160"/>
      <c r="L235" s="160"/>
      <c r="M235" s="160"/>
    </row>
    <row r="236" spans="2:13" ht="18.75">
      <c r="B236" s="148" t="s">
        <v>625</v>
      </c>
      <c r="C236" s="157">
        <v>45828</v>
      </c>
      <c r="D236" s="158" t="s">
        <v>636</v>
      </c>
      <c r="E236" s="159" t="s">
        <v>324</v>
      </c>
      <c r="F236" s="160" t="s">
        <v>216</v>
      </c>
      <c r="G236" s="161" t="s">
        <v>19</v>
      </c>
      <c r="H236" s="160"/>
      <c r="I236" s="160"/>
      <c r="J236" s="160"/>
      <c r="K236" s="160"/>
      <c r="L236" s="160"/>
      <c r="M236" s="160"/>
    </row>
    <row r="237" spans="2:13" ht="18.75">
      <c r="B237" s="148" t="s">
        <v>625</v>
      </c>
      <c r="C237" s="157">
        <v>45828</v>
      </c>
      <c r="D237" s="158" t="s">
        <v>637</v>
      </c>
      <c r="E237" s="159" t="s">
        <v>319</v>
      </c>
      <c r="F237" s="160" t="s">
        <v>638</v>
      </c>
      <c r="G237" s="161" t="s">
        <v>16</v>
      </c>
      <c r="H237" s="160"/>
      <c r="I237" s="163">
        <v>45846</v>
      </c>
      <c r="J237" s="163">
        <v>45897</v>
      </c>
      <c r="K237" s="160"/>
      <c r="L237" s="160"/>
      <c r="M237" s="160"/>
    </row>
    <row r="238" spans="2:13" ht="18.75">
      <c r="B238" s="152" t="s">
        <v>62</v>
      </c>
      <c r="C238" s="165">
        <v>45849</v>
      </c>
      <c r="D238" s="166" t="s">
        <v>639</v>
      </c>
      <c r="E238" s="177" t="s">
        <v>329</v>
      </c>
      <c r="F238" s="168" t="s">
        <v>109</v>
      </c>
      <c r="G238" s="169" t="s">
        <v>16</v>
      </c>
      <c r="H238" s="165">
        <v>45874</v>
      </c>
      <c r="I238" s="171">
        <v>45888</v>
      </c>
      <c r="J238" s="168"/>
      <c r="K238" s="168" t="s">
        <v>640</v>
      </c>
      <c r="L238" s="168"/>
      <c r="M238" s="168"/>
    </row>
    <row r="239" spans="2:13" ht="18.75">
      <c r="B239" s="148" t="s">
        <v>62</v>
      </c>
      <c r="C239" s="157">
        <v>45849</v>
      </c>
      <c r="D239" s="158" t="s">
        <v>641</v>
      </c>
      <c r="E239" s="176" t="s">
        <v>321</v>
      </c>
      <c r="F239" s="160" t="s">
        <v>642</v>
      </c>
      <c r="G239" s="161" t="s">
        <v>19</v>
      </c>
      <c r="H239" s="160"/>
      <c r="I239" s="160"/>
      <c r="J239" s="160"/>
      <c r="K239" s="160"/>
      <c r="L239" s="160"/>
      <c r="M239" s="160"/>
    </row>
    <row r="240" spans="2:13" ht="18.75">
      <c r="B240" s="152" t="s">
        <v>643</v>
      </c>
      <c r="C240" s="165">
        <v>45856</v>
      </c>
      <c r="D240" s="166" t="s">
        <v>644</v>
      </c>
      <c r="E240" s="177" t="s">
        <v>324</v>
      </c>
      <c r="F240" s="168" t="s">
        <v>101</v>
      </c>
      <c r="G240" s="169" t="s">
        <v>16</v>
      </c>
      <c r="H240" s="168"/>
      <c r="I240" s="171">
        <v>45859</v>
      </c>
      <c r="J240" s="171">
        <v>45874</v>
      </c>
      <c r="K240" s="168" t="s">
        <v>645</v>
      </c>
      <c r="L240" s="168"/>
      <c r="M240" s="168"/>
    </row>
    <row r="241" spans="2:13" ht="18.75">
      <c r="B241" s="148" t="s">
        <v>643</v>
      </c>
      <c r="C241" s="157">
        <v>45856</v>
      </c>
      <c r="D241" s="158" t="s">
        <v>646</v>
      </c>
      <c r="E241" s="176" t="s">
        <v>321</v>
      </c>
      <c r="F241" s="160" t="s">
        <v>647</v>
      </c>
      <c r="G241" s="161" t="s">
        <v>16</v>
      </c>
      <c r="H241" s="160"/>
      <c r="I241" s="163">
        <v>45985</v>
      </c>
      <c r="J241" s="163">
        <v>46042</v>
      </c>
      <c r="K241" s="160"/>
      <c r="L241" s="160"/>
      <c r="M241" s="160"/>
    </row>
    <row r="242" spans="2:13" ht="18.75">
      <c r="B242" s="148" t="s">
        <v>643</v>
      </c>
      <c r="C242" s="157">
        <v>45856</v>
      </c>
      <c r="D242" s="158" t="s">
        <v>648</v>
      </c>
      <c r="E242" s="176" t="s">
        <v>321</v>
      </c>
      <c r="F242" s="160" t="s">
        <v>647</v>
      </c>
      <c r="G242" s="161" t="s">
        <v>16</v>
      </c>
      <c r="H242" s="160"/>
      <c r="I242" s="163">
        <v>45985</v>
      </c>
      <c r="J242" s="163">
        <v>46042</v>
      </c>
      <c r="K242" s="160"/>
      <c r="L242" s="160"/>
      <c r="M242" s="160"/>
    </row>
    <row r="243" spans="2:13" ht="18.75">
      <c r="B243" s="189" t="s">
        <v>643</v>
      </c>
      <c r="C243" s="190">
        <v>45863</v>
      </c>
      <c r="D243" s="174" t="s">
        <v>649</v>
      </c>
      <c r="E243" s="191" t="s">
        <v>329</v>
      </c>
      <c r="F243" s="184" t="s">
        <v>103</v>
      </c>
      <c r="G243" s="183" t="s">
        <v>19</v>
      </c>
      <c r="H243" s="184"/>
      <c r="I243" s="184"/>
      <c r="J243" s="184"/>
      <c r="K243" s="184"/>
      <c r="L243" s="184"/>
      <c r="M243" s="184"/>
    </row>
    <row r="244" spans="2:13" ht="18.75">
      <c r="B244" s="148" t="s">
        <v>643</v>
      </c>
      <c r="C244" s="157">
        <v>45863</v>
      </c>
      <c r="D244" s="158" t="s">
        <v>650</v>
      </c>
      <c r="E244" s="176" t="s">
        <v>321</v>
      </c>
      <c r="F244" s="160" t="s">
        <v>101</v>
      </c>
      <c r="G244" s="161" t="s">
        <v>19</v>
      </c>
      <c r="H244" s="160"/>
      <c r="I244" s="160"/>
      <c r="J244" s="160"/>
      <c r="K244" s="160"/>
      <c r="L244" s="160"/>
      <c r="M244" s="160"/>
    </row>
    <row r="245" spans="2:13" ht="18.75">
      <c r="B245" s="152" t="s">
        <v>68</v>
      </c>
      <c r="C245" s="165">
        <v>45870</v>
      </c>
      <c r="D245" s="166" t="s">
        <v>651</v>
      </c>
      <c r="E245" s="177" t="s">
        <v>324</v>
      </c>
      <c r="F245" s="168" t="s">
        <v>652</v>
      </c>
      <c r="G245" s="169" t="s">
        <v>19</v>
      </c>
      <c r="H245" s="168"/>
      <c r="I245" s="168"/>
      <c r="J245" s="168"/>
      <c r="K245" s="168"/>
      <c r="L245" s="168"/>
      <c r="M245" s="168"/>
    </row>
    <row r="246" spans="2:13" ht="18.75">
      <c r="B246" s="148" t="s">
        <v>68</v>
      </c>
      <c r="C246" s="157">
        <v>45870</v>
      </c>
      <c r="D246" s="158" t="s">
        <v>653</v>
      </c>
      <c r="E246" s="176" t="s">
        <v>324</v>
      </c>
      <c r="F246" s="160" t="s">
        <v>654</v>
      </c>
      <c r="G246" s="161" t="s">
        <v>16</v>
      </c>
      <c r="H246" s="160"/>
      <c r="I246" s="163">
        <v>45873</v>
      </c>
      <c r="J246" s="163">
        <v>45902</v>
      </c>
      <c r="K246" s="160" t="s">
        <v>645</v>
      </c>
      <c r="L246" s="160"/>
      <c r="M246" s="160"/>
    </row>
    <row r="247" spans="2:13" ht="18.75">
      <c r="B247" s="181" t="s">
        <v>68</v>
      </c>
      <c r="C247" s="182">
        <v>45870</v>
      </c>
      <c r="D247" s="178" t="s">
        <v>655</v>
      </c>
      <c r="E247" s="192" t="s">
        <v>324</v>
      </c>
      <c r="F247" s="180" t="s">
        <v>656</v>
      </c>
      <c r="G247" s="179" t="s">
        <v>19</v>
      </c>
      <c r="H247" s="180"/>
      <c r="I247" s="180"/>
      <c r="J247" s="180"/>
      <c r="K247" s="180"/>
      <c r="L247" s="180"/>
      <c r="M247" s="180"/>
    </row>
    <row r="248" spans="2:13" ht="18.75">
      <c r="B248" s="148" t="s">
        <v>68</v>
      </c>
      <c r="C248" s="157">
        <v>45870</v>
      </c>
      <c r="D248" s="158" t="s">
        <v>657</v>
      </c>
      <c r="E248" s="176" t="s">
        <v>329</v>
      </c>
      <c r="F248" s="160" t="s">
        <v>656</v>
      </c>
      <c r="G248" s="161" t="s">
        <v>16</v>
      </c>
      <c r="H248" s="157">
        <v>45909</v>
      </c>
      <c r="I248" s="163">
        <v>45952</v>
      </c>
      <c r="J248" s="160"/>
      <c r="K248" s="160" t="s">
        <v>465</v>
      </c>
      <c r="L248" s="160"/>
      <c r="M248" s="160"/>
    </row>
    <row r="249" spans="2:13" ht="18.75">
      <c r="B249" s="148" t="s">
        <v>68</v>
      </c>
      <c r="C249" s="157">
        <v>45880</v>
      </c>
      <c r="D249" s="158" t="s">
        <v>658</v>
      </c>
      <c r="E249" s="176" t="s">
        <v>329</v>
      </c>
      <c r="F249" s="160" t="s">
        <v>627</v>
      </c>
      <c r="G249" s="161" t="s">
        <v>19</v>
      </c>
      <c r="H249" s="160"/>
      <c r="I249" s="160"/>
      <c r="J249" s="160"/>
      <c r="K249" s="160"/>
      <c r="L249" s="160"/>
      <c r="M249" s="160"/>
    </row>
    <row r="250" spans="2:13" ht="18.75">
      <c r="B250" s="152" t="s">
        <v>68</v>
      </c>
      <c r="C250" s="165">
        <v>45884</v>
      </c>
      <c r="D250" s="166" t="s">
        <v>659</v>
      </c>
      <c r="E250" s="177" t="s">
        <v>321</v>
      </c>
      <c r="F250" s="168" t="s">
        <v>660</v>
      </c>
      <c r="G250" s="169" t="s">
        <v>19</v>
      </c>
      <c r="H250" s="168"/>
      <c r="I250" s="168"/>
      <c r="J250" s="168"/>
      <c r="K250" s="168"/>
      <c r="L250" s="168"/>
      <c r="M250" s="168"/>
    </row>
    <row r="251" spans="2:13" ht="18.75">
      <c r="B251" s="152" t="s">
        <v>68</v>
      </c>
      <c r="C251" s="165">
        <v>45884</v>
      </c>
      <c r="D251" s="166" t="s">
        <v>661</v>
      </c>
      <c r="E251" s="177" t="s">
        <v>324</v>
      </c>
      <c r="F251" s="168" t="s">
        <v>662</v>
      </c>
      <c r="G251" s="169" t="s">
        <v>19</v>
      </c>
      <c r="H251" s="168"/>
      <c r="I251" s="168"/>
      <c r="J251" s="168"/>
      <c r="K251" s="168"/>
      <c r="L251" s="168"/>
      <c r="M251" s="168"/>
    </row>
    <row r="252" spans="2:13" ht="18.75">
      <c r="B252" s="148" t="s">
        <v>68</v>
      </c>
      <c r="C252" s="157">
        <v>45898</v>
      </c>
      <c r="D252" s="158" t="s">
        <v>663</v>
      </c>
      <c r="E252" s="176" t="s">
        <v>329</v>
      </c>
      <c r="F252" s="160" t="s">
        <v>103</v>
      </c>
      <c r="G252" s="161" t="s">
        <v>16</v>
      </c>
      <c r="H252" s="157">
        <v>45901</v>
      </c>
      <c r="I252" s="163">
        <v>45912</v>
      </c>
      <c r="J252" s="160"/>
      <c r="K252" s="160" t="s">
        <v>456</v>
      </c>
      <c r="L252" s="160"/>
      <c r="M252" s="160"/>
    </row>
    <row r="253" spans="2:13" ht="18.75">
      <c r="B253" s="189" t="s">
        <v>68</v>
      </c>
      <c r="C253" s="190">
        <v>45898</v>
      </c>
      <c r="D253" s="174" t="s">
        <v>664</v>
      </c>
      <c r="E253" s="193" t="s">
        <v>319</v>
      </c>
      <c r="F253" s="184" t="s">
        <v>665</v>
      </c>
      <c r="G253" s="183" t="s">
        <v>16</v>
      </c>
      <c r="H253" s="184"/>
      <c r="I253" s="246">
        <v>46055</v>
      </c>
      <c r="J253" s="246">
        <v>46079</v>
      </c>
      <c r="K253" s="184"/>
      <c r="L253" s="184"/>
      <c r="M253" s="184"/>
    </row>
    <row r="254" spans="2:13" ht="18.75">
      <c r="B254" s="148" t="s">
        <v>77</v>
      </c>
      <c r="C254" s="157">
        <v>45912</v>
      </c>
      <c r="D254" s="158" t="s">
        <v>666</v>
      </c>
      <c r="E254" s="159" t="s">
        <v>329</v>
      </c>
      <c r="F254" s="160" t="s">
        <v>667</v>
      </c>
      <c r="G254" s="161" t="s">
        <v>16</v>
      </c>
      <c r="H254" s="163">
        <v>45923</v>
      </c>
      <c r="I254" s="163">
        <v>45923</v>
      </c>
      <c r="J254" s="160"/>
      <c r="K254" s="160" t="s">
        <v>51</v>
      </c>
      <c r="L254" s="160"/>
      <c r="M254" s="160"/>
    </row>
    <row r="255" spans="2:13" ht="18.75">
      <c r="B255" s="148" t="s">
        <v>77</v>
      </c>
      <c r="C255" s="157">
        <v>45919</v>
      </c>
      <c r="D255" s="158" t="s">
        <v>668</v>
      </c>
      <c r="E255" s="159" t="s">
        <v>324</v>
      </c>
      <c r="F255" s="160" t="s">
        <v>109</v>
      </c>
      <c r="G255" s="161" t="s">
        <v>19</v>
      </c>
      <c r="H255" s="160"/>
      <c r="I255" s="160"/>
      <c r="J255" s="160"/>
      <c r="K255" s="160"/>
      <c r="L255" s="160"/>
      <c r="M255" s="160"/>
    </row>
    <row r="256" spans="2:13" ht="18.75">
      <c r="B256" s="148" t="s">
        <v>77</v>
      </c>
      <c r="C256" s="157">
        <v>45919</v>
      </c>
      <c r="D256" s="158" t="s">
        <v>669</v>
      </c>
      <c r="E256" s="159" t="s">
        <v>326</v>
      </c>
      <c r="F256" s="160" t="s">
        <v>245</v>
      </c>
      <c r="G256" s="161" t="s">
        <v>19</v>
      </c>
      <c r="H256" s="160"/>
      <c r="I256" s="160"/>
      <c r="J256" s="160"/>
      <c r="K256" s="160"/>
      <c r="L256" s="160"/>
      <c r="M256" s="160"/>
    </row>
    <row r="257" spans="2:13" ht="18.75">
      <c r="B257" s="152" t="s">
        <v>77</v>
      </c>
      <c r="C257" s="165">
        <v>45919</v>
      </c>
      <c r="D257" s="166" t="s">
        <v>670</v>
      </c>
      <c r="E257" s="170" t="s">
        <v>319</v>
      </c>
      <c r="F257" s="168" t="s">
        <v>671</v>
      </c>
      <c r="G257" s="169" t="s">
        <v>19</v>
      </c>
      <c r="H257" s="168"/>
      <c r="I257" s="168"/>
      <c r="J257" s="168"/>
      <c r="K257" s="168"/>
      <c r="L257" s="168"/>
      <c r="M257" s="168"/>
    </row>
    <row r="258" spans="2:13" ht="18.75">
      <c r="B258" s="148" t="s">
        <v>77</v>
      </c>
      <c r="C258" s="157">
        <v>45919</v>
      </c>
      <c r="D258" s="158" t="s">
        <v>668</v>
      </c>
      <c r="E258" s="176" t="s">
        <v>324</v>
      </c>
      <c r="F258" s="160" t="s">
        <v>109</v>
      </c>
      <c r="G258" s="161" t="s">
        <v>19</v>
      </c>
      <c r="H258" s="160"/>
      <c r="I258" s="160"/>
      <c r="J258" s="160"/>
      <c r="K258" s="160" t="s">
        <v>246</v>
      </c>
      <c r="L258" s="160"/>
      <c r="M258" s="160"/>
    </row>
    <row r="259" spans="2:13" ht="18.75">
      <c r="B259" s="148" t="s">
        <v>77</v>
      </c>
      <c r="C259" s="157">
        <v>45919</v>
      </c>
      <c r="D259" s="158" t="s">
        <v>669</v>
      </c>
      <c r="E259" s="176" t="s">
        <v>326</v>
      </c>
      <c r="F259" s="160" t="s">
        <v>245</v>
      </c>
      <c r="G259" s="161" t="s">
        <v>19</v>
      </c>
      <c r="H259" s="160"/>
      <c r="I259" s="160"/>
      <c r="J259" s="160"/>
      <c r="K259" s="160" t="s">
        <v>246</v>
      </c>
      <c r="L259" s="160"/>
      <c r="M259" s="160"/>
    </row>
    <row r="260" spans="2:13" ht="18.75">
      <c r="B260" s="152" t="s">
        <v>77</v>
      </c>
      <c r="C260" s="165">
        <v>45919</v>
      </c>
      <c r="D260" s="166" t="s">
        <v>670</v>
      </c>
      <c r="E260" s="177" t="s">
        <v>319</v>
      </c>
      <c r="F260" s="168" t="s">
        <v>672</v>
      </c>
      <c r="G260" s="169" t="s">
        <v>19</v>
      </c>
      <c r="H260" s="168"/>
      <c r="I260" s="168"/>
      <c r="J260" s="168"/>
      <c r="K260" s="168" t="s">
        <v>673</v>
      </c>
      <c r="L260" s="168"/>
      <c r="M260" s="168"/>
    </row>
    <row r="261" spans="2:13" ht="18.75">
      <c r="B261" s="204" t="s">
        <v>77</v>
      </c>
      <c r="C261" s="157">
        <v>45926</v>
      </c>
      <c r="D261" s="158" t="s">
        <v>674</v>
      </c>
      <c r="E261" s="176" t="s">
        <v>329</v>
      </c>
      <c r="F261" s="160" t="s">
        <v>296</v>
      </c>
      <c r="G261" s="161" t="s">
        <v>16</v>
      </c>
      <c r="H261" s="157">
        <v>46045</v>
      </c>
      <c r="I261" s="160"/>
      <c r="J261" s="160"/>
      <c r="K261" s="160" t="s">
        <v>583</v>
      </c>
      <c r="L261" s="160"/>
      <c r="M261" s="160"/>
    </row>
    <row r="262" spans="2:13" ht="18.75">
      <c r="B262" s="204" t="s">
        <v>77</v>
      </c>
      <c r="C262" s="157">
        <v>45926</v>
      </c>
      <c r="D262" s="158" t="s">
        <v>675</v>
      </c>
      <c r="E262" s="176" t="s">
        <v>326</v>
      </c>
      <c r="F262" s="160" t="s">
        <v>676</v>
      </c>
      <c r="G262" s="161" t="s">
        <v>19</v>
      </c>
      <c r="H262" s="160"/>
      <c r="I262" s="160"/>
      <c r="J262" s="160"/>
      <c r="K262" s="160" t="s">
        <v>246</v>
      </c>
      <c r="L262" s="160"/>
      <c r="M262" s="160"/>
    </row>
    <row r="263" spans="2:13" ht="18.75">
      <c r="B263" s="205" t="s">
        <v>84</v>
      </c>
      <c r="C263" s="157">
        <v>45947</v>
      </c>
      <c r="D263" s="158" t="s">
        <v>677</v>
      </c>
      <c r="E263" s="176" t="s">
        <v>326</v>
      </c>
      <c r="F263" s="160" t="s">
        <v>678</v>
      </c>
      <c r="G263" s="161" t="s">
        <v>16</v>
      </c>
      <c r="H263" s="160"/>
      <c r="I263" s="163">
        <v>45985</v>
      </c>
      <c r="J263" s="160"/>
      <c r="K263" s="160" t="s">
        <v>465</v>
      </c>
      <c r="L263" s="160"/>
      <c r="M263" s="160"/>
    </row>
    <row r="264" spans="2:13" ht="18.75">
      <c r="B264" s="204" t="s">
        <v>84</v>
      </c>
      <c r="C264" s="157">
        <v>45947</v>
      </c>
      <c r="D264" s="158" t="s">
        <v>679</v>
      </c>
      <c r="E264" s="176" t="s">
        <v>329</v>
      </c>
      <c r="F264" s="160" t="s">
        <v>109</v>
      </c>
      <c r="G264" s="161" t="s">
        <v>16</v>
      </c>
      <c r="H264" s="157">
        <v>45975</v>
      </c>
      <c r="I264" s="163">
        <v>45985</v>
      </c>
      <c r="J264" s="163">
        <v>46048</v>
      </c>
      <c r="K264" s="160"/>
      <c r="L264" s="160"/>
      <c r="M264" s="160"/>
    </row>
    <row r="265" spans="2:13" ht="18.75">
      <c r="B265" s="204" t="s">
        <v>84</v>
      </c>
      <c r="C265" s="157">
        <v>45947</v>
      </c>
      <c r="D265" s="158" t="s">
        <v>680</v>
      </c>
      <c r="E265" s="176" t="s">
        <v>319</v>
      </c>
      <c r="F265" s="160" t="s">
        <v>681</v>
      </c>
      <c r="G265" s="161" t="s">
        <v>16</v>
      </c>
      <c r="H265" s="160"/>
      <c r="I265" s="163">
        <v>45985</v>
      </c>
      <c r="J265" s="160"/>
      <c r="K265" s="160" t="s">
        <v>465</v>
      </c>
      <c r="L265" s="160"/>
      <c r="M265" s="160"/>
    </row>
    <row r="266" spans="2:13" ht="18.75">
      <c r="B266" s="204" t="s">
        <v>84</v>
      </c>
      <c r="C266" s="157">
        <v>45947</v>
      </c>
      <c r="D266" s="158" t="s">
        <v>682</v>
      </c>
      <c r="E266" s="176" t="s">
        <v>326</v>
      </c>
      <c r="F266" s="160" t="s">
        <v>158</v>
      </c>
      <c r="G266" s="161" t="s">
        <v>16</v>
      </c>
      <c r="H266" s="160"/>
      <c r="I266" s="163">
        <v>45957</v>
      </c>
      <c r="J266" s="163">
        <v>46038</v>
      </c>
      <c r="K266" s="160"/>
      <c r="L266" s="160"/>
      <c r="M266" s="160"/>
    </row>
    <row r="267" spans="2:13" ht="18.75">
      <c r="B267" s="205" t="s">
        <v>84</v>
      </c>
      <c r="C267" s="165">
        <v>45954</v>
      </c>
      <c r="D267" s="166" t="s">
        <v>683</v>
      </c>
      <c r="E267" s="177" t="s">
        <v>329</v>
      </c>
      <c r="F267" s="168" t="s">
        <v>684</v>
      </c>
      <c r="G267" s="169" t="s">
        <v>19</v>
      </c>
      <c r="H267" s="168"/>
      <c r="I267" s="168"/>
      <c r="J267" s="168"/>
      <c r="K267" s="168"/>
      <c r="L267" s="168"/>
      <c r="M267" s="168"/>
    </row>
    <row r="268" spans="2:13" ht="18.75">
      <c r="B268" s="148" t="s">
        <v>84</v>
      </c>
      <c r="C268" s="157">
        <v>45961</v>
      </c>
      <c r="D268" s="158" t="s">
        <v>685</v>
      </c>
      <c r="E268" s="176" t="s">
        <v>324</v>
      </c>
      <c r="F268" s="160" t="s">
        <v>686</v>
      </c>
      <c r="G268" s="161" t="s">
        <v>19</v>
      </c>
      <c r="H268" s="160"/>
      <c r="I268" s="160"/>
      <c r="J268" s="160"/>
      <c r="K268" s="203" t="s">
        <v>687</v>
      </c>
      <c r="L268" s="160"/>
      <c r="M268" s="160"/>
    </row>
    <row r="269" spans="2:13" ht="18.75">
      <c r="B269" s="148" t="s">
        <v>84</v>
      </c>
      <c r="C269" s="157">
        <v>45961</v>
      </c>
      <c r="D269" s="158" t="s">
        <v>688</v>
      </c>
      <c r="E269" s="176" t="s">
        <v>321</v>
      </c>
      <c r="F269" s="160" t="s">
        <v>109</v>
      </c>
      <c r="G269" s="161" t="s">
        <v>19</v>
      </c>
      <c r="H269" s="160"/>
      <c r="I269" s="160"/>
      <c r="J269" s="160"/>
      <c r="K269" s="160"/>
      <c r="L269" s="160"/>
      <c r="M269" s="160"/>
    </row>
    <row r="270" spans="2:13" ht="18.75">
      <c r="B270" s="148" t="s">
        <v>84</v>
      </c>
      <c r="C270" s="157">
        <v>45961</v>
      </c>
      <c r="D270" s="158" t="s">
        <v>689</v>
      </c>
      <c r="E270" s="176" t="s">
        <v>319</v>
      </c>
      <c r="F270" s="160" t="s">
        <v>103</v>
      </c>
      <c r="G270" s="161" t="s">
        <v>19</v>
      </c>
      <c r="H270" s="160"/>
      <c r="I270" s="160"/>
      <c r="J270" s="160"/>
      <c r="K270" s="160"/>
      <c r="L270" s="160"/>
      <c r="M270" s="160"/>
    </row>
    <row r="271" spans="2:13" ht="18.75">
      <c r="B271" s="148" t="s">
        <v>84</v>
      </c>
      <c r="C271" s="157">
        <v>45961</v>
      </c>
      <c r="D271" s="158" t="s">
        <v>690</v>
      </c>
      <c r="E271" s="176" t="s">
        <v>321</v>
      </c>
      <c r="F271" s="160" t="s">
        <v>103</v>
      </c>
      <c r="G271" s="161" t="s">
        <v>19</v>
      </c>
      <c r="H271" s="160"/>
      <c r="I271" s="160"/>
      <c r="J271" s="160"/>
      <c r="K271" s="160"/>
      <c r="L271" s="160"/>
      <c r="M271" s="160"/>
    </row>
    <row r="272" spans="2:13" ht="18.75">
      <c r="B272" s="148" t="s">
        <v>87</v>
      </c>
      <c r="C272" s="157">
        <v>45975</v>
      </c>
      <c r="D272" s="158" t="s">
        <v>691</v>
      </c>
      <c r="E272" s="176" t="s">
        <v>321</v>
      </c>
      <c r="F272" s="160" t="s">
        <v>101</v>
      </c>
      <c r="G272" s="161" t="s">
        <v>16</v>
      </c>
      <c r="H272" s="160"/>
      <c r="I272" s="163">
        <v>45985</v>
      </c>
      <c r="J272" s="163">
        <v>46056</v>
      </c>
      <c r="K272" s="160"/>
      <c r="L272" s="160"/>
      <c r="M272" s="160"/>
    </row>
    <row r="273" spans="2:13" ht="18.75">
      <c r="B273" s="148" t="s">
        <v>87</v>
      </c>
      <c r="C273" s="157">
        <v>45975</v>
      </c>
      <c r="D273" s="158" t="s">
        <v>692</v>
      </c>
      <c r="E273" s="176" t="s">
        <v>321</v>
      </c>
      <c r="F273" s="160" t="s">
        <v>103</v>
      </c>
      <c r="G273" s="161" t="s">
        <v>16</v>
      </c>
      <c r="H273" s="160"/>
      <c r="I273" s="163">
        <v>45985</v>
      </c>
      <c r="J273" s="163">
        <v>46055</v>
      </c>
      <c r="K273" s="160"/>
      <c r="L273" s="160"/>
      <c r="M273" s="160"/>
    </row>
    <row r="274" spans="2:13" ht="18.75">
      <c r="B274" s="152" t="s">
        <v>87</v>
      </c>
      <c r="C274" s="165">
        <v>45975</v>
      </c>
      <c r="D274" s="166" t="s">
        <v>693</v>
      </c>
      <c r="E274" s="177" t="s">
        <v>324</v>
      </c>
      <c r="F274" s="168" t="s">
        <v>694</v>
      </c>
      <c r="G274" s="169" t="s">
        <v>16</v>
      </c>
      <c r="H274" s="168"/>
      <c r="I274" s="171">
        <v>45985</v>
      </c>
      <c r="J274" s="168"/>
      <c r="K274" s="168" t="s">
        <v>695</v>
      </c>
      <c r="L274" s="168"/>
      <c r="M274" s="168"/>
    </row>
    <row r="275" spans="2:13" ht="18.75">
      <c r="B275" s="148" t="s">
        <v>87</v>
      </c>
      <c r="C275" s="157">
        <v>45975</v>
      </c>
      <c r="D275" s="158" t="s">
        <v>696</v>
      </c>
      <c r="E275" s="176" t="s">
        <v>321</v>
      </c>
      <c r="F275" s="160" t="s">
        <v>158</v>
      </c>
      <c r="G275" s="161" t="s">
        <v>19</v>
      </c>
      <c r="H275" s="160"/>
      <c r="I275" s="161"/>
      <c r="J275" s="160"/>
      <c r="K275" s="160"/>
      <c r="L275" s="160"/>
      <c r="M275" s="160"/>
    </row>
    <row r="276" spans="2:13" ht="18.75">
      <c r="B276" s="148" t="s">
        <v>87</v>
      </c>
      <c r="C276" s="157">
        <v>45981</v>
      </c>
      <c r="D276" s="158" t="s">
        <v>697</v>
      </c>
      <c r="E276" s="176" t="s">
        <v>321</v>
      </c>
      <c r="F276" s="160" t="s">
        <v>158</v>
      </c>
      <c r="G276" s="161" t="s">
        <v>19</v>
      </c>
      <c r="H276" s="160"/>
      <c r="I276" s="160"/>
      <c r="J276" s="160"/>
      <c r="K276" s="160"/>
      <c r="L276" s="160"/>
      <c r="M276" s="160"/>
    </row>
    <row r="277" spans="2:13" ht="18.75">
      <c r="B277" s="152" t="s">
        <v>87</v>
      </c>
      <c r="C277" s="165">
        <v>45981</v>
      </c>
      <c r="D277" s="166" t="s">
        <v>698</v>
      </c>
      <c r="E277" s="177" t="s">
        <v>321</v>
      </c>
      <c r="F277" s="168" t="s">
        <v>276</v>
      </c>
      <c r="G277" s="169" t="s">
        <v>19</v>
      </c>
      <c r="H277" s="168"/>
      <c r="I277" s="168"/>
      <c r="J277" s="168"/>
      <c r="K277" s="168"/>
      <c r="L277" s="168"/>
      <c r="M277" s="160"/>
    </row>
    <row r="278" spans="2:13" ht="18.75">
      <c r="B278" s="148" t="s">
        <v>87</v>
      </c>
      <c r="C278" s="157">
        <v>45982</v>
      </c>
      <c r="D278" s="158" t="s">
        <v>699</v>
      </c>
      <c r="E278" s="176" t="s">
        <v>324</v>
      </c>
      <c r="F278" s="160" t="s">
        <v>700</v>
      </c>
      <c r="G278" s="161" t="s">
        <v>19</v>
      </c>
      <c r="H278" s="160"/>
      <c r="I278" s="160"/>
      <c r="J278" s="160"/>
      <c r="K278" s="160"/>
      <c r="L278" s="160"/>
      <c r="M278" s="236"/>
    </row>
    <row r="279" spans="2:13" ht="18.75">
      <c r="B279" s="148" t="s">
        <v>87</v>
      </c>
      <c r="C279" s="157">
        <v>45982</v>
      </c>
      <c r="D279" s="158" t="s">
        <v>701</v>
      </c>
      <c r="E279" s="176" t="s">
        <v>319</v>
      </c>
      <c r="F279" s="160" t="s">
        <v>702</v>
      </c>
      <c r="G279" s="161" t="s">
        <v>19</v>
      </c>
      <c r="H279" s="160"/>
      <c r="I279" s="160"/>
      <c r="J279" s="160"/>
      <c r="K279" s="160"/>
      <c r="L279" s="160"/>
      <c r="M279" s="236"/>
    </row>
    <row r="280" spans="2:13" ht="18.75">
      <c r="B280" s="148" t="s">
        <v>173</v>
      </c>
      <c r="C280" s="157">
        <v>45994</v>
      </c>
      <c r="D280" s="158" t="s">
        <v>703</v>
      </c>
      <c r="E280" s="176" t="s">
        <v>321</v>
      </c>
      <c r="F280" s="160" t="s">
        <v>296</v>
      </c>
      <c r="G280" s="161" t="s">
        <v>16</v>
      </c>
      <c r="H280" s="157"/>
      <c r="I280" s="163">
        <v>46041</v>
      </c>
      <c r="J280" s="163">
        <v>46062</v>
      </c>
      <c r="K280" s="160"/>
      <c r="L280" s="160"/>
    </row>
    <row r="281" spans="2:13" ht="18.75">
      <c r="B281" s="152" t="s">
        <v>173</v>
      </c>
      <c r="C281" s="165">
        <v>45994</v>
      </c>
      <c r="D281" s="166" t="s">
        <v>704</v>
      </c>
      <c r="E281" s="177" t="s">
        <v>321</v>
      </c>
      <c r="F281" s="168" t="s">
        <v>109</v>
      </c>
      <c r="G281" s="169" t="s">
        <v>19</v>
      </c>
      <c r="H281" s="168"/>
      <c r="I281" s="169"/>
      <c r="J281" s="168"/>
      <c r="K281" s="160"/>
      <c r="L281" s="160"/>
    </row>
    <row r="282" spans="2:13" ht="18.75">
      <c r="B282" s="148" t="s">
        <v>173</v>
      </c>
      <c r="C282" s="157">
        <v>45994</v>
      </c>
      <c r="D282" s="158" t="s">
        <v>705</v>
      </c>
      <c r="E282" s="176" t="s">
        <v>324</v>
      </c>
      <c r="F282" s="160" t="s">
        <v>109</v>
      </c>
      <c r="G282" s="161" t="s">
        <v>19</v>
      </c>
      <c r="H282" s="160"/>
      <c r="I282" s="161"/>
      <c r="J282" s="160"/>
      <c r="K282" s="236"/>
      <c r="L282" s="160"/>
    </row>
    <row r="283" spans="2:13" ht="18.75">
      <c r="B283" s="152" t="s">
        <v>173</v>
      </c>
      <c r="C283" s="165">
        <v>45994</v>
      </c>
      <c r="D283" s="166" t="s">
        <v>706</v>
      </c>
      <c r="E283" s="177" t="s">
        <v>329</v>
      </c>
      <c r="F283" s="168" t="s">
        <v>707</v>
      </c>
      <c r="G283" s="169" t="s">
        <v>16</v>
      </c>
      <c r="H283" s="165">
        <v>46038</v>
      </c>
      <c r="I283" s="171">
        <v>46057</v>
      </c>
      <c r="J283" s="171">
        <v>46083</v>
      </c>
      <c r="K283" s="237" t="s">
        <v>708</v>
      </c>
      <c r="L283" s="160"/>
    </row>
    <row r="284" spans="2:13" ht="18.75">
      <c r="B284" s="148" t="s">
        <v>173</v>
      </c>
      <c r="C284" s="157">
        <v>45994</v>
      </c>
      <c r="D284" s="158" t="s">
        <v>709</v>
      </c>
      <c r="E284" s="176" t="s">
        <v>319</v>
      </c>
      <c r="F284" s="160" t="s">
        <v>707</v>
      </c>
      <c r="G284" s="161" t="s">
        <v>16</v>
      </c>
      <c r="H284" s="160"/>
      <c r="I284" s="163">
        <v>46057</v>
      </c>
      <c r="J284" s="171">
        <v>46083</v>
      </c>
      <c r="K284" s="160"/>
      <c r="L284" s="236"/>
    </row>
    <row r="285" spans="2:13" ht="18.75">
      <c r="B285" s="148" t="s">
        <v>173</v>
      </c>
      <c r="C285" s="157">
        <v>46003</v>
      </c>
      <c r="D285" s="158" t="s">
        <v>710</v>
      </c>
      <c r="E285" s="176" t="s">
        <v>324</v>
      </c>
      <c r="F285" s="160"/>
      <c r="G285" s="161" t="s">
        <v>19</v>
      </c>
      <c r="H285" s="160"/>
      <c r="I285" s="161"/>
      <c r="J285" s="160"/>
      <c r="K285" s="160"/>
    </row>
    <row r="286" spans="2:13" ht="18.75">
      <c r="B286" s="148" t="s">
        <v>173</v>
      </c>
      <c r="C286" s="157">
        <v>46003</v>
      </c>
      <c r="D286" s="158" t="s">
        <v>711</v>
      </c>
      <c r="E286" s="176" t="s">
        <v>329</v>
      </c>
      <c r="F286" s="160"/>
      <c r="G286" s="161" t="s">
        <v>16</v>
      </c>
      <c r="H286" s="157">
        <v>46090</v>
      </c>
      <c r="I286" s="163">
        <v>46126</v>
      </c>
      <c r="J286" s="160"/>
      <c r="K286" s="160"/>
    </row>
    <row r="287" spans="2:13" ht="18.75">
      <c r="B287" s="148" t="s">
        <v>13</v>
      </c>
      <c r="C287" s="157">
        <v>46038</v>
      </c>
      <c r="D287" s="158" t="s">
        <v>712</v>
      </c>
      <c r="E287" s="176" t="s">
        <v>319</v>
      </c>
      <c r="F287" s="160" t="s">
        <v>103</v>
      </c>
      <c r="G287" s="161" t="s">
        <v>16</v>
      </c>
      <c r="I287" s="163">
        <v>46038</v>
      </c>
      <c r="J287" s="163">
        <v>46083</v>
      </c>
      <c r="K287" s="160"/>
    </row>
    <row r="288" spans="2:13" ht="18.75">
      <c r="B288" s="148" t="s">
        <v>13</v>
      </c>
      <c r="C288" s="157">
        <v>46038</v>
      </c>
      <c r="D288" s="158" t="s">
        <v>713</v>
      </c>
      <c r="E288" s="176" t="s">
        <v>329</v>
      </c>
      <c r="F288" s="160" t="s">
        <v>714</v>
      </c>
      <c r="G288" s="161" t="s">
        <v>16</v>
      </c>
      <c r="H288" s="157">
        <v>46042</v>
      </c>
      <c r="I288" s="160"/>
      <c r="J288" s="160"/>
      <c r="K288" s="160"/>
    </row>
    <row r="289" spans="2:11" ht="18.75">
      <c r="B289" s="148" t="s">
        <v>13</v>
      </c>
      <c r="C289" s="157">
        <v>46045</v>
      </c>
      <c r="D289" s="158" t="s">
        <v>715</v>
      </c>
      <c r="E289" s="176" t="s">
        <v>324</v>
      </c>
      <c r="F289" s="160" t="s">
        <v>716</v>
      </c>
      <c r="G289" s="161" t="s">
        <v>19</v>
      </c>
      <c r="H289" s="160"/>
      <c r="I289" s="160"/>
      <c r="J289" s="160"/>
      <c r="K289" s="160" t="s">
        <v>717</v>
      </c>
    </row>
    <row r="290" spans="2:11" ht="18.75">
      <c r="B290" s="148" t="s">
        <v>13</v>
      </c>
      <c r="C290" s="157">
        <v>46045</v>
      </c>
      <c r="D290" s="158" t="s">
        <v>718</v>
      </c>
      <c r="E290" s="176" t="s">
        <v>324</v>
      </c>
      <c r="F290" s="160" t="s">
        <v>719</v>
      </c>
      <c r="G290" s="161" t="s">
        <v>19</v>
      </c>
      <c r="H290" s="160"/>
      <c r="I290" s="160"/>
      <c r="J290" s="160"/>
      <c r="K290" s="160" t="s">
        <v>720</v>
      </c>
    </row>
    <row r="291" spans="2:11" ht="18.75">
      <c r="B291" s="148" t="s">
        <v>13</v>
      </c>
      <c r="C291" s="157">
        <v>46045</v>
      </c>
      <c r="D291" s="158" t="s">
        <v>721</v>
      </c>
      <c r="E291" s="176" t="s">
        <v>329</v>
      </c>
      <c r="F291" s="160" t="s">
        <v>101</v>
      </c>
      <c r="G291" s="161" t="s">
        <v>19</v>
      </c>
      <c r="H291" s="160"/>
      <c r="I291" s="160"/>
      <c r="J291" s="160"/>
      <c r="K291" s="160"/>
    </row>
    <row r="292" spans="2:11" ht="18.75">
      <c r="B292" s="148" t="s">
        <v>13</v>
      </c>
      <c r="C292" s="157">
        <v>46048</v>
      </c>
      <c r="D292" s="158" t="s">
        <v>722</v>
      </c>
      <c r="E292" s="176" t="s">
        <v>321</v>
      </c>
      <c r="F292" s="160" t="s">
        <v>101</v>
      </c>
      <c r="G292" s="161" t="s">
        <v>19</v>
      </c>
      <c r="H292" s="160"/>
      <c r="I292" s="160"/>
      <c r="J292" s="160"/>
      <c r="K292" s="160" t="s">
        <v>276</v>
      </c>
    </row>
    <row r="293" spans="2:11" ht="18.75">
      <c r="B293" s="152" t="s">
        <v>13</v>
      </c>
      <c r="C293" s="165">
        <v>46051</v>
      </c>
      <c r="D293" s="166" t="s">
        <v>723</v>
      </c>
      <c r="E293" s="177" t="s">
        <v>329</v>
      </c>
      <c r="F293" s="168" t="s">
        <v>276</v>
      </c>
      <c r="G293" s="169" t="s">
        <v>19</v>
      </c>
      <c r="H293" s="168"/>
      <c r="I293" s="168"/>
      <c r="J293" s="168"/>
      <c r="K293" s="168"/>
    </row>
    <row r="294" spans="2:11" ht="18.75">
      <c r="B294" s="152" t="s">
        <v>13</v>
      </c>
      <c r="C294" s="245">
        <v>46052</v>
      </c>
      <c r="D294" s="158" t="s">
        <v>724</v>
      </c>
      <c r="E294" s="176" t="s">
        <v>319</v>
      </c>
      <c r="F294" s="160" t="s">
        <v>103</v>
      </c>
      <c r="G294" s="161" t="s">
        <v>16</v>
      </c>
      <c r="H294" s="160"/>
      <c r="I294" s="163">
        <v>46090</v>
      </c>
      <c r="J294" s="160"/>
      <c r="K294" s="237"/>
    </row>
    <row r="295" spans="2:11" ht="18.75">
      <c r="B295" s="148" t="s">
        <v>13</v>
      </c>
      <c r="C295" s="172">
        <v>46052</v>
      </c>
      <c r="D295" s="158" t="s">
        <v>725</v>
      </c>
      <c r="E295" s="176" t="s">
        <v>321</v>
      </c>
      <c r="F295" s="160" t="s">
        <v>103</v>
      </c>
      <c r="G295" s="161" t="s">
        <v>16</v>
      </c>
      <c r="H295" s="160"/>
      <c r="I295" s="163">
        <v>46090</v>
      </c>
      <c r="J295" s="160"/>
      <c r="K295" s="236"/>
    </row>
    <row r="296" spans="2:11" ht="18.75">
      <c r="B296" s="148" t="s">
        <v>13</v>
      </c>
      <c r="C296" s="157">
        <v>46052</v>
      </c>
      <c r="D296" s="174" t="s">
        <v>726</v>
      </c>
      <c r="E296" s="191" t="s">
        <v>319</v>
      </c>
      <c r="F296" s="184" t="s">
        <v>103</v>
      </c>
      <c r="G296" s="183" t="s">
        <v>16</v>
      </c>
      <c r="H296" s="184"/>
      <c r="I296" s="246">
        <v>46062</v>
      </c>
      <c r="J296" s="246">
        <v>46084</v>
      </c>
      <c r="K296" s="160"/>
    </row>
    <row r="297" spans="2:11" ht="18.75">
      <c r="B297" s="148" t="s">
        <v>24</v>
      </c>
      <c r="C297" s="157">
        <v>46073</v>
      </c>
      <c r="D297" s="158" t="s">
        <v>727</v>
      </c>
      <c r="E297" s="176" t="s">
        <v>324</v>
      </c>
      <c r="F297" s="160"/>
      <c r="G297" s="169" t="s">
        <v>19</v>
      </c>
      <c r="H297" s="160"/>
      <c r="I297" s="160"/>
      <c r="J297" s="160"/>
      <c r="K297" s="160"/>
    </row>
    <row r="298" spans="2:11" ht="18.75">
      <c r="B298" s="148" t="s">
        <v>24</v>
      </c>
      <c r="C298" s="157">
        <v>46073</v>
      </c>
      <c r="D298" s="158" t="s">
        <v>728</v>
      </c>
      <c r="E298" s="176" t="s">
        <v>329</v>
      </c>
      <c r="F298" s="160"/>
      <c r="G298" s="169" t="s">
        <v>19</v>
      </c>
      <c r="H298" s="160"/>
      <c r="I298" s="160"/>
      <c r="J298" s="160"/>
      <c r="K298" s="160"/>
    </row>
    <row r="299" spans="2:11" ht="18.75">
      <c r="B299" s="148" t="s">
        <v>24</v>
      </c>
      <c r="C299" s="165">
        <v>46080</v>
      </c>
      <c r="D299" s="166" t="s">
        <v>729</v>
      </c>
      <c r="E299" s="177" t="s">
        <v>324</v>
      </c>
      <c r="F299" s="168" t="s">
        <v>103</v>
      </c>
      <c r="G299" s="169" t="s">
        <v>19</v>
      </c>
      <c r="H299" s="168"/>
      <c r="I299" s="168"/>
      <c r="J299" s="168"/>
      <c r="K299" s="168"/>
    </row>
    <row r="300" spans="2:11" ht="18.75">
      <c r="B300" s="204" t="s">
        <v>24</v>
      </c>
      <c r="C300" s="157">
        <v>46080</v>
      </c>
      <c r="D300" s="158" t="s">
        <v>730</v>
      </c>
      <c r="E300" s="176" t="s">
        <v>319</v>
      </c>
      <c r="F300" s="160" t="s">
        <v>101</v>
      </c>
      <c r="G300" s="161" t="s">
        <v>19</v>
      </c>
      <c r="H300" s="160"/>
      <c r="I300" s="160"/>
      <c r="J300" s="160"/>
      <c r="K300" s="160"/>
    </row>
    <row r="301" spans="2:11" ht="18.75">
      <c r="B301" s="205" t="s">
        <v>24</v>
      </c>
      <c r="C301" s="165">
        <v>46080</v>
      </c>
      <c r="D301" s="166" t="s">
        <v>731</v>
      </c>
      <c r="E301" s="177" t="s">
        <v>326</v>
      </c>
      <c r="F301" s="168" t="s">
        <v>103</v>
      </c>
      <c r="G301" s="169" t="s">
        <v>19</v>
      </c>
      <c r="H301" s="168"/>
      <c r="I301" s="168"/>
      <c r="J301" s="168"/>
      <c r="K301" s="168"/>
    </row>
    <row r="302" spans="2:11" ht="18.75">
      <c r="B302" s="148" t="s">
        <v>568</v>
      </c>
      <c r="C302" s="157">
        <v>46091</v>
      </c>
      <c r="D302" s="158" t="s">
        <v>732</v>
      </c>
      <c r="E302" s="158" t="s">
        <v>329</v>
      </c>
      <c r="F302" s="160" t="s">
        <v>276</v>
      </c>
      <c r="G302" s="161" t="s">
        <v>19</v>
      </c>
      <c r="H302" s="160"/>
      <c r="I302" s="160"/>
      <c r="J302" s="160"/>
      <c r="K302" s="160" t="s">
        <v>733</v>
      </c>
    </row>
    <row r="303" spans="2:11" ht="18.75">
      <c r="B303" s="148" t="s">
        <v>568</v>
      </c>
      <c r="C303" s="157">
        <v>46091</v>
      </c>
      <c r="D303" s="158" t="s">
        <v>734</v>
      </c>
      <c r="E303" s="158" t="s">
        <v>321</v>
      </c>
      <c r="F303" s="160" t="s">
        <v>276</v>
      </c>
      <c r="G303" s="161" t="s">
        <v>19</v>
      </c>
      <c r="H303" s="160"/>
      <c r="I303" s="160"/>
      <c r="J303" s="160"/>
      <c r="K303" s="160" t="s">
        <v>733</v>
      </c>
    </row>
    <row r="304" spans="2:11" ht="18.75">
      <c r="B304" s="148" t="s">
        <v>568</v>
      </c>
      <c r="C304" s="157">
        <v>46094</v>
      </c>
      <c r="D304" s="158" t="s">
        <v>735</v>
      </c>
      <c r="E304" s="158" t="s">
        <v>324</v>
      </c>
      <c r="F304" s="160" t="s">
        <v>103</v>
      </c>
      <c r="G304" s="161" t="s">
        <v>19</v>
      </c>
      <c r="H304" s="160"/>
      <c r="I304" s="160"/>
      <c r="J304" s="160"/>
      <c r="K304" s="160" t="s">
        <v>736</v>
      </c>
    </row>
    <row r="305" spans="2:11" ht="18.75">
      <c r="B305" s="148" t="s">
        <v>568</v>
      </c>
      <c r="C305" s="157">
        <v>46101</v>
      </c>
      <c r="D305" s="158" t="s">
        <v>737</v>
      </c>
      <c r="E305" s="158" t="s">
        <v>321</v>
      </c>
      <c r="F305" s="168" t="s">
        <v>738</v>
      </c>
      <c r="G305" s="169" t="s">
        <v>19</v>
      </c>
      <c r="H305" s="168"/>
      <c r="I305" s="168"/>
      <c r="J305" s="168"/>
      <c r="K305" s="160"/>
    </row>
    <row r="306" spans="2:11" ht="18.75">
      <c r="B306" s="148" t="s">
        <v>568</v>
      </c>
      <c r="C306" s="157">
        <v>46101</v>
      </c>
      <c r="D306" s="158" t="s">
        <v>416</v>
      </c>
      <c r="E306" s="248" t="s">
        <v>319</v>
      </c>
      <c r="F306" s="160" t="s">
        <v>101</v>
      </c>
      <c r="G306" s="161" t="s">
        <v>16</v>
      </c>
      <c r="H306" s="160"/>
      <c r="I306" s="157">
        <v>46125</v>
      </c>
      <c r="J306" s="160"/>
      <c r="K306" s="236"/>
    </row>
    <row r="307" spans="2:11" ht="18.75">
      <c r="B307" s="148" t="s">
        <v>568</v>
      </c>
      <c r="C307" s="157">
        <v>46108</v>
      </c>
      <c r="D307" s="166" t="s">
        <v>739</v>
      </c>
      <c r="E307" s="166" t="s">
        <v>329</v>
      </c>
      <c r="F307" s="180" t="s">
        <v>740</v>
      </c>
      <c r="G307" s="179" t="s">
        <v>19</v>
      </c>
      <c r="H307" s="180"/>
      <c r="I307" s="180"/>
      <c r="J307" s="180"/>
      <c r="K307" s="168"/>
    </row>
    <row r="308" spans="2:11" ht="18.75">
      <c r="B308" s="148" t="s">
        <v>568</v>
      </c>
      <c r="C308" s="172">
        <v>46108</v>
      </c>
      <c r="D308" s="158" t="s">
        <v>741</v>
      </c>
      <c r="E308" s="158" t="s">
        <v>324</v>
      </c>
      <c r="F308" s="160" t="s">
        <v>742</v>
      </c>
      <c r="G308" s="161" t="s">
        <v>19</v>
      </c>
      <c r="H308" s="160"/>
      <c r="I308" s="160"/>
      <c r="J308" s="160"/>
      <c r="K308" s="160"/>
    </row>
    <row r="309" spans="2:11" ht="18.75">
      <c r="B309" s="148" t="s">
        <v>38</v>
      </c>
      <c r="C309" s="172">
        <v>46126</v>
      </c>
      <c r="D309" s="158" t="s">
        <v>743</v>
      </c>
      <c r="E309" s="158" t="s">
        <v>326</v>
      </c>
      <c r="F309" s="160" t="s">
        <v>312</v>
      </c>
      <c r="G309" s="161" t="s">
        <v>19</v>
      </c>
      <c r="H309" s="160"/>
      <c r="I309" s="160"/>
      <c r="J309" s="160"/>
      <c r="K309" s="160"/>
    </row>
    <row r="310" spans="2:11" ht="18.75">
      <c r="B310" s="148" t="s">
        <v>38</v>
      </c>
      <c r="C310" s="172">
        <v>46128</v>
      </c>
      <c r="D310" s="158" t="s">
        <v>744</v>
      </c>
      <c r="E310" s="158" t="s">
        <v>324</v>
      </c>
      <c r="F310" s="160" t="s">
        <v>745</v>
      </c>
      <c r="G310" s="161" t="s">
        <v>19</v>
      </c>
      <c r="H310" s="160"/>
      <c r="I310" s="160"/>
      <c r="J310" s="160"/>
      <c r="K310" s="160"/>
    </row>
    <row r="311" spans="2:11" ht="18.75">
      <c r="B311" s="148" t="s">
        <v>38</v>
      </c>
      <c r="C311" s="172">
        <v>46129</v>
      </c>
      <c r="D311" s="158" t="s">
        <v>746</v>
      </c>
      <c r="E311" s="158" t="s">
        <v>329</v>
      </c>
      <c r="F311" s="160" t="s">
        <v>103</v>
      </c>
      <c r="G311" s="161" t="s">
        <v>19</v>
      </c>
      <c r="H311" s="160"/>
      <c r="I311" s="160"/>
      <c r="J311" s="160"/>
      <c r="K311" s="160"/>
    </row>
    <row r="312" spans="2:11" ht="18.75">
      <c r="B312" s="148" t="s">
        <v>38</v>
      </c>
      <c r="C312" s="172">
        <v>46129</v>
      </c>
      <c r="D312" s="158" t="s">
        <v>747</v>
      </c>
      <c r="E312" s="158" t="s">
        <v>329</v>
      </c>
      <c r="F312" s="160" t="s">
        <v>101</v>
      </c>
      <c r="G312" s="161" t="s">
        <v>19</v>
      </c>
      <c r="H312" s="160"/>
      <c r="I312" s="160"/>
      <c r="J312" s="160"/>
      <c r="K312" s="160"/>
    </row>
    <row r="313" spans="2:11" ht="18.75">
      <c r="B313" s="148" t="s">
        <v>38</v>
      </c>
      <c r="C313" s="172">
        <v>46129</v>
      </c>
      <c r="D313" s="158" t="s">
        <v>748</v>
      </c>
      <c r="E313" s="158" t="s">
        <v>321</v>
      </c>
      <c r="F313" s="160" t="s">
        <v>101</v>
      </c>
      <c r="G313" s="161" t="s">
        <v>19</v>
      </c>
      <c r="H313" s="160"/>
      <c r="I313" s="160"/>
      <c r="J313" s="160"/>
      <c r="K313" s="160"/>
    </row>
    <row r="314" spans="2:11" ht="22.5">
      <c r="C314" s="247" t="s">
        <v>749</v>
      </c>
    </row>
  </sheetData>
  <conditionalFormatting sqref="M2:P200">
    <cfRule type="cellIs" dxfId="1" priority="1" operator="lessThan">
      <formula>0</formula>
    </cfRule>
  </conditionalFormatting>
  <dataValidations count="3">
    <dataValidation type="list" allowBlank="1" showInputMessage="1" showErrorMessage="1" sqref="F129:F130" xr:uid="{AF438289-57AB-4BFF-BB8D-573100231BFD}">
      <formula1>"Referido,Internet,Vecinosdelsector,psicóloga"</formula1>
    </dataValidation>
    <dataValidation type="list" allowBlank="1" showInputMessage="1" showErrorMessage="1" sqref="E2:E141 E143 E145:E146 E148 E150 E152:E182 E189:E197 E287:E296" xr:uid="{5DE2E3EE-738E-415C-98D5-65ABFD250C8B}">
      <formula1>"Prejardín,Jardín,Transición,1°,2°,3°,4°,5°,6°,7°,8°,9°,10°,11°"</formula1>
    </dataValidation>
    <dataValidation type="list" allowBlank="1" showInputMessage="1" showErrorMessage="1" sqref="B2:B152" xr:uid="{1988657C-4C28-4CB5-8451-CC618BEEE0F4}">
      <formula1>"Enero,Febrero,Marzo,Abril,Mayo,Junio,Julio,Agosto,Septiembre,Octubre,Noviembre,Diciembre"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CB63-6418-4993-BCF4-3EFEB501D15C}">
  <dimension ref="A1:T481"/>
  <sheetViews>
    <sheetView topLeftCell="G1" workbookViewId="0">
      <pane ySplit="1" topLeftCell="A421" activePane="bottomLeft" state="frozen"/>
      <selection pane="bottomLeft" activeCell="F475" sqref="F475"/>
    </sheetView>
  </sheetViews>
  <sheetFormatPr defaultColWidth="11.42578125" defaultRowHeight="14.45"/>
  <cols>
    <col min="1" max="1" width="4" customWidth="1"/>
    <col min="2" max="2" width="13.85546875" bestFit="1" customWidth="1"/>
    <col min="3" max="3" width="11.28515625" bestFit="1" customWidth="1"/>
    <col min="4" max="4" width="43" bestFit="1" customWidth="1"/>
    <col min="6" max="6" width="28.7109375" bestFit="1" customWidth="1"/>
    <col min="7" max="7" width="17.42578125" style="9" bestFit="1" customWidth="1"/>
    <col min="9" max="9" width="15.140625" bestFit="1" customWidth="1"/>
    <col min="10" max="10" width="11.140625" bestFit="1" customWidth="1"/>
    <col min="11" max="11" width="23.28515625" bestFit="1" customWidth="1"/>
    <col min="12" max="12" width="17.85546875" bestFit="1" customWidth="1"/>
    <col min="17" max="20" width="4.140625" bestFit="1" customWidth="1"/>
  </cols>
  <sheetData>
    <row r="1" spans="2:20" ht="45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750</v>
      </c>
      <c r="I1" s="2" t="s">
        <v>6</v>
      </c>
      <c r="J1" s="1" t="s">
        <v>751</v>
      </c>
      <c r="K1" s="1" t="s">
        <v>8</v>
      </c>
      <c r="L1" s="1" t="s">
        <v>9</v>
      </c>
      <c r="M1" s="38" t="s">
        <v>316</v>
      </c>
      <c r="N1" s="38" t="s">
        <v>317</v>
      </c>
      <c r="O1" s="38" t="s">
        <v>11</v>
      </c>
      <c r="P1" s="38" t="s">
        <v>12</v>
      </c>
      <c r="Q1" s="40">
        <f>AVERAGEIF(M2:M901,"&gt;0",M2:M901)</f>
        <v>36.25874125874126</v>
      </c>
      <c r="R1" s="40">
        <f>AVERAGEIF(N2:N901,"&gt;0",N2:N901)</f>
        <v>27.963963963963963</v>
      </c>
      <c r="S1" s="40">
        <f>AVERAGEIF(O2:O901,"&gt;0",O2:O901)</f>
        <v>43.215384615384615</v>
      </c>
      <c r="T1" s="40">
        <f>AVERAGEIF(P2:P901,"&gt;0",P2:P901)</f>
        <v>109.84615384615384</v>
      </c>
    </row>
    <row r="2" spans="2:20" ht="18">
      <c r="B2" s="7" t="s">
        <v>13</v>
      </c>
      <c r="C2" s="11">
        <v>44938</v>
      </c>
      <c r="D2" s="3" t="s">
        <v>752</v>
      </c>
      <c r="E2" s="4" t="s">
        <v>753</v>
      </c>
      <c r="F2" s="6"/>
      <c r="G2" s="8" t="s">
        <v>16</v>
      </c>
      <c r="H2" s="12">
        <v>44945</v>
      </c>
      <c r="I2" s="6"/>
      <c r="J2" s="6"/>
      <c r="K2" s="6"/>
      <c r="L2" s="6"/>
      <c r="M2" s="40">
        <f>IF(H2&gt;0,H2-C2,0)</f>
        <v>7</v>
      </c>
      <c r="N2" s="40">
        <f>IF(I2&gt;0,I2-H2,0)</f>
        <v>0</v>
      </c>
      <c r="O2" s="40">
        <f>IF(J2&gt;0,J2-I2,0)</f>
        <v>0</v>
      </c>
      <c r="P2" s="40">
        <f>IF(J2&gt;0,J2-C2,0)</f>
        <v>0</v>
      </c>
    </row>
    <row r="3" spans="2:20" ht="18">
      <c r="B3" s="7" t="s">
        <v>13</v>
      </c>
      <c r="C3" s="11">
        <v>44938</v>
      </c>
      <c r="D3" s="3" t="s">
        <v>754</v>
      </c>
      <c r="E3" s="4" t="s">
        <v>755</v>
      </c>
      <c r="F3" s="6"/>
      <c r="G3" s="8" t="s">
        <v>16</v>
      </c>
      <c r="H3" s="12">
        <v>44943</v>
      </c>
      <c r="I3" s="12">
        <v>44956</v>
      </c>
      <c r="J3" s="12">
        <v>44980</v>
      </c>
      <c r="K3" s="6"/>
      <c r="L3" s="6"/>
      <c r="M3" s="40">
        <f t="shared" ref="M3:M66" si="0">IF(H3&gt;0,H3-C3,0)</f>
        <v>5</v>
      </c>
      <c r="N3" s="40">
        <f t="shared" ref="N3:N66" si="1">IF(I3&gt;0,I3-H3,0)</f>
        <v>13</v>
      </c>
      <c r="O3" s="40">
        <f t="shared" ref="O3:O66" si="2">IF(J3&gt;0,J3-I3,0)</f>
        <v>24</v>
      </c>
      <c r="P3" s="40">
        <f t="shared" ref="P3:P66" si="3">IF(J3&gt;0,J3-C3,0)</f>
        <v>42</v>
      </c>
    </row>
    <row r="4" spans="2:20" ht="18">
      <c r="B4" s="7" t="s">
        <v>13</v>
      </c>
      <c r="C4" s="11">
        <v>44938</v>
      </c>
      <c r="D4" s="3" t="s">
        <v>756</v>
      </c>
      <c r="E4" s="4" t="s">
        <v>757</v>
      </c>
      <c r="F4" s="6"/>
      <c r="G4" s="8" t="s">
        <v>16</v>
      </c>
      <c r="H4" s="12">
        <v>44942</v>
      </c>
      <c r="I4" s="12">
        <v>44950</v>
      </c>
      <c r="J4" s="12"/>
      <c r="K4" s="6"/>
      <c r="L4" s="6"/>
      <c r="M4" s="40">
        <f t="shared" si="0"/>
        <v>4</v>
      </c>
      <c r="N4" s="40">
        <f t="shared" si="1"/>
        <v>8</v>
      </c>
      <c r="O4" s="40">
        <f t="shared" si="2"/>
        <v>0</v>
      </c>
      <c r="P4" s="40">
        <f t="shared" si="3"/>
        <v>0</v>
      </c>
    </row>
    <row r="5" spans="2:20" ht="18">
      <c r="B5" s="7" t="s">
        <v>13</v>
      </c>
      <c r="C5" s="11">
        <v>44938</v>
      </c>
      <c r="D5" s="3" t="s">
        <v>758</v>
      </c>
      <c r="E5" s="4" t="s">
        <v>753</v>
      </c>
      <c r="F5" s="6"/>
      <c r="G5" s="8" t="s">
        <v>16</v>
      </c>
      <c r="H5" s="12">
        <v>44942</v>
      </c>
      <c r="I5" s="12">
        <v>44977</v>
      </c>
      <c r="J5" s="12"/>
      <c r="K5" s="6" t="s">
        <v>465</v>
      </c>
      <c r="L5" s="6"/>
      <c r="M5" s="40">
        <f t="shared" si="0"/>
        <v>4</v>
      </c>
      <c r="N5" s="40">
        <f t="shared" si="1"/>
        <v>35</v>
      </c>
      <c r="O5" s="40">
        <f t="shared" si="2"/>
        <v>0</v>
      </c>
      <c r="P5" s="40">
        <f t="shared" si="3"/>
        <v>0</v>
      </c>
    </row>
    <row r="6" spans="2:20" ht="18">
      <c r="B6" s="7" t="s">
        <v>13</v>
      </c>
      <c r="C6" s="11">
        <v>44938</v>
      </c>
      <c r="D6" s="3" t="s">
        <v>759</v>
      </c>
      <c r="E6" s="4" t="s">
        <v>760</v>
      </c>
      <c r="F6" s="6"/>
      <c r="G6" s="8" t="s">
        <v>16</v>
      </c>
      <c r="H6" s="12">
        <v>44945</v>
      </c>
      <c r="I6" s="12">
        <v>44957</v>
      </c>
      <c r="J6" s="12">
        <v>44970</v>
      </c>
      <c r="K6" s="6"/>
      <c r="L6" s="6"/>
      <c r="M6" s="40">
        <f t="shared" si="0"/>
        <v>7</v>
      </c>
      <c r="N6" s="40">
        <f t="shared" si="1"/>
        <v>12</v>
      </c>
      <c r="O6" s="40">
        <f t="shared" si="2"/>
        <v>13</v>
      </c>
      <c r="P6" s="40">
        <f t="shared" si="3"/>
        <v>32</v>
      </c>
    </row>
    <row r="7" spans="2:20" ht="18">
      <c r="B7" s="7" t="s">
        <v>13</v>
      </c>
      <c r="C7" s="11">
        <v>44938</v>
      </c>
      <c r="D7" s="3" t="s">
        <v>761</v>
      </c>
      <c r="E7" s="4" t="s">
        <v>760</v>
      </c>
      <c r="F7" s="6"/>
      <c r="G7" s="8" t="s">
        <v>19</v>
      </c>
      <c r="H7" s="12"/>
      <c r="I7" s="12"/>
      <c r="J7" s="12"/>
      <c r="K7" s="6"/>
      <c r="L7" s="6"/>
      <c r="M7" s="40">
        <f t="shared" si="0"/>
        <v>0</v>
      </c>
      <c r="N7" s="40">
        <f t="shared" si="1"/>
        <v>0</v>
      </c>
      <c r="O7" s="40">
        <f t="shared" si="2"/>
        <v>0</v>
      </c>
      <c r="P7" s="40">
        <f t="shared" si="3"/>
        <v>0</v>
      </c>
    </row>
    <row r="8" spans="2:20" ht="18">
      <c r="B8" s="7" t="s">
        <v>13</v>
      </c>
      <c r="C8" s="11">
        <v>44938</v>
      </c>
      <c r="D8" s="3" t="s">
        <v>762</v>
      </c>
      <c r="E8" s="4" t="s">
        <v>763</v>
      </c>
      <c r="F8" s="6"/>
      <c r="G8" s="8" t="s">
        <v>19</v>
      </c>
      <c r="H8" s="12"/>
      <c r="I8" s="12"/>
      <c r="J8" s="12"/>
      <c r="K8" s="6"/>
      <c r="L8" s="6"/>
      <c r="M8" s="40">
        <f t="shared" si="0"/>
        <v>0</v>
      </c>
      <c r="N8" s="40">
        <f t="shared" si="1"/>
        <v>0</v>
      </c>
      <c r="O8" s="40">
        <f t="shared" si="2"/>
        <v>0</v>
      </c>
      <c r="P8" s="40">
        <f t="shared" si="3"/>
        <v>0</v>
      </c>
    </row>
    <row r="9" spans="2:20" ht="18">
      <c r="B9" s="7" t="s">
        <v>13</v>
      </c>
      <c r="C9" s="11">
        <v>44945</v>
      </c>
      <c r="D9" s="3" t="s">
        <v>764</v>
      </c>
      <c r="E9" s="4" t="s">
        <v>755</v>
      </c>
      <c r="F9" s="6"/>
      <c r="G9" s="8" t="s">
        <v>16</v>
      </c>
      <c r="H9" s="12">
        <v>44953</v>
      </c>
      <c r="I9" s="12">
        <v>44957</v>
      </c>
      <c r="J9" s="12"/>
      <c r="K9" s="6" t="s">
        <v>465</v>
      </c>
      <c r="L9" s="6"/>
      <c r="M9" s="40">
        <f t="shared" si="0"/>
        <v>8</v>
      </c>
      <c r="N9" s="40">
        <f t="shared" si="1"/>
        <v>4</v>
      </c>
      <c r="O9" s="40">
        <f t="shared" si="2"/>
        <v>0</v>
      </c>
      <c r="P9" s="40">
        <f t="shared" si="3"/>
        <v>0</v>
      </c>
    </row>
    <row r="10" spans="2:20" ht="18">
      <c r="B10" s="7" t="s">
        <v>13</v>
      </c>
      <c r="C10" s="11">
        <v>44945</v>
      </c>
      <c r="D10" s="3" t="s">
        <v>765</v>
      </c>
      <c r="E10" s="4" t="s">
        <v>763</v>
      </c>
      <c r="F10" s="6"/>
      <c r="G10" s="8" t="s">
        <v>16</v>
      </c>
      <c r="H10" s="12">
        <v>44949</v>
      </c>
      <c r="I10" s="12">
        <v>44970</v>
      </c>
      <c r="J10" s="12">
        <v>45006</v>
      </c>
      <c r="K10" s="6"/>
      <c r="L10" s="6"/>
      <c r="M10" s="40">
        <f t="shared" si="0"/>
        <v>4</v>
      </c>
      <c r="N10" s="40">
        <f t="shared" si="1"/>
        <v>21</v>
      </c>
      <c r="O10" s="40">
        <f t="shared" si="2"/>
        <v>36</v>
      </c>
      <c r="P10" s="40">
        <f t="shared" si="3"/>
        <v>61</v>
      </c>
    </row>
    <row r="11" spans="2:20" ht="18">
      <c r="B11" s="7" t="s">
        <v>13</v>
      </c>
      <c r="C11" s="11">
        <v>44945</v>
      </c>
      <c r="D11" s="3" t="s">
        <v>766</v>
      </c>
      <c r="E11" s="4" t="s">
        <v>763</v>
      </c>
      <c r="F11" s="6"/>
      <c r="G11" s="8" t="s">
        <v>16</v>
      </c>
      <c r="H11" s="12">
        <v>44950</v>
      </c>
      <c r="I11" s="12">
        <v>44959</v>
      </c>
      <c r="J11" s="12">
        <v>44971</v>
      </c>
      <c r="K11" s="6"/>
      <c r="L11" s="6"/>
      <c r="M11" s="40">
        <f t="shared" si="0"/>
        <v>5</v>
      </c>
      <c r="N11" s="40">
        <f t="shared" si="1"/>
        <v>9</v>
      </c>
      <c r="O11" s="40">
        <f t="shared" si="2"/>
        <v>12</v>
      </c>
      <c r="P11" s="40">
        <f t="shared" si="3"/>
        <v>26</v>
      </c>
    </row>
    <row r="12" spans="2:20" ht="18">
      <c r="B12" s="7" t="s">
        <v>13</v>
      </c>
      <c r="C12" s="11">
        <v>44945</v>
      </c>
      <c r="D12" s="3" t="s">
        <v>767</v>
      </c>
      <c r="E12" s="4" t="s">
        <v>755</v>
      </c>
      <c r="F12" s="6"/>
      <c r="G12" s="8" t="s">
        <v>19</v>
      </c>
      <c r="H12" s="12"/>
      <c r="I12" s="12"/>
      <c r="J12" s="12"/>
      <c r="K12" s="6"/>
      <c r="L12" s="6"/>
      <c r="M12" s="40">
        <f t="shared" si="0"/>
        <v>0</v>
      </c>
      <c r="N12" s="40">
        <f t="shared" si="1"/>
        <v>0</v>
      </c>
      <c r="O12" s="40">
        <f t="shared" si="2"/>
        <v>0</v>
      </c>
      <c r="P12" s="40">
        <f t="shared" si="3"/>
        <v>0</v>
      </c>
    </row>
    <row r="13" spans="2:20" ht="18">
      <c r="B13" s="7" t="s">
        <v>13</v>
      </c>
      <c r="C13" s="11">
        <v>44945</v>
      </c>
      <c r="D13" s="3" t="s">
        <v>768</v>
      </c>
      <c r="E13" s="4" t="s">
        <v>757</v>
      </c>
      <c r="F13" s="6"/>
      <c r="G13" s="8" t="s">
        <v>19</v>
      </c>
      <c r="H13" s="12"/>
      <c r="I13" s="12"/>
      <c r="J13" s="12"/>
      <c r="K13" s="6"/>
      <c r="L13" s="6"/>
      <c r="M13" s="40">
        <f t="shared" si="0"/>
        <v>0</v>
      </c>
      <c r="N13" s="40">
        <f t="shared" si="1"/>
        <v>0</v>
      </c>
      <c r="O13" s="40">
        <f t="shared" si="2"/>
        <v>0</v>
      </c>
      <c r="P13" s="40">
        <f t="shared" si="3"/>
        <v>0</v>
      </c>
    </row>
    <row r="14" spans="2:20" ht="18">
      <c r="B14" s="7" t="s">
        <v>13</v>
      </c>
      <c r="C14" s="11">
        <v>44945</v>
      </c>
      <c r="D14" s="3" t="s">
        <v>769</v>
      </c>
      <c r="E14" s="4" t="s">
        <v>753</v>
      </c>
      <c r="F14" s="6"/>
      <c r="G14" s="8" t="s">
        <v>16</v>
      </c>
      <c r="H14" s="12">
        <v>44945</v>
      </c>
      <c r="I14" s="12">
        <v>44963</v>
      </c>
      <c r="J14" s="12"/>
      <c r="K14" s="6"/>
      <c r="L14" s="6"/>
      <c r="M14" s="40">
        <f t="shared" si="0"/>
        <v>0</v>
      </c>
      <c r="N14" s="40">
        <f t="shared" si="1"/>
        <v>18</v>
      </c>
      <c r="O14" s="40">
        <f t="shared" si="2"/>
        <v>0</v>
      </c>
      <c r="P14" s="40">
        <f t="shared" si="3"/>
        <v>0</v>
      </c>
    </row>
    <row r="15" spans="2:20" ht="18">
      <c r="B15" s="7" t="s">
        <v>13</v>
      </c>
      <c r="C15" s="11">
        <v>44945</v>
      </c>
      <c r="D15" s="3" t="s">
        <v>770</v>
      </c>
      <c r="E15" s="4" t="s">
        <v>771</v>
      </c>
      <c r="F15" s="6"/>
      <c r="G15" s="8" t="s">
        <v>16</v>
      </c>
      <c r="H15" s="12">
        <v>44945</v>
      </c>
      <c r="I15" s="12">
        <v>44994</v>
      </c>
      <c r="J15" s="12"/>
      <c r="K15" s="6" t="s">
        <v>772</v>
      </c>
      <c r="L15" s="6"/>
      <c r="M15" s="40">
        <f t="shared" si="0"/>
        <v>0</v>
      </c>
      <c r="N15" s="40">
        <f t="shared" si="1"/>
        <v>49</v>
      </c>
      <c r="O15" s="40">
        <f t="shared" si="2"/>
        <v>0</v>
      </c>
      <c r="P15" s="40">
        <f t="shared" si="3"/>
        <v>0</v>
      </c>
    </row>
    <row r="16" spans="2:20" ht="18">
      <c r="B16" s="7" t="s">
        <v>13</v>
      </c>
      <c r="C16" s="11">
        <v>44945</v>
      </c>
      <c r="D16" s="3" t="s">
        <v>773</v>
      </c>
      <c r="E16" s="4" t="s">
        <v>771</v>
      </c>
      <c r="F16" s="6"/>
      <c r="G16" s="8" t="s">
        <v>19</v>
      </c>
      <c r="H16" s="12"/>
      <c r="I16" s="12"/>
      <c r="J16" s="12"/>
      <c r="K16" s="6"/>
      <c r="L16" s="6"/>
      <c r="M16" s="40">
        <f t="shared" si="0"/>
        <v>0</v>
      </c>
      <c r="N16" s="40">
        <f t="shared" si="1"/>
        <v>0</v>
      </c>
      <c r="O16" s="40">
        <f t="shared" si="2"/>
        <v>0</v>
      </c>
      <c r="P16" s="40">
        <f t="shared" si="3"/>
        <v>0</v>
      </c>
    </row>
    <row r="17" spans="2:16" ht="18">
      <c r="B17" s="7" t="s">
        <v>13</v>
      </c>
      <c r="C17" s="11">
        <v>44945</v>
      </c>
      <c r="D17" s="3" t="s">
        <v>774</v>
      </c>
      <c r="E17" s="4" t="s">
        <v>763</v>
      </c>
      <c r="F17" s="6"/>
      <c r="G17" s="8" t="s">
        <v>19</v>
      </c>
      <c r="H17" s="12"/>
      <c r="I17" s="12"/>
      <c r="J17" s="12"/>
      <c r="K17" s="6"/>
      <c r="L17" s="6"/>
      <c r="M17" s="40">
        <f t="shared" si="0"/>
        <v>0</v>
      </c>
      <c r="N17" s="40">
        <f t="shared" si="1"/>
        <v>0</v>
      </c>
      <c r="O17" s="40">
        <f t="shared" si="2"/>
        <v>0</v>
      </c>
      <c r="P17" s="40">
        <f t="shared" si="3"/>
        <v>0</v>
      </c>
    </row>
    <row r="18" spans="2:16" ht="18">
      <c r="B18" s="7" t="s">
        <v>13</v>
      </c>
      <c r="C18" s="11">
        <v>44952</v>
      </c>
      <c r="D18" s="3" t="s">
        <v>775</v>
      </c>
      <c r="E18" s="4" t="s">
        <v>753</v>
      </c>
      <c r="F18" s="6"/>
      <c r="G18" s="8" t="s">
        <v>19</v>
      </c>
      <c r="H18" s="12"/>
      <c r="I18" s="12"/>
      <c r="J18" s="12"/>
      <c r="K18" s="6"/>
      <c r="L18" s="6"/>
      <c r="M18" s="40">
        <f t="shared" si="0"/>
        <v>0</v>
      </c>
      <c r="N18" s="40">
        <f t="shared" si="1"/>
        <v>0</v>
      </c>
      <c r="O18" s="40">
        <f t="shared" si="2"/>
        <v>0</v>
      </c>
      <c r="P18" s="40">
        <f t="shared" si="3"/>
        <v>0</v>
      </c>
    </row>
    <row r="19" spans="2:16" ht="18">
      <c r="B19" s="7" t="s">
        <v>13</v>
      </c>
      <c r="C19" s="11">
        <v>44952</v>
      </c>
      <c r="D19" s="3" t="s">
        <v>776</v>
      </c>
      <c r="E19" s="4" t="s">
        <v>760</v>
      </c>
      <c r="F19" s="6"/>
      <c r="G19" s="8" t="s">
        <v>19</v>
      </c>
      <c r="H19" s="12"/>
      <c r="I19" s="12"/>
      <c r="J19" s="12"/>
      <c r="K19" s="6"/>
      <c r="L19" s="6"/>
      <c r="M19" s="40">
        <f t="shared" si="0"/>
        <v>0</v>
      </c>
      <c r="N19" s="40">
        <f t="shared" si="1"/>
        <v>0</v>
      </c>
      <c r="O19" s="40">
        <f t="shared" si="2"/>
        <v>0</v>
      </c>
      <c r="P19" s="40">
        <f t="shared" si="3"/>
        <v>0</v>
      </c>
    </row>
    <row r="20" spans="2:16" ht="18">
      <c r="B20" s="7" t="s">
        <v>24</v>
      </c>
      <c r="C20" s="11">
        <v>44959</v>
      </c>
      <c r="D20" s="3" t="s">
        <v>777</v>
      </c>
      <c r="E20" s="4" t="s">
        <v>753</v>
      </c>
      <c r="F20" s="6"/>
      <c r="G20" s="8" t="s">
        <v>19</v>
      </c>
      <c r="H20" s="12"/>
      <c r="I20" s="12"/>
      <c r="J20" s="12"/>
      <c r="K20" s="6"/>
      <c r="L20" s="6"/>
      <c r="M20" s="40">
        <f t="shared" si="0"/>
        <v>0</v>
      </c>
      <c r="N20" s="40">
        <f t="shared" si="1"/>
        <v>0</v>
      </c>
      <c r="O20" s="40">
        <f t="shared" si="2"/>
        <v>0</v>
      </c>
      <c r="P20" s="40">
        <f t="shared" si="3"/>
        <v>0</v>
      </c>
    </row>
    <row r="21" spans="2:16" ht="18">
      <c r="B21" s="7" t="s">
        <v>24</v>
      </c>
      <c r="C21" s="11">
        <v>44959</v>
      </c>
      <c r="D21" s="3" t="s">
        <v>778</v>
      </c>
      <c r="E21" s="4" t="s">
        <v>757</v>
      </c>
      <c r="F21" s="6"/>
      <c r="G21" s="8" t="s">
        <v>19</v>
      </c>
      <c r="H21" s="12"/>
      <c r="I21" s="12"/>
      <c r="J21" s="12"/>
      <c r="K21" s="6"/>
      <c r="L21" s="6"/>
      <c r="M21" s="40">
        <f t="shared" si="0"/>
        <v>0</v>
      </c>
      <c r="N21" s="40">
        <f t="shared" si="1"/>
        <v>0</v>
      </c>
      <c r="O21" s="40">
        <f t="shared" si="2"/>
        <v>0</v>
      </c>
      <c r="P21" s="40">
        <f t="shared" si="3"/>
        <v>0</v>
      </c>
    </row>
    <row r="22" spans="2:16" ht="18">
      <c r="B22" s="7" t="s">
        <v>24</v>
      </c>
      <c r="C22" s="11">
        <v>44959</v>
      </c>
      <c r="D22" s="3" t="s">
        <v>779</v>
      </c>
      <c r="E22" s="4" t="s">
        <v>771</v>
      </c>
      <c r="F22" s="6"/>
      <c r="G22" s="8" t="s">
        <v>19</v>
      </c>
      <c r="H22" s="12"/>
      <c r="I22" s="12"/>
      <c r="J22" s="12"/>
      <c r="K22" s="6"/>
      <c r="L22" s="6"/>
      <c r="M22" s="40">
        <f t="shared" si="0"/>
        <v>0</v>
      </c>
      <c r="N22" s="40">
        <f t="shared" si="1"/>
        <v>0</v>
      </c>
      <c r="O22" s="40">
        <f t="shared" si="2"/>
        <v>0</v>
      </c>
      <c r="P22" s="40">
        <f t="shared" si="3"/>
        <v>0</v>
      </c>
    </row>
    <row r="23" spans="2:16" ht="18">
      <c r="B23" s="7" t="s">
        <v>24</v>
      </c>
      <c r="C23" s="11">
        <v>44959</v>
      </c>
      <c r="D23" s="3" t="s">
        <v>780</v>
      </c>
      <c r="E23" s="4" t="s">
        <v>753</v>
      </c>
      <c r="F23" s="6"/>
      <c r="G23" s="8" t="s">
        <v>19</v>
      </c>
      <c r="H23" s="12"/>
      <c r="I23" s="12"/>
      <c r="J23" s="12"/>
      <c r="K23" s="6"/>
      <c r="L23" s="6"/>
      <c r="M23" s="40">
        <f t="shared" si="0"/>
        <v>0</v>
      </c>
      <c r="N23" s="40">
        <f t="shared" si="1"/>
        <v>0</v>
      </c>
      <c r="O23" s="40">
        <f t="shared" si="2"/>
        <v>0</v>
      </c>
      <c r="P23" s="40">
        <f t="shared" si="3"/>
        <v>0</v>
      </c>
    </row>
    <row r="24" spans="2:16" ht="18">
      <c r="B24" s="7" t="s">
        <v>24</v>
      </c>
      <c r="C24" s="11">
        <v>44959</v>
      </c>
      <c r="D24" s="3" t="s">
        <v>781</v>
      </c>
      <c r="E24" s="4" t="s">
        <v>760</v>
      </c>
      <c r="F24" s="6"/>
      <c r="G24" s="8" t="s">
        <v>19</v>
      </c>
      <c r="H24" s="12"/>
      <c r="I24" s="12"/>
      <c r="J24" s="12"/>
      <c r="K24" s="6"/>
      <c r="L24" s="6"/>
      <c r="M24" s="40">
        <f t="shared" si="0"/>
        <v>0</v>
      </c>
      <c r="N24" s="40">
        <f t="shared" si="1"/>
        <v>0</v>
      </c>
      <c r="O24" s="40">
        <f t="shared" si="2"/>
        <v>0</v>
      </c>
      <c r="P24" s="40">
        <f t="shared" si="3"/>
        <v>0</v>
      </c>
    </row>
    <row r="25" spans="2:16" ht="18">
      <c r="B25" s="7" t="s">
        <v>24</v>
      </c>
      <c r="C25" s="11">
        <v>44966</v>
      </c>
      <c r="D25" s="3" t="s">
        <v>782</v>
      </c>
      <c r="E25" s="4" t="s">
        <v>771</v>
      </c>
      <c r="F25" s="6"/>
      <c r="G25" s="8" t="s">
        <v>19</v>
      </c>
      <c r="H25" s="12"/>
      <c r="I25" s="12"/>
      <c r="J25" s="12"/>
      <c r="K25" s="6"/>
      <c r="L25" s="6"/>
      <c r="M25" s="40">
        <f t="shared" si="0"/>
        <v>0</v>
      </c>
      <c r="N25" s="40">
        <f t="shared" si="1"/>
        <v>0</v>
      </c>
      <c r="O25" s="40">
        <f t="shared" si="2"/>
        <v>0</v>
      </c>
      <c r="P25" s="40">
        <f t="shared" si="3"/>
        <v>0</v>
      </c>
    </row>
    <row r="26" spans="2:16" ht="18">
      <c r="B26" s="7" t="s">
        <v>24</v>
      </c>
      <c r="C26" s="11">
        <v>44966</v>
      </c>
      <c r="D26" s="3" t="s">
        <v>783</v>
      </c>
      <c r="E26" s="4" t="s">
        <v>760</v>
      </c>
      <c r="F26" s="6"/>
      <c r="G26" s="8" t="s">
        <v>19</v>
      </c>
      <c r="H26" s="12"/>
      <c r="I26" s="12"/>
      <c r="J26" s="12"/>
      <c r="K26" s="6"/>
      <c r="L26" s="6"/>
      <c r="M26" s="40">
        <f t="shared" si="0"/>
        <v>0</v>
      </c>
      <c r="N26" s="40">
        <f t="shared" si="1"/>
        <v>0</v>
      </c>
      <c r="O26" s="40">
        <f t="shared" si="2"/>
        <v>0</v>
      </c>
      <c r="P26" s="40">
        <f t="shared" si="3"/>
        <v>0</v>
      </c>
    </row>
    <row r="27" spans="2:16" ht="18">
      <c r="B27" s="7" t="s">
        <v>24</v>
      </c>
      <c r="C27" s="11">
        <v>44966</v>
      </c>
      <c r="D27" s="3" t="s">
        <v>784</v>
      </c>
      <c r="E27" s="4" t="s">
        <v>760</v>
      </c>
      <c r="F27" s="6"/>
      <c r="G27" s="8" t="s">
        <v>16</v>
      </c>
      <c r="H27" s="12">
        <v>44966</v>
      </c>
      <c r="I27" s="12">
        <v>44991</v>
      </c>
      <c r="J27" s="12">
        <v>45146</v>
      </c>
      <c r="K27" s="6"/>
      <c r="L27" s="6"/>
      <c r="M27" s="40">
        <f t="shared" si="0"/>
        <v>0</v>
      </c>
      <c r="N27" s="40">
        <f t="shared" si="1"/>
        <v>25</v>
      </c>
      <c r="O27" s="40">
        <f t="shared" si="2"/>
        <v>155</v>
      </c>
      <c r="P27" s="40">
        <f t="shared" si="3"/>
        <v>180</v>
      </c>
    </row>
    <row r="28" spans="2:16" ht="18">
      <c r="B28" s="7" t="s">
        <v>24</v>
      </c>
      <c r="C28" s="11">
        <v>44966</v>
      </c>
      <c r="D28" s="3" t="s">
        <v>785</v>
      </c>
      <c r="E28" s="4" t="s">
        <v>771</v>
      </c>
      <c r="F28" s="6"/>
      <c r="G28" s="8" t="s">
        <v>19</v>
      </c>
      <c r="H28" s="12"/>
      <c r="I28" s="12"/>
      <c r="J28" s="12"/>
      <c r="K28" s="6"/>
      <c r="L28" s="6"/>
      <c r="M28" s="40">
        <f t="shared" si="0"/>
        <v>0</v>
      </c>
      <c r="N28" s="40">
        <f t="shared" si="1"/>
        <v>0</v>
      </c>
      <c r="O28" s="40">
        <f t="shared" si="2"/>
        <v>0</v>
      </c>
      <c r="P28" s="40">
        <f t="shared" si="3"/>
        <v>0</v>
      </c>
    </row>
    <row r="29" spans="2:16" ht="18">
      <c r="B29" s="7" t="s">
        <v>24</v>
      </c>
      <c r="C29" s="11">
        <v>44973</v>
      </c>
      <c r="D29" s="3" t="s">
        <v>786</v>
      </c>
      <c r="E29" s="4" t="s">
        <v>760</v>
      </c>
      <c r="F29" s="6"/>
      <c r="G29" s="8" t="s">
        <v>16</v>
      </c>
      <c r="H29" s="12">
        <v>44986</v>
      </c>
      <c r="I29" s="12">
        <v>44999</v>
      </c>
      <c r="J29" s="12">
        <v>45013</v>
      </c>
      <c r="K29" s="6"/>
      <c r="L29" s="6"/>
      <c r="M29" s="40">
        <f t="shared" si="0"/>
        <v>13</v>
      </c>
      <c r="N29" s="40">
        <f t="shared" si="1"/>
        <v>13</v>
      </c>
      <c r="O29" s="40">
        <f t="shared" si="2"/>
        <v>14</v>
      </c>
      <c r="P29" s="40">
        <f t="shared" si="3"/>
        <v>40</v>
      </c>
    </row>
    <row r="30" spans="2:16" ht="18">
      <c r="B30" s="7" t="s">
        <v>24</v>
      </c>
      <c r="C30" s="11">
        <v>44973</v>
      </c>
      <c r="D30" s="3" t="s">
        <v>787</v>
      </c>
      <c r="E30" s="4" t="s">
        <v>771</v>
      </c>
      <c r="F30" s="6"/>
      <c r="G30" s="8" t="s">
        <v>16</v>
      </c>
      <c r="H30" s="12">
        <v>44978</v>
      </c>
      <c r="I30" s="12">
        <v>45026</v>
      </c>
      <c r="J30" s="12">
        <v>45050</v>
      </c>
      <c r="K30" s="6"/>
      <c r="L30" s="6"/>
      <c r="M30" s="40">
        <f t="shared" si="0"/>
        <v>5</v>
      </c>
      <c r="N30" s="40">
        <f t="shared" si="1"/>
        <v>48</v>
      </c>
      <c r="O30" s="40">
        <f t="shared" si="2"/>
        <v>24</v>
      </c>
      <c r="P30" s="40">
        <f t="shared" si="3"/>
        <v>77</v>
      </c>
    </row>
    <row r="31" spans="2:16" ht="18">
      <c r="B31" s="7" t="s">
        <v>24</v>
      </c>
      <c r="C31" s="11">
        <v>44973</v>
      </c>
      <c r="D31" s="3" t="s">
        <v>788</v>
      </c>
      <c r="E31" s="4" t="s">
        <v>753</v>
      </c>
      <c r="F31" s="6"/>
      <c r="G31" s="8" t="s">
        <v>19</v>
      </c>
      <c r="H31" s="12"/>
      <c r="I31" s="12"/>
      <c r="J31" s="12"/>
      <c r="K31" s="6"/>
      <c r="L31" s="6"/>
      <c r="M31" s="40">
        <f t="shared" si="0"/>
        <v>0</v>
      </c>
      <c r="N31" s="40">
        <f t="shared" si="1"/>
        <v>0</v>
      </c>
      <c r="O31" s="40">
        <f t="shared" si="2"/>
        <v>0</v>
      </c>
      <c r="P31" s="40">
        <f t="shared" si="3"/>
        <v>0</v>
      </c>
    </row>
    <row r="32" spans="2:16" ht="18">
      <c r="B32" s="7" t="s">
        <v>24</v>
      </c>
      <c r="C32" s="11">
        <v>44980</v>
      </c>
      <c r="D32" s="3" t="s">
        <v>789</v>
      </c>
      <c r="E32" s="4" t="s">
        <v>771</v>
      </c>
      <c r="F32" s="6"/>
      <c r="G32" s="8" t="s">
        <v>16</v>
      </c>
      <c r="H32" s="12">
        <v>44984</v>
      </c>
      <c r="I32" s="12"/>
      <c r="J32" s="12"/>
      <c r="K32" s="6"/>
      <c r="L32" s="6"/>
      <c r="M32" s="40">
        <f t="shared" si="0"/>
        <v>4</v>
      </c>
      <c r="N32" s="40">
        <f t="shared" si="1"/>
        <v>0</v>
      </c>
      <c r="O32" s="40">
        <f t="shared" si="2"/>
        <v>0</v>
      </c>
      <c r="P32" s="40">
        <f t="shared" si="3"/>
        <v>0</v>
      </c>
    </row>
    <row r="33" spans="2:16" ht="18">
      <c r="B33" s="7" t="s">
        <v>24</v>
      </c>
      <c r="C33" s="11">
        <v>44980</v>
      </c>
      <c r="D33" s="3" t="s">
        <v>790</v>
      </c>
      <c r="E33" s="4" t="s">
        <v>753</v>
      </c>
      <c r="F33" s="6"/>
      <c r="G33" s="8" t="s">
        <v>19</v>
      </c>
      <c r="H33" s="12"/>
      <c r="I33" s="12"/>
      <c r="J33" s="12"/>
      <c r="K33" s="6"/>
      <c r="L33" s="6"/>
      <c r="M33" s="40">
        <f t="shared" si="0"/>
        <v>0</v>
      </c>
      <c r="N33" s="40">
        <f t="shared" si="1"/>
        <v>0</v>
      </c>
      <c r="O33" s="40">
        <f t="shared" si="2"/>
        <v>0</v>
      </c>
      <c r="P33" s="40">
        <f t="shared" si="3"/>
        <v>0</v>
      </c>
    </row>
    <row r="34" spans="2:16" ht="18">
      <c r="B34" s="7" t="s">
        <v>24</v>
      </c>
      <c r="C34" s="11">
        <v>44980</v>
      </c>
      <c r="D34" s="3" t="s">
        <v>791</v>
      </c>
      <c r="E34" s="4" t="s">
        <v>760</v>
      </c>
      <c r="F34" s="6"/>
      <c r="G34" s="8" t="s">
        <v>19</v>
      </c>
      <c r="H34" s="12"/>
      <c r="I34" s="12"/>
      <c r="J34" s="12"/>
      <c r="K34" s="6"/>
      <c r="L34" s="6"/>
      <c r="M34" s="40">
        <f t="shared" si="0"/>
        <v>0</v>
      </c>
      <c r="N34" s="40">
        <f t="shared" si="1"/>
        <v>0</v>
      </c>
      <c r="O34" s="40">
        <f t="shared" si="2"/>
        <v>0</v>
      </c>
      <c r="P34" s="40">
        <f t="shared" si="3"/>
        <v>0</v>
      </c>
    </row>
    <row r="35" spans="2:16" ht="18">
      <c r="B35" s="7" t="s">
        <v>24</v>
      </c>
      <c r="C35" s="11">
        <v>44980</v>
      </c>
      <c r="D35" s="3" t="s">
        <v>792</v>
      </c>
      <c r="E35" s="4" t="s">
        <v>763</v>
      </c>
      <c r="F35" s="6"/>
      <c r="G35" s="8" t="s">
        <v>19</v>
      </c>
      <c r="H35" s="12"/>
      <c r="I35" s="12"/>
      <c r="J35" s="12"/>
      <c r="K35" s="6"/>
      <c r="L35" s="6"/>
      <c r="M35" s="40">
        <f t="shared" si="0"/>
        <v>0</v>
      </c>
      <c r="N35" s="40">
        <f t="shared" si="1"/>
        <v>0</v>
      </c>
      <c r="O35" s="40">
        <f t="shared" si="2"/>
        <v>0</v>
      </c>
      <c r="P35" s="40">
        <f t="shared" si="3"/>
        <v>0</v>
      </c>
    </row>
    <row r="36" spans="2:16" ht="18">
      <c r="B36" s="7" t="s">
        <v>34</v>
      </c>
      <c r="C36" s="11">
        <v>44987</v>
      </c>
      <c r="D36" s="3" t="s">
        <v>793</v>
      </c>
      <c r="E36" s="4" t="s">
        <v>753</v>
      </c>
      <c r="F36" s="6"/>
      <c r="G36" s="8" t="s">
        <v>19</v>
      </c>
      <c r="H36" s="12"/>
      <c r="I36" s="12"/>
      <c r="J36" s="12"/>
      <c r="K36" s="6"/>
      <c r="L36" s="6"/>
      <c r="M36" s="40">
        <f t="shared" si="0"/>
        <v>0</v>
      </c>
      <c r="N36" s="40">
        <f t="shared" si="1"/>
        <v>0</v>
      </c>
      <c r="O36" s="40">
        <f t="shared" si="2"/>
        <v>0</v>
      </c>
      <c r="P36" s="40">
        <f t="shared" si="3"/>
        <v>0</v>
      </c>
    </row>
    <row r="37" spans="2:16" ht="18">
      <c r="B37" s="7" t="s">
        <v>34</v>
      </c>
      <c r="C37" s="11">
        <v>44987</v>
      </c>
      <c r="D37" s="3" t="s">
        <v>794</v>
      </c>
      <c r="E37" s="4" t="s">
        <v>755</v>
      </c>
      <c r="F37" s="6"/>
      <c r="G37" s="8" t="s">
        <v>16</v>
      </c>
      <c r="H37" s="12">
        <v>44992</v>
      </c>
      <c r="I37" s="12"/>
      <c r="J37" s="12"/>
      <c r="K37" s="6"/>
      <c r="L37" s="6"/>
      <c r="M37" s="40">
        <f t="shared" si="0"/>
        <v>5</v>
      </c>
      <c r="N37" s="40">
        <f t="shared" si="1"/>
        <v>0</v>
      </c>
      <c r="O37" s="40">
        <f t="shared" si="2"/>
        <v>0</v>
      </c>
      <c r="P37" s="40">
        <f t="shared" si="3"/>
        <v>0</v>
      </c>
    </row>
    <row r="38" spans="2:16" ht="18">
      <c r="B38" s="7" t="s">
        <v>34</v>
      </c>
      <c r="C38" s="11">
        <v>44987</v>
      </c>
      <c r="D38" s="3" t="s">
        <v>795</v>
      </c>
      <c r="E38" s="4" t="s">
        <v>757</v>
      </c>
      <c r="F38" s="6"/>
      <c r="G38" s="8" t="s">
        <v>16</v>
      </c>
      <c r="H38" s="12">
        <v>45143</v>
      </c>
      <c r="I38" s="12">
        <v>45313</v>
      </c>
      <c r="J38" s="12"/>
      <c r="K38" s="6" t="s">
        <v>465</v>
      </c>
      <c r="L38" s="6"/>
      <c r="M38" s="40">
        <f t="shared" si="0"/>
        <v>156</v>
      </c>
      <c r="N38" s="40">
        <f t="shared" si="1"/>
        <v>170</v>
      </c>
      <c r="O38" s="40">
        <f t="shared" si="2"/>
        <v>0</v>
      </c>
      <c r="P38" s="40">
        <f t="shared" si="3"/>
        <v>0</v>
      </c>
    </row>
    <row r="39" spans="2:16" ht="18">
      <c r="B39" s="7" t="s">
        <v>34</v>
      </c>
      <c r="C39" s="11">
        <v>44994</v>
      </c>
      <c r="D39" s="3" t="s">
        <v>796</v>
      </c>
      <c r="E39" s="4" t="s">
        <v>763</v>
      </c>
      <c r="F39" s="6"/>
      <c r="G39" s="8" t="s">
        <v>19</v>
      </c>
      <c r="H39" s="12"/>
      <c r="I39" s="12"/>
      <c r="J39" s="12"/>
      <c r="K39" s="6"/>
      <c r="L39" s="6"/>
      <c r="M39" s="40">
        <f t="shared" si="0"/>
        <v>0</v>
      </c>
      <c r="N39" s="40">
        <f t="shared" si="1"/>
        <v>0</v>
      </c>
      <c r="O39" s="40">
        <f t="shared" si="2"/>
        <v>0</v>
      </c>
      <c r="P39" s="40">
        <f t="shared" si="3"/>
        <v>0</v>
      </c>
    </row>
    <row r="40" spans="2:16" ht="18">
      <c r="B40" s="7" t="s">
        <v>34</v>
      </c>
      <c r="C40" s="11">
        <v>44994</v>
      </c>
      <c r="D40" s="3" t="s">
        <v>797</v>
      </c>
      <c r="E40" s="4" t="s">
        <v>771</v>
      </c>
      <c r="F40" s="6"/>
      <c r="G40" s="8" t="s">
        <v>19</v>
      </c>
      <c r="H40" s="12"/>
      <c r="I40" s="12"/>
      <c r="J40" s="12"/>
      <c r="K40" s="6"/>
      <c r="L40" s="6"/>
      <c r="M40" s="40">
        <f t="shared" si="0"/>
        <v>0</v>
      </c>
      <c r="N40" s="40">
        <f t="shared" si="1"/>
        <v>0</v>
      </c>
      <c r="O40" s="40">
        <f t="shared" si="2"/>
        <v>0</v>
      </c>
      <c r="P40" s="40">
        <f t="shared" si="3"/>
        <v>0</v>
      </c>
    </row>
    <row r="41" spans="2:16" ht="18">
      <c r="B41" s="7" t="s">
        <v>34</v>
      </c>
      <c r="C41" s="11">
        <v>44994</v>
      </c>
      <c r="D41" s="3" t="s">
        <v>798</v>
      </c>
      <c r="E41" s="4" t="s">
        <v>753</v>
      </c>
      <c r="F41" s="6"/>
      <c r="G41" s="8" t="s">
        <v>19</v>
      </c>
      <c r="H41" s="12"/>
      <c r="I41" s="12"/>
      <c r="J41" s="12"/>
      <c r="K41" s="6"/>
      <c r="L41" s="6"/>
      <c r="M41" s="40">
        <f t="shared" si="0"/>
        <v>0</v>
      </c>
      <c r="N41" s="40">
        <f t="shared" si="1"/>
        <v>0</v>
      </c>
      <c r="O41" s="40">
        <f t="shared" si="2"/>
        <v>0</v>
      </c>
      <c r="P41" s="40">
        <f t="shared" si="3"/>
        <v>0</v>
      </c>
    </row>
    <row r="42" spans="2:16" ht="18">
      <c r="B42" s="7" t="s">
        <v>34</v>
      </c>
      <c r="C42" s="11">
        <v>44994</v>
      </c>
      <c r="D42" s="3" t="s">
        <v>799</v>
      </c>
      <c r="E42" s="4" t="s">
        <v>763</v>
      </c>
      <c r="F42" s="6"/>
      <c r="G42" s="8" t="s">
        <v>19</v>
      </c>
      <c r="H42" s="12"/>
      <c r="I42" s="12"/>
      <c r="J42" s="12"/>
      <c r="K42" s="6"/>
      <c r="L42" s="6"/>
      <c r="M42" s="40">
        <f t="shared" si="0"/>
        <v>0</v>
      </c>
      <c r="N42" s="40">
        <f t="shared" si="1"/>
        <v>0</v>
      </c>
      <c r="O42" s="40">
        <f t="shared" si="2"/>
        <v>0</v>
      </c>
      <c r="P42" s="40">
        <f t="shared" si="3"/>
        <v>0</v>
      </c>
    </row>
    <row r="43" spans="2:16" ht="18">
      <c r="B43" s="7" t="s">
        <v>34</v>
      </c>
      <c r="C43" s="11">
        <v>45001</v>
      </c>
      <c r="D43" s="3" t="s">
        <v>800</v>
      </c>
      <c r="E43" s="4" t="s">
        <v>757</v>
      </c>
      <c r="F43" s="6"/>
      <c r="G43" s="8" t="s">
        <v>16</v>
      </c>
      <c r="H43" s="12">
        <v>45006</v>
      </c>
      <c r="I43" s="12"/>
      <c r="J43" s="12"/>
      <c r="K43" s="6" t="s">
        <v>801</v>
      </c>
      <c r="L43" s="6"/>
      <c r="M43" s="40">
        <f t="shared" si="0"/>
        <v>5</v>
      </c>
      <c r="N43" s="40">
        <f t="shared" si="1"/>
        <v>0</v>
      </c>
      <c r="O43" s="40">
        <f t="shared" si="2"/>
        <v>0</v>
      </c>
      <c r="P43" s="40">
        <f t="shared" si="3"/>
        <v>0</v>
      </c>
    </row>
    <row r="44" spans="2:16" ht="18">
      <c r="B44" s="7" t="s">
        <v>34</v>
      </c>
      <c r="C44" s="11">
        <v>45001</v>
      </c>
      <c r="D44" s="3" t="s">
        <v>802</v>
      </c>
      <c r="E44" s="4" t="s">
        <v>755</v>
      </c>
      <c r="F44" s="6"/>
      <c r="G44" s="8" t="s">
        <v>16</v>
      </c>
      <c r="H44" s="12">
        <v>45009</v>
      </c>
      <c r="I44" s="12">
        <v>45054</v>
      </c>
      <c r="J44" s="12">
        <v>45075</v>
      </c>
      <c r="K44" s="6"/>
      <c r="L44" s="6"/>
      <c r="M44" s="40">
        <f t="shared" si="0"/>
        <v>8</v>
      </c>
      <c r="N44" s="40">
        <f t="shared" si="1"/>
        <v>45</v>
      </c>
      <c r="O44" s="40">
        <f t="shared" si="2"/>
        <v>21</v>
      </c>
      <c r="P44" s="40">
        <f t="shared" si="3"/>
        <v>74</v>
      </c>
    </row>
    <row r="45" spans="2:16" ht="18">
      <c r="B45" s="7" t="s">
        <v>34</v>
      </c>
      <c r="C45" s="11">
        <v>45001</v>
      </c>
      <c r="D45" s="3" t="s">
        <v>803</v>
      </c>
      <c r="E45" s="4" t="s">
        <v>771</v>
      </c>
      <c r="F45" s="6"/>
      <c r="G45" s="8" t="s">
        <v>16</v>
      </c>
      <c r="H45" s="12">
        <v>45002</v>
      </c>
      <c r="I45" s="12">
        <v>45012</v>
      </c>
      <c r="J45" s="12">
        <v>45036</v>
      </c>
      <c r="K45" s="6"/>
      <c r="L45" s="6"/>
      <c r="M45" s="40">
        <f t="shared" si="0"/>
        <v>1</v>
      </c>
      <c r="N45" s="40">
        <f t="shared" si="1"/>
        <v>10</v>
      </c>
      <c r="O45" s="40">
        <f t="shared" si="2"/>
        <v>24</v>
      </c>
      <c r="P45" s="40">
        <f t="shared" si="3"/>
        <v>35</v>
      </c>
    </row>
    <row r="46" spans="2:16" ht="18">
      <c r="B46" s="7" t="s">
        <v>34</v>
      </c>
      <c r="C46" s="11">
        <v>45001</v>
      </c>
      <c r="D46" s="3" t="s">
        <v>804</v>
      </c>
      <c r="E46" s="4" t="s">
        <v>760</v>
      </c>
      <c r="F46" s="6"/>
      <c r="G46" s="8" t="s">
        <v>19</v>
      </c>
      <c r="H46" s="12"/>
      <c r="I46" s="12"/>
      <c r="J46" s="12"/>
      <c r="K46" s="6"/>
      <c r="L46" s="6"/>
      <c r="M46" s="40">
        <f t="shared" si="0"/>
        <v>0</v>
      </c>
      <c r="N46" s="40">
        <f t="shared" si="1"/>
        <v>0</v>
      </c>
      <c r="O46" s="40">
        <f t="shared" si="2"/>
        <v>0</v>
      </c>
      <c r="P46" s="40">
        <f t="shared" si="3"/>
        <v>0</v>
      </c>
    </row>
    <row r="47" spans="2:16" ht="18">
      <c r="B47" s="7" t="s">
        <v>34</v>
      </c>
      <c r="C47" s="11">
        <v>45008</v>
      </c>
      <c r="D47" s="3" t="s">
        <v>805</v>
      </c>
      <c r="E47" s="4" t="s">
        <v>753</v>
      </c>
      <c r="F47" s="6"/>
      <c r="G47" s="8" t="s">
        <v>16</v>
      </c>
      <c r="H47" s="12">
        <v>45491</v>
      </c>
      <c r="I47" s="12">
        <v>45502</v>
      </c>
      <c r="J47" s="12"/>
      <c r="K47" s="6" t="s">
        <v>806</v>
      </c>
      <c r="L47" s="6"/>
      <c r="M47" s="40">
        <f t="shared" si="0"/>
        <v>483</v>
      </c>
      <c r="N47" s="40">
        <f t="shared" si="1"/>
        <v>11</v>
      </c>
      <c r="O47" s="40">
        <f t="shared" si="2"/>
        <v>0</v>
      </c>
      <c r="P47" s="40">
        <f t="shared" si="3"/>
        <v>0</v>
      </c>
    </row>
    <row r="48" spans="2:16" ht="18">
      <c r="B48" s="7" t="s">
        <v>34</v>
      </c>
      <c r="C48" s="11">
        <v>45015</v>
      </c>
      <c r="D48" s="3" t="s">
        <v>807</v>
      </c>
      <c r="E48" s="4" t="s">
        <v>755</v>
      </c>
      <c r="F48" s="6"/>
      <c r="G48" s="8" t="s">
        <v>16</v>
      </c>
      <c r="H48" s="12">
        <v>45033</v>
      </c>
      <c r="I48" s="12">
        <v>45048</v>
      </c>
      <c r="J48" s="12">
        <v>45083</v>
      </c>
      <c r="K48" s="6"/>
      <c r="L48" s="6"/>
      <c r="M48" s="40">
        <f t="shared" si="0"/>
        <v>18</v>
      </c>
      <c r="N48" s="40">
        <f t="shared" si="1"/>
        <v>15</v>
      </c>
      <c r="O48" s="40">
        <f t="shared" si="2"/>
        <v>35</v>
      </c>
      <c r="P48" s="40">
        <f t="shared" si="3"/>
        <v>68</v>
      </c>
    </row>
    <row r="49" spans="2:16" ht="18">
      <c r="B49" s="7" t="s">
        <v>34</v>
      </c>
      <c r="C49" s="11">
        <v>45015</v>
      </c>
      <c r="D49" s="3" t="s">
        <v>808</v>
      </c>
      <c r="E49" s="4" t="s">
        <v>760</v>
      </c>
      <c r="F49" s="6"/>
      <c r="G49" s="8" t="s">
        <v>19</v>
      </c>
      <c r="H49" s="8"/>
      <c r="I49" s="6"/>
      <c r="J49" s="6"/>
      <c r="K49" s="6"/>
      <c r="L49" s="6"/>
      <c r="M49" s="40">
        <f t="shared" si="0"/>
        <v>0</v>
      </c>
      <c r="N49" s="40">
        <f t="shared" si="1"/>
        <v>0</v>
      </c>
      <c r="O49" s="40">
        <f t="shared" si="2"/>
        <v>0</v>
      </c>
      <c r="P49" s="40">
        <f t="shared" si="3"/>
        <v>0</v>
      </c>
    </row>
    <row r="50" spans="2:16" ht="18">
      <c r="B50" s="7" t="s">
        <v>38</v>
      </c>
      <c r="C50" s="11">
        <v>45029</v>
      </c>
      <c r="D50" s="15" t="s">
        <v>809</v>
      </c>
      <c r="E50" s="4" t="s">
        <v>763</v>
      </c>
      <c r="F50" s="6"/>
      <c r="G50" s="8" t="s">
        <v>16</v>
      </c>
      <c r="H50" s="12">
        <v>45033</v>
      </c>
      <c r="I50" s="6"/>
      <c r="J50" s="6"/>
      <c r="K50" s="6" t="s">
        <v>772</v>
      </c>
      <c r="L50" s="6"/>
      <c r="M50" s="40">
        <f t="shared" si="0"/>
        <v>4</v>
      </c>
      <c r="N50" s="40">
        <f t="shared" si="1"/>
        <v>0</v>
      </c>
      <c r="O50" s="40">
        <f t="shared" si="2"/>
        <v>0</v>
      </c>
      <c r="P50" s="40">
        <f t="shared" si="3"/>
        <v>0</v>
      </c>
    </row>
    <row r="51" spans="2:16" ht="18">
      <c r="B51" s="7" t="s">
        <v>38</v>
      </c>
      <c r="C51" s="11">
        <v>45029</v>
      </c>
      <c r="D51" s="3" t="s">
        <v>810</v>
      </c>
      <c r="E51" s="4" t="s">
        <v>763</v>
      </c>
      <c r="F51" s="6"/>
      <c r="G51" s="8" t="s">
        <v>16</v>
      </c>
      <c r="H51" s="12">
        <v>45049</v>
      </c>
      <c r="I51" s="12">
        <v>45071</v>
      </c>
      <c r="J51" s="12">
        <v>45113</v>
      </c>
      <c r="K51" s="6"/>
      <c r="L51" s="6"/>
      <c r="M51" s="40">
        <f t="shared" si="0"/>
        <v>20</v>
      </c>
      <c r="N51" s="40">
        <f t="shared" si="1"/>
        <v>22</v>
      </c>
      <c r="O51" s="40">
        <f t="shared" si="2"/>
        <v>42</v>
      </c>
      <c r="P51" s="40">
        <f t="shared" si="3"/>
        <v>84</v>
      </c>
    </row>
    <row r="52" spans="2:16" ht="18">
      <c r="B52" s="7" t="s">
        <v>38</v>
      </c>
      <c r="C52" s="11">
        <v>45029</v>
      </c>
      <c r="D52" s="3" t="s">
        <v>811</v>
      </c>
      <c r="E52" s="4" t="s">
        <v>753</v>
      </c>
      <c r="F52" s="6"/>
      <c r="G52" s="8" t="s">
        <v>16</v>
      </c>
      <c r="H52" s="12">
        <v>45033</v>
      </c>
      <c r="I52" s="12">
        <v>45054</v>
      </c>
      <c r="J52" s="6"/>
      <c r="K52" s="6" t="s">
        <v>772</v>
      </c>
      <c r="L52" s="6"/>
      <c r="M52" s="40">
        <f t="shared" si="0"/>
        <v>4</v>
      </c>
      <c r="N52" s="40">
        <f t="shared" si="1"/>
        <v>21</v>
      </c>
      <c r="O52" s="40">
        <f t="shared" si="2"/>
        <v>0</v>
      </c>
      <c r="P52" s="40">
        <f t="shared" si="3"/>
        <v>0</v>
      </c>
    </row>
    <row r="53" spans="2:16" ht="18">
      <c r="B53" s="7" t="s">
        <v>38</v>
      </c>
      <c r="C53" s="11">
        <v>45029</v>
      </c>
      <c r="D53" s="3" t="s">
        <v>812</v>
      </c>
      <c r="E53" s="4" t="s">
        <v>753</v>
      </c>
      <c r="F53" s="6"/>
      <c r="G53" s="8" t="s">
        <v>19</v>
      </c>
      <c r="H53" s="8"/>
      <c r="I53" s="6"/>
      <c r="J53" s="6"/>
      <c r="K53" s="6"/>
      <c r="L53" s="6"/>
      <c r="M53" s="40">
        <f t="shared" si="0"/>
        <v>0</v>
      </c>
      <c r="N53" s="40">
        <f t="shared" si="1"/>
        <v>0</v>
      </c>
      <c r="O53" s="40">
        <f t="shared" si="2"/>
        <v>0</v>
      </c>
      <c r="P53" s="40">
        <f t="shared" si="3"/>
        <v>0</v>
      </c>
    </row>
    <row r="54" spans="2:16" ht="18">
      <c r="B54" s="7" t="s">
        <v>38</v>
      </c>
      <c r="C54" s="11">
        <v>45030</v>
      </c>
      <c r="D54" s="3" t="s">
        <v>813</v>
      </c>
      <c r="E54" s="4" t="s">
        <v>763</v>
      </c>
      <c r="F54" s="6"/>
      <c r="G54" s="8" t="s">
        <v>19</v>
      </c>
      <c r="H54" s="8"/>
      <c r="I54" s="6"/>
      <c r="J54" s="6"/>
      <c r="K54" s="6"/>
      <c r="L54" s="6"/>
      <c r="M54" s="40">
        <f t="shared" si="0"/>
        <v>0</v>
      </c>
      <c r="N54" s="40">
        <f t="shared" si="1"/>
        <v>0</v>
      </c>
      <c r="O54" s="40">
        <f t="shared" si="2"/>
        <v>0</v>
      </c>
      <c r="P54" s="40">
        <f t="shared" si="3"/>
        <v>0</v>
      </c>
    </row>
    <row r="55" spans="2:16" ht="18">
      <c r="B55" s="7" t="s">
        <v>38</v>
      </c>
      <c r="C55" s="11">
        <v>45036</v>
      </c>
      <c r="D55" s="3" t="s">
        <v>814</v>
      </c>
      <c r="E55" s="4" t="s">
        <v>771</v>
      </c>
      <c r="F55" s="6"/>
      <c r="G55" s="8" t="s">
        <v>16</v>
      </c>
      <c r="H55" s="12">
        <v>45044</v>
      </c>
      <c r="I55" s="6"/>
      <c r="J55" s="6"/>
      <c r="K55" s="6" t="s">
        <v>815</v>
      </c>
      <c r="L55" s="6"/>
      <c r="M55" s="40">
        <f t="shared" si="0"/>
        <v>8</v>
      </c>
      <c r="N55" s="40">
        <f t="shared" si="1"/>
        <v>0</v>
      </c>
      <c r="O55" s="40">
        <f t="shared" si="2"/>
        <v>0</v>
      </c>
      <c r="P55" s="40">
        <f t="shared" si="3"/>
        <v>0</v>
      </c>
    </row>
    <row r="56" spans="2:16" ht="18">
      <c r="B56" s="7" t="s">
        <v>38</v>
      </c>
      <c r="C56" s="11">
        <v>45036</v>
      </c>
      <c r="D56" s="3" t="s">
        <v>816</v>
      </c>
      <c r="E56" s="4" t="s">
        <v>760</v>
      </c>
      <c r="F56" s="6"/>
      <c r="G56" s="8" t="s">
        <v>19</v>
      </c>
      <c r="H56" s="8"/>
      <c r="I56" s="6"/>
      <c r="J56" s="6"/>
      <c r="K56" s="6"/>
      <c r="L56" s="6"/>
      <c r="M56" s="40">
        <f t="shared" si="0"/>
        <v>0</v>
      </c>
      <c r="N56" s="40">
        <f t="shared" si="1"/>
        <v>0</v>
      </c>
      <c r="O56" s="40">
        <f t="shared" si="2"/>
        <v>0</v>
      </c>
      <c r="P56" s="40">
        <f t="shared" si="3"/>
        <v>0</v>
      </c>
    </row>
    <row r="57" spans="2:16" ht="18">
      <c r="B57" s="7" t="s">
        <v>38</v>
      </c>
      <c r="C57" s="11">
        <v>45036</v>
      </c>
      <c r="D57" s="3" t="s">
        <v>817</v>
      </c>
      <c r="E57" s="4" t="s">
        <v>760</v>
      </c>
      <c r="F57" s="6"/>
      <c r="G57" s="8" t="s">
        <v>19</v>
      </c>
      <c r="H57" s="8"/>
      <c r="I57" s="6"/>
      <c r="J57" s="6"/>
      <c r="K57" s="6"/>
      <c r="L57" s="6"/>
      <c r="M57" s="40">
        <f t="shared" si="0"/>
        <v>0</v>
      </c>
      <c r="N57" s="40">
        <f t="shared" si="1"/>
        <v>0</v>
      </c>
      <c r="O57" s="40">
        <f t="shared" si="2"/>
        <v>0</v>
      </c>
      <c r="P57" s="40">
        <f t="shared" si="3"/>
        <v>0</v>
      </c>
    </row>
    <row r="58" spans="2:16" ht="18">
      <c r="B58" s="7" t="s">
        <v>47</v>
      </c>
      <c r="C58" s="11">
        <v>45050</v>
      </c>
      <c r="D58" s="3" t="s">
        <v>818</v>
      </c>
      <c r="E58" s="4" t="s">
        <v>753</v>
      </c>
      <c r="F58" s="6"/>
      <c r="G58" s="8" t="s">
        <v>16</v>
      </c>
      <c r="H58" s="12">
        <v>45064</v>
      </c>
      <c r="I58" s="6"/>
      <c r="J58" s="6"/>
      <c r="K58" s="6" t="s">
        <v>819</v>
      </c>
      <c r="L58" s="6"/>
      <c r="M58" s="40">
        <f t="shared" si="0"/>
        <v>14</v>
      </c>
      <c r="N58" s="40">
        <f t="shared" si="1"/>
        <v>0</v>
      </c>
      <c r="O58" s="40">
        <f t="shared" si="2"/>
        <v>0</v>
      </c>
      <c r="P58" s="40">
        <f t="shared" si="3"/>
        <v>0</v>
      </c>
    </row>
    <row r="59" spans="2:16" ht="18">
      <c r="B59" s="7" t="s">
        <v>47</v>
      </c>
      <c r="C59" s="11">
        <v>45050</v>
      </c>
      <c r="D59" s="3" t="s">
        <v>820</v>
      </c>
      <c r="E59" s="4" t="s">
        <v>763</v>
      </c>
      <c r="F59" s="6"/>
      <c r="G59" s="8" t="s">
        <v>16</v>
      </c>
      <c r="H59" s="12">
        <v>45062</v>
      </c>
      <c r="I59" s="12">
        <v>45117</v>
      </c>
      <c r="J59" s="12">
        <v>45138</v>
      </c>
      <c r="K59" s="6" t="s">
        <v>751</v>
      </c>
      <c r="L59" s="6"/>
      <c r="M59" s="40">
        <f t="shared" si="0"/>
        <v>12</v>
      </c>
      <c r="N59" s="40">
        <f t="shared" si="1"/>
        <v>55</v>
      </c>
      <c r="O59" s="40">
        <f t="shared" si="2"/>
        <v>21</v>
      </c>
      <c r="P59" s="40">
        <f t="shared" si="3"/>
        <v>88</v>
      </c>
    </row>
    <row r="60" spans="2:16" ht="18">
      <c r="B60" s="7" t="s">
        <v>47</v>
      </c>
      <c r="C60" s="11">
        <v>45050</v>
      </c>
      <c r="D60" s="3" t="s">
        <v>821</v>
      </c>
      <c r="E60" s="4" t="s">
        <v>760</v>
      </c>
      <c r="F60" s="6"/>
      <c r="G60" s="8" t="s">
        <v>19</v>
      </c>
      <c r="H60" s="6"/>
      <c r="I60" s="6"/>
      <c r="J60" s="6"/>
      <c r="K60" s="6"/>
      <c r="L60" s="6"/>
      <c r="M60" s="40">
        <f t="shared" si="0"/>
        <v>0</v>
      </c>
      <c r="N60" s="40">
        <f t="shared" si="1"/>
        <v>0</v>
      </c>
      <c r="O60" s="40">
        <f t="shared" si="2"/>
        <v>0</v>
      </c>
      <c r="P60" s="40">
        <f t="shared" si="3"/>
        <v>0</v>
      </c>
    </row>
    <row r="61" spans="2:16" ht="18">
      <c r="B61" s="7" t="s">
        <v>47</v>
      </c>
      <c r="C61" s="11">
        <v>45050</v>
      </c>
      <c r="D61" s="3" t="s">
        <v>822</v>
      </c>
      <c r="E61" s="4" t="s">
        <v>755</v>
      </c>
      <c r="F61" s="6"/>
      <c r="G61" s="8" t="s">
        <v>16</v>
      </c>
      <c r="H61" s="12">
        <v>45181</v>
      </c>
      <c r="I61" s="12">
        <v>45237</v>
      </c>
      <c r="J61" s="12">
        <v>45264</v>
      </c>
      <c r="K61" s="6" t="s">
        <v>751</v>
      </c>
      <c r="L61" s="6"/>
      <c r="M61" s="40">
        <f t="shared" si="0"/>
        <v>131</v>
      </c>
      <c r="N61" s="40">
        <f t="shared" si="1"/>
        <v>56</v>
      </c>
      <c r="O61" s="40">
        <f t="shared" si="2"/>
        <v>27</v>
      </c>
      <c r="P61" s="40">
        <f t="shared" si="3"/>
        <v>214</v>
      </c>
    </row>
    <row r="62" spans="2:16" ht="18">
      <c r="B62" s="7" t="s">
        <v>47</v>
      </c>
      <c r="C62" s="11">
        <v>45057</v>
      </c>
      <c r="D62" s="3" t="s">
        <v>823</v>
      </c>
      <c r="E62" s="4" t="s">
        <v>763</v>
      </c>
      <c r="F62" s="6"/>
      <c r="G62" s="8" t="s">
        <v>19</v>
      </c>
      <c r="H62" s="6"/>
      <c r="I62" s="6"/>
      <c r="J62" s="6"/>
      <c r="K62" s="6"/>
      <c r="L62" s="6"/>
      <c r="M62" s="40">
        <f t="shared" si="0"/>
        <v>0</v>
      </c>
      <c r="N62" s="40">
        <f t="shared" si="1"/>
        <v>0</v>
      </c>
      <c r="O62" s="40">
        <f t="shared" si="2"/>
        <v>0</v>
      </c>
      <c r="P62" s="40">
        <f t="shared" si="3"/>
        <v>0</v>
      </c>
    </row>
    <row r="63" spans="2:16" ht="18">
      <c r="B63" s="7" t="s">
        <v>47</v>
      </c>
      <c r="C63" s="11">
        <v>45057</v>
      </c>
      <c r="D63" s="3" t="s">
        <v>824</v>
      </c>
      <c r="E63" s="4" t="s">
        <v>753</v>
      </c>
      <c r="F63" s="6"/>
      <c r="G63" s="8" t="s">
        <v>19</v>
      </c>
      <c r="H63" s="6"/>
      <c r="I63" s="6"/>
      <c r="J63" s="6"/>
      <c r="K63" s="6"/>
      <c r="L63" s="6"/>
      <c r="M63" s="40">
        <f t="shared" si="0"/>
        <v>0</v>
      </c>
      <c r="N63" s="40">
        <f t="shared" si="1"/>
        <v>0</v>
      </c>
      <c r="O63" s="40">
        <f t="shared" si="2"/>
        <v>0</v>
      </c>
      <c r="P63" s="40">
        <f t="shared" si="3"/>
        <v>0</v>
      </c>
    </row>
    <row r="64" spans="2:16" ht="18">
      <c r="B64" s="7" t="s">
        <v>47</v>
      </c>
      <c r="C64" s="11">
        <v>45057</v>
      </c>
      <c r="D64" s="3" t="s">
        <v>825</v>
      </c>
      <c r="E64" s="4" t="s">
        <v>753</v>
      </c>
      <c r="F64" s="6"/>
      <c r="G64" s="8" t="s">
        <v>19</v>
      </c>
      <c r="H64" s="6"/>
      <c r="I64" s="6"/>
      <c r="J64" s="6"/>
      <c r="K64" s="6"/>
      <c r="L64" s="6"/>
      <c r="M64" s="40">
        <f t="shared" si="0"/>
        <v>0</v>
      </c>
      <c r="N64" s="40">
        <f t="shared" si="1"/>
        <v>0</v>
      </c>
      <c r="O64" s="40">
        <f t="shared" si="2"/>
        <v>0</v>
      </c>
      <c r="P64" s="40">
        <f t="shared" si="3"/>
        <v>0</v>
      </c>
    </row>
    <row r="65" spans="2:16" ht="18">
      <c r="B65" s="7" t="s">
        <v>47</v>
      </c>
      <c r="C65" s="11">
        <v>45057</v>
      </c>
      <c r="D65" s="3" t="s">
        <v>826</v>
      </c>
      <c r="E65" s="4" t="s">
        <v>763</v>
      </c>
      <c r="F65" s="6"/>
      <c r="G65" s="8" t="s">
        <v>16</v>
      </c>
      <c r="H65" s="12">
        <v>45083</v>
      </c>
      <c r="I65" s="12">
        <v>45084</v>
      </c>
      <c r="J65" s="20">
        <v>45139</v>
      </c>
      <c r="K65" s="6" t="s">
        <v>751</v>
      </c>
      <c r="L65" s="6"/>
      <c r="M65" s="40">
        <f t="shared" si="0"/>
        <v>26</v>
      </c>
      <c r="N65" s="40">
        <f t="shared" si="1"/>
        <v>1</v>
      </c>
      <c r="O65" s="40">
        <f t="shared" si="2"/>
        <v>55</v>
      </c>
      <c r="P65" s="40">
        <f t="shared" si="3"/>
        <v>82</v>
      </c>
    </row>
    <row r="66" spans="2:16" ht="18">
      <c r="B66" s="7" t="s">
        <v>47</v>
      </c>
      <c r="C66" s="11">
        <v>45057</v>
      </c>
      <c r="D66" s="3" t="s">
        <v>827</v>
      </c>
      <c r="E66" s="4" t="s">
        <v>763</v>
      </c>
      <c r="F66" s="6"/>
      <c r="G66" s="8" t="s">
        <v>19</v>
      </c>
      <c r="I66" s="6"/>
      <c r="J66" s="6"/>
      <c r="K66" s="6"/>
      <c r="L66" s="6"/>
      <c r="M66" s="40">
        <f t="shared" si="0"/>
        <v>0</v>
      </c>
      <c r="N66" s="40">
        <f t="shared" si="1"/>
        <v>0</v>
      </c>
      <c r="O66" s="40">
        <f t="shared" si="2"/>
        <v>0</v>
      </c>
      <c r="P66" s="40">
        <f t="shared" si="3"/>
        <v>0</v>
      </c>
    </row>
    <row r="67" spans="2:16" ht="18">
      <c r="B67" s="7" t="s">
        <v>47</v>
      </c>
      <c r="C67" s="11">
        <v>45064</v>
      </c>
      <c r="D67" s="3" t="s">
        <v>828</v>
      </c>
      <c r="E67" s="4" t="s">
        <v>763</v>
      </c>
      <c r="F67" s="6"/>
      <c r="G67" s="8" t="s">
        <v>19</v>
      </c>
      <c r="H67" s="6"/>
      <c r="I67" s="6"/>
      <c r="J67" s="6"/>
      <c r="K67" s="6"/>
      <c r="L67" s="6"/>
      <c r="M67" s="40">
        <f t="shared" ref="M67:M92" si="4">IF(H67&gt;0,H67-C67,0)</f>
        <v>0</v>
      </c>
      <c r="N67" s="40">
        <f t="shared" ref="N67:N92" si="5">IF(I67&gt;0,I67-H67,0)</f>
        <v>0</v>
      </c>
      <c r="O67" s="40">
        <f t="shared" ref="O67:O92" si="6">IF(J67&gt;0,J67-I67,0)</f>
        <v>0</v>
      </c>
      <c r="P67" s="40">
        <f t="shared" ref="P67:P92" si="7">IF(J67&gt;0,J67-C67,0)</f>
        <v>0</v>
      </c>
    </row>
    <row r="68" spans="2:16" ht="18">
      <c r="B68" s="7" t="s">
        <v>47</v>
      </c>
      <c r="C68" s="11">
        <v>45064</v>
      </c>
      <c r="D68" s="3" t="s">
        <v>829</v>
      </c>
      <c r="E68" s="4" t="s">
        <v>757</v>
      </c>
      <c r="F68" s="6"/>
      <c r="G68" s="8" t="s">
        <v>16</v>
      </c>
      <c r="H68" s="12">
        <v>45113</v>
      </c>
      <c r="I68" s="12">
        <v>45141</v>
      </c>
      <c r="J68" s="6"/>
      <c r="K68" s="6" t="s">
        <v>806</v>
      </c>
      <c r="L68" s="6"/>
      <c r="M68" s="40">
        <f t="shared" si="4"/>
        <v>49</v>
      </c>
      <c r="N68" s="40">
        <f t="shared" si="5"/>
        <v>28</v>
      </c>
      <c r="O68" s="40">
        <f t="shared" si="6"/>
        <v>0</v>
      </c>
      <c r="P68" s="40">
        <f t="shared" si="7"/>
        <v>0</v>
      </c>
    </row>
    <row r="69" spans="2:16" ht="18">
      <c r="B69" s="7" t="s">
        <v>47</v>
      </c>
      <c r="C69" s="11">
        <v>45064</v>
      </c>
      <c r="D69" s="3" t="s">
        <v>830</v>
      </c>
      <c r="E69" s="4" t="s">
        <v>755</v>
      </c>
      <c r="F69" s="6"/>
      <c r="G69" s="8" t="s">
        <v>16</v>
      </c>
      <c r="H69" s="12">
        <v>45075</v>
      </c>
      <c r="I69" s="12">
        <v>45082</v>
      </c>
      <c r="J69" s="12">
        <v>45153</v>
      </c>
      <c r="K69" s="6" t="s">
        <v>751</v>
      </c>
      <c r="L69" s="6"/>
      <c r="M69" s="40">
        <f t="shared" si="4"/>
        <v>11</v>
      </c>
      <c r="N69" s="40">
        <f t="shared" si="5"/>
        <v>7</v>
      </c>
      <c r="O69" s="40">
        <f t="shared" si="6"/>
        <v>71</v>
      </c>
      <c r="P69" s="40">
        <f t="shared" si="7"/>
        <v>89</v>
      </c>
    </row>
    <row r="70" spans="2:16" ht="18">
      <c r="B70" s="7" t="s">
        <v>47</v>
      </c>
      <c r="C70" s="11">
        <v>45064</v>
      </c>
      <c r="D70" s="3" t="s">
        <v>831</v>
      </c>
      <c r="E70" s="4" t="s">
        <v>760</v>
      </c>
      <c r="F70" s="6"/>
      <c r="G70" s="8" t="s">
        <v>19</v>
      </c>
      <c r="H70" s="6"/>
      <c r="I70" s="6"/>
      <c r="J70" s="6"/>
      <c r="K70" s="6"/>
      <c r="L70" s="6"/>
      <c r="M70" s="40">
        <f t="shared" si="4"/>
        <v>0</v>
      </c>
      <c r="N70" s="40">
        <f t="shared" si="5"/>
        <v>0</v>
      </c>
      <c r="O70" s="40">
        <f t="shared" si="6"/>
        <v>0</v>
      </c>
      <c r="P70" s="40">
        <f t="shared" si="7"/>
        <v>0</v>
      </c>
    </row>
    <row r="71" spans="2:16" ht="18">
      <c r="B71" s="7" t="s">
        <v>57</v>
      </c>
      <c r="C71" s="11">
        <v>45078</v>
      </c>
      <c r="D71" s="3" t="s">
        <v>832</v>
      </c>
      <c r="E71" s="4" t="s">
        <v>760</v>
      </c>
      <c r="F71" s="6"/>
      <c r="G71" s="8" t="s">
        <v>16</v>
      </c>
      <c r="H71" s="12">
        <v>45078</v>
      </c>
      <c r="I71" s="12">
        <v>45090</v>
      </c>
      <c r="J71" s="6"/>
      <c r="K71" s="6" t="s">
        <v>345</v>
      </c>
      <c r="L71" s="6"/>
      <c r="M71" s="40">
        <f t="shared" si="4"/>
        <v>0</v>
      </c>
      <c r="N71" s="40">
        <f t="shared" si="5"/>
        <v>12</v>
      </c>
      <c r="O71" s="40">
        <f t="shared" si="6"/>
        <v>0</v>
      </c>
      <c r="P71" s="40">
        <f t="shared" si="7"/>
        <v>0</v>
      </c>
    </row>
    <row r="72" spans="2:16" ht="18">
      <c r="B72" s="7" t="s">
        <v>57</v>
      </c>
      <c r="C72" s="11">
        <v>45078</v>
      </c>
      <c r="D72" s="3" t="s">
        <v>833</v>
      </c>
      <c r="E72" s="4" t="s">
        <v>753</v>
      </c>
      <c r="F72" s="6"/>
      <c r="G72" s="8" t="s">
        <v>19</v>
      </c>
      <c r="H72" s="6"/>
      <c r="I72" s="6"/>
      <c r="J72" s="6"/>
      <c r="K72" s="6"/>
      <c r="L72" s="6"/>
      <c r="M72" s="40">
        <f t="shared" si="4"/>
        <v>0</v>
      </c>
      <c r="N72" s="40">
        <f t="shared" si="5"/>
        <v>0</v>
      </c>
      <c r="O72" s="40">
        <f t="shared" si="6"/>
        <v>0</v>
      </c>
      <c r="P72" s="40">
        <f t="shared" si="7"/>
        <v>0</v>
      </c>
    </row>
    <row r="73" spans="2:16" ht="18">
      <c r="B73" s="7" t="s">
        <v>57</v>
      </c>
      <c r="C73" s="11">
        <v>45078</v>
      </c>
      <c r="D73" s="3" t="s">
        <v>834</v>
      </c>
      <c r="E73" s="4" t="s">
        <v>760</v>
      </c>
      <c r="F73" s="6"/>
      <c r="G73" s="8" t="s">
        <v>19</v>
      </c>
      <c r="H73" s="6"/>
      <c r="I73" s="6"/>
      <c r="J73" s="6"/>
      <c r="K73" s="6"/>
      <c r="L73" s="6"/>
      <c r="M73" s="40">
        <f t="shared" si="4"/>
        <v>0</v>
      </c>
      <c r="N73" s="40">
        <f t="shared" si="5"/>
        <v>0</v>
      </c>
      <c r="O73" s="40">
        <f t="shared" si="6"/>
        <v>0</v>
      </c>
      <c r="P73" s="40">
        <f t="shared" si="7"/>
        <v>0</v>
      </c>
    </row>
    <row r="74" spans="2:16" ht="18">
      <c r="B74" s="7" t="s">
        <v>57</v>
      </c>
      <c r="C74" s="104">
        <v>45071</v>
      </c>
      <c r="D74" s="3" t="s">
        <v>835</v>
      </c>
      <c r="E74" s="4" t="s">
        <v>753</v>
      </c>
      <c r="F74" s="6"/>
      <c r="G74" s="8" t="s">
        <v>16</v>
      </c>
      <c r="H74" s="12">
        <v>45072</v>
      </c>
      <c r="I74" s="12">
        <v>45124</v>
      </c>
      <c r="J74" s="12">
        <v>45149</v>
      </c>
      <c r="K74" s="6" t="s">
        <v>751</v>
      </c>
      <c r="L74" s="6"/>
      <c r="M74" s="40">
        <f t="shared" si="4"/>
        <v>1</v>
      </c>
      <c r="N74" s="40">
        <f t="shared" si="5"/>
        <v>52</v>
      </c>
      <c r="O74" s="40">
        <f t="shared" si="6"/>
        <v>25</v>
      </c>
      <c r="P74" s="40">
        <f t="shared" si="7"/>
        <v>78</v>
      </c>
    </row>
    <row r="75" spans="2:16" ht="18">
      <c r="B75" s="7" t="s">
        <v>57</v>
      </c>
      <c r="C75" s="11">
        <v>45078</v>
      </c>
      <c r="D75" s="3" t="s">
        <v>836</v>
      </c>
      <c r="E75" s="4" t="s">
        <v>757</v>
      </c>
      <c r="F75" s="6"/>
      <c r="G75" s="8" t="s">
        <v>19</v>
      </c>
      <c r="H75" s="6"/>
      <c r="I75" s="6"/>
      <c r="J75" s="6"/>
      <c r="K75" s="6"/>
      <c r="L75" s="6"/>
      <c r="M75" s="40">
        <f t="shared" si="4"/>
        <v>0</v>
      </c>
      <c r="N75" s="40">
        <f t="shared" si="5"/>
        <v>0</v>
      </c>
      <c r="O75" s="40">
        <f t="shared" si="6"/>
        <v>0</v>
      </c>
      <c r="P75" s="40">
        <f t="shared" si="7"/>
        <v>0</v>
      </c>
    </row>
    <row r="76" spans="2:16" ht="18">
      <c r="B76" s="7" t="s">
        <v>57</v>
      </c>
      <c r="C76" s="11">
        <v>45085</v>
      </c>
      <c r="D76" s="3" t="s">
        <v>837</v>
      </c>
      <c r="E76" s="4" t="s">
        <v>763</v>
      </c>
      <c r="F76" s="6"/>
      <c r="G76" s="8" t="s">
        <v>19</v>
      </c>
      <c r="H76" s="6"/>
      <c r="I76" s="6"/>
      <c r="J76" s="6"/>
      <c r="K76" s="6"/>
      <c r="L76" s="6"/>
      <c r="M76" s="40">
        <f t="shared" si="4"/>
        <v>0</v>
      </c>
      <c r="N76" s="40">
        <f t="shared" si="5"/>
        <v>0</v>
      </c>
      <c r="O76" s="40">
        <f t="shared" si="6"/>
        <v>0</v>
      </c>
      <c r="P76" s="40">
        <f t="shared" si="7"/>
        <v>0</v>
      </c>
    </row>
    <row r="77" spans="2:16" ht="18">
      <c r="B77" s="7" t="s">
        <v>57</v>
      </c>
      <c r="C77" s="11">
        <v>45085</v>
      </c>
      <c r="D77" s="3" t="s">
        <v>838</v>
      </c>
      <c r="E77" s="4" t="s">
        <v>763</v>
      </c>
      <c r="F77" s="6"/>
      <c r="G77" s="8" t="s">
        <v>19</v>
      </c>
      <c r="H77" s="6"/>
      <c r="I77" s="6"/>
      <c r="J77" s="6"/>
      <c r="K77" s="6"/>
      <c r="L77" s="6"/>
      <c r="M77" s="40">
        <f t="shared" si="4"/>
        <v>0</v>
      </c>
      <c r="N77" s="40">
        <f t="shared" si="5"/>
        <v>0</v>
      </c>
      <c r="O77" s="40">
        <f t="shared" si="6"/>
        <v>0</v>
      </c>
      <c r="P77" s="40">
        <f t="shared" si="7"/>
        <v>0</v>
      </c>
    </row>
    <row r="78" spans="2:16" ht="18">
      <c r="B78" s="7" t="s">
        <v>57</v>
      </c>
      <c r="C78" s="11">
        <v>45085</v>
      </c>
      <c r="D78" s="3" t="s">
        <v>839</v>
      </c>
      <c r="E78" s="4" t="s">
        <v>753</v>
      </c>
      <c r="F78" s="6"/>
      <c r="G78" s="8" t="s">
        <v>19</v>
      </c>
      <c r="H78" s="6"/>
      <c r="I78" s="6"/>
      <c r="J78" s="6"/>
      <c r="K78" s="6"/>
      <c r="L78" s="6"/>
      <c r="M78" s="40">
        <f t="shared" si="4"/>
        <v>0</v>
      </c>
      <c r="N78" s="40">
        <f t="shared" si="5"/>
        <v>0</v>
      </c>
      <c r="O78" s="40">
        <f t="shared" si="6"/>
        <v>0</v>
      </c>
      <c r="P78" s="40">
        <f t="shared" si="7"/>
        <v>0</v>
      </c>
    </row>
    <row r="79" spans="2:16" ht="18">
      <c r="B79" s="7" t="s">
        <v>57</v>
      </c>
      <c r="C79" s="11">
        <v>45092</v>
      </c>
      <c r="D79" s="3" t="s">
        <v>840</v>
      </c>
      <c r="E79" s="4" t="s">
        <v>753</v>
      </c>
      <c r="F79" s="6"/>
      <c r="G79" s="8" t="s">
        <v>16</v>
      </c>
      <c r="H79" s="12">
        <v>45099</v>
      </c>
      <c r="I79" s="12">
        <v>45117</v>
      </c>
      <c r="J79" s="20">
        <v>45138</v>
      </c>
      <c r="K79" s="6" t="s">
        <v>751</v>
      </c>
      <c r="L79" s="6"/>
      <c r="M79" s="40">
        <f t="shared" si="4"/>
        <v>7</v>
      </c>
      <c r="N79" s="40">
        <f t="shared" si="5"/>
        <v>18</v>
      </c>
      <c r="O79" s="40">
        <f t="shared" si="6"/>
        <v>21</v>
      </c>
      <c r="P79" s="40">
        <f t="shared" si="7"/>
        <v>46</v>
      </c>
    </row>
    <row r="80" spans="2:16" ht="18">
      <c r="B80" s="7" t="s">
        <v>57</v>
      </c>
      <c r="C80" s="11">
        <v>45092</v>
      </c>
      <c r="D80" s="3" t="s">
        <v>841</v>
      </c>
      <c r="E80" s="4" t="s">
        <v>760</v>
      </c>
      <c r="F80" s="6"/>
      <c r="G80" s="8" t="s">
        <v>16</v>
      </c>
      <c r="H80" s="25">
        <v>45117</v>
      </c>
      <c r="I80" s="12">
        <v>45124</v>
      </c>
      <c r="J80" s="20">
        <v>45148</v>
      </c>
      <c r="K80" s="6" t="s">
        <v>751</v>
      </c>
      <c r="L80" s="6"/>
      <c r="M80" s="40">
        <f t="shared" si="4"/>
        <v>25</v>
      </c>
      <c r="N80" s="40">
        <f t="shared" si="5"/>
        <v>7</v>
      </c>
      <c r="O80" s="40">
        <f t="shared" si="6"/>
        <v>24</v>
      </c>
      <c r="P80" s="40">
        <f t="shared" si="7"/>
        <v>56</v>
      </c>
    </row>
    <row r="81" spans="2:16" ht="18">
      <c r="B81" s="7" t="s">
        <v>57</v>
      </c>
      <c r="C81" s="11">
        <v>45092</v>
      </c>
      <c r="D81" s="3" t="s">
        <v>842</v>
      </c>
      <c r="E81" s="4" t="s">
        <v>760</v>
      </c>
      <c r="F81" s="6"/>
      <c r="G81" s="8" t="s">
        <v>19</v>
      </c>
      <c r="H81" s="6"/>
      <c r="I81" s="6"/>
      <c r="J81" s="6"/>
      <c r="K81" s="6"/>
      <c r="L81" s="6"/>
      <c r="M81" s="40">
        <f t="shared" si="4"/>
        <v>0</v>
      </c>
      <c r="N81" s="40">
        <f t="shared" si="5"/>
        <v>0</v>
      </c>
      <c r="O81" s="40">
        <f t="shared" si="6"/>
        <v>0</v>
      </c>
      <c r="P81" s="40">
        <f t="shared" si="7"/>
        <v>0</v>
      </c>
    </row>
    <row r="82" spans="2:16" ht="18">
      <c r="B82" s="7" t="s">
        <v>57</v>
      </c>
      <c r="C82" s="11">
        <v>45099</v>
      </c>
      <c r="D82" s="3" t="s">
        <v>843</v>
      </c>
      <c r="E82" s="4" t="s">
        <v>755</v>
      </c>
      <c r="F82" s="6"/>
      <c r="G82" s="8" t="s">
        <v>19</v>
      </c>
      <c r="H82" s="6"/>
      <c r="I82" s="6"/>
      <c r="J82" s="6"/>
      <c r="K82" s="6"/>
      <c r="L82" s="6"/>
      <c r="M82" s="40">
        <f t="shared" si="4"/>
        <v>0</v>
      </c>
      <c r="N82" s="40">
        <f t="shared" si="5"/>
        <v>0</v>
      </c>
      <c r="O82" s="40">
        <f t="shared" si="6"/>
        <v>0</v>
      </c>
      <c r="P82" s="40">
        <f t="shared" si="7"/>
        <v>0</v>
      </c>
    </row>
    <row r="83" spans="2:16" ht="18">
      <c r="B83" s="7" t="s">
        <v>57</v>
      </c>
      <c r="C83" s="11">
        <v>45099</v>
      </c>
      <c r="D83" s="3" t="s">
        <v>844</v>
      </c>
      <c r="E83" s="4" t="s">
        <v>753</v>
      </c>
      <c r="F83" s="6"/>
      <c r="G83" s="8" t="s">
        <v>16</v>
      </c>
      <c r="H83" s="12">
        <v>45111</v>
      </c>
      <c r="I83" s="12">
        <v>45117</v>
      </c>
      <c r="J83" s="6"/>
      <c r="K83" s="6" t="s">
        <v>345</v>
      </c>
      <c r="L83" s="6"/>
      <c r="M83" s="40">
        <f t="shared" si="4"/>
        <v>12</v>
      </c>
      <c r="N83" s="40">
        <f t="shared" si="5"/>
        <v>6</v>
      </c>
      <c r="O83" s="40">
        <f t="shared" si="6"/>
        <v>0</v>
      </c>
      <c r="P83" s="40">
        <f t="shared" si="7"/>
        <v>0</v>
      </c>
    </row>
    <row r="84" spans="2:16" ht="18">
      <c r="B84" s="7" t="s">
        <v>62</v>
      </c>
      <c r="C84" s="11">
        <v>45113</v>
      </c>
      <c r="D84" s="3" t="s">
        <v>845</v>
      </c>
      <c r="E84" s="4" t="s">
        <v>763</v>
      </c>
      <c r="F84" s="6"/>
      <c r="G84" s="8" t="s">
        <v>19</v>
      </c>
      <c r="H84" s="6"/>
      <c r="I84" s="6"/>
      <c r="J84" s="6"/>
      <c r="K84" s="6"/>
      <c r="L84" s="6"/>
      <c r="M84" s="40">
        <f t="shared" si="4"/>
        <v>0</v>
      </c>
      <c r="N84" s="40">
        <f t="shared" si="5"/>
        <v>0</v>
      </c>
      <c r="O84" s="40">
        <f t="shared" si="6"/>
        <v>0</v>
      </c>
      <c r="P84" s="40">
        <f t="shared" si="7"/>
        <v>0</v>
      </c>
    </row>
    <row r="85" spans="2:16" ht="18">
      <c r="B85" s="7" t="s">
        <v>62</v>
      </c>
      <c r="C85" s="11">
        <v>45113</v>
      </c>
      <c r="D85" s="3" t="s">
        <v>846</v>
      </c>
      <c r="E85" s="4" t="s">
        <v>763</v>
      </c>
      <c r="F85" s="6"/>
      <c r="G85" s="8" t="s">
        <v>16</v>
      </c>
      <c r="H85" s="12">
        <v>45114</v>
      </c>
      <c r="I85" s="12">
        <v>45152</v>
      </c>
      <c r="J85" s="12">
        <v>45173</v>
      </c>
      <c r="K85" s="6"/>
      <c r="L85" s="6"/>
      <c r="M85" s="40">
        <f t="shared" si="4"/>
        <v>1</v>
      </c>
      <c r="N85" s="40">
        <f t="shared" si="5"/>
        <v>38</v>
      </c>
      <c r="O85" s="40">
        <f t="shared" si="6"/>
        <v>21</v>
      </c>
      <c r="P85" s="40">
        <f t="shared" si="7"/>
        <v>60</v>
      </c>
    </row>
    <row r="86" spans="2:16" ht="18">
      <c r="B86" s="7" t="s">
        <v>62</v>
      </c>
      <c r="C86" s="11">
        <v>45113</v>
      </c>
      <c r="D86" s="3" t="s">
        <v>847</v>
      </c>
      <c r="E86" s="4" t="s">
        <v>757</v>
      </c>
      <c r="F86" s="6"/>
      <c r="G86" s="8" t="s">
        <v>19</v>
      </c>
      <c r="H86" s="6"/>
      <c r="I86" s="6"/>
      <c r="J86" s="6"/>
      <c r="K86" s="6"/>
      <c r="L86" s="6"/>
      <c r="M86" s="40">
        <f t="shared" si="4"/>
        <v>0</v>
      </c>
      <c r="N86" s="40">
        <f t="shared" si="5"/>
        <v>0</v>
      </c>
      <c r="O86" s="40">
        <f t="shared" si="6"/>
        <v>0</v>
      </c>
      <c r="P86" s="40">
        <f t="shared" si="7"/>
        <v>0</v>
      </c>
    </row>
    <row r="87" spans="2:16" ht="18">
      <c r="B87" s="7" t="s">
        <v>62</v>
      </c>
      <c r="C87" s="11">
        <v>45113</v>
      </c>
      <c r="D87" s="3" t="s">
        <v>848</v>
      </c>
      <c r="E87" s="4" t="s">
        <v>760</v>
      </c>
      <c r="F87" s="6"/>
      <c r="G87" s="8" t="s">
        <v>19</v>
      </c>
      <c r="H87" s="6"/>
      <c r="I87" s="6"/>
      <c r="J87" s="6"/>
      <c r="K87" s="6"/>
      <c r="L87" s="6"/>
      <c r="M87" s="40">
        <f t="shared" si="4"/>
        <v>0</v>
      </c>
      <c r="N87" s="40">
        <f t="shared" si="5"/>
        <v>0</v>
      </c>
      <c r="O87" s="40">
        <f t="shared" si="6"/>
        <v>0</v>
      </c>
      <c r="P87" s="40">
        <f t="shared" si="7"/>
        <v>0</v>
      </c>
    </row>
    <row r="88" spans="2:16" ht="18">
      <c r="B88" s="7" t="s">
        <v>62</v>
      </c>
      <c r="C88" s="11">
        <v>45120</v>
      </c>
      <c r="D88" s="3" t="s">
        <v>849</v>
      </c>
      <c r="E88" s="4" t="s">
        <v>760</v>
      </c>
      <c r="F88" s="6"/>
      <c r="G88" s="8" t="s">
        <v>16</v>
      </c>
      <c r="H88" s="12">
        <v>45173</v>
      </c>
      <c r="I88" s="12">
        <v>45180</v>
      </c>
      <c r="J88" s="6"/>
      <c r="K88" s="6" t="s">
        <v>850</v>
      </c>
      <c r="L88" s="6"/>
      <c r="M88" s="40">
        <f t="shared" si="4"/>
        <v>53</v>
      </c>
      <c r="N88" s="40">
        <f t="shared" si="5"/>
        <v>7</v>
      </c>
      <c r="O88" s="40">
        <f t="shared" si="6"/>
        <v>0</v>
      </c>
      <c r="P88" s="40">
        <f t="shared" si="7"/>
        <v>0</v>
      </c>
    </row>
    <row r="89" spans="2:16" ht="18">
      <c r="B89" s="7" t="s">
        <v>62</v>
      </c>
      <c r="C89" s="11">
        <v>45120</v>
      </c>
      <c r="D89" s="3" t="s">
        <v>851</v>
      </c>
      <c r="E89" s="4" t="s">
        <v>757</v>
      </c>
      <c r="F89" s="6"/>
      <c r="G89" s="8" t="s">
        <v>16</v>
      </c>
      <c r="H89" s="12">
        <v>45128</v>
      </c>
      <c r="I89" s="12">
        <v>45138</v>
      </c>
      <c r="J89" s="6"/>
      <c r="K89" s="6" t="s">
        <v>852</v>
      </c>
      <c r="L89" s="6"/>
      <c r="M89" s="40">
        <f t="shared" si="4"/>
        <v>8</v>
      </c>
      <c r="N89" s="40">
        <f t="shared" si="5"/>
        <v>10</v>
      </c>
      <c r="O89" s="40">
        <f t="shared" si="6"/>
        <v>0</v>
      </c>
      <c r="P89" s="40">
        <f t="shared" si="7"/>
        <v>0</v>
      </c>
    </row>
    <row r="90" spans="2:16" ht="18">
      <c r="B90" s="7" t="s">
        <v>62</v>
      </c>
      <c r="C90" s="11">
        <v>45120</v>
      </c>
      <c r="D90" s="15" t="s">
        <v>853</v>
      </c>
      <c r="E90" s="4" t="s">
        <v>771</v>
      </c>
      <c r="F90" s="6"/>
      <c r="G90" s="8" t="s">
        <v>19</v>
      </c>
      <c r="H90" s="6"/>
      <c r="I90" s="6"/>
      <c r="J90" s="6"/>
      <c r="K90" s="6"/>
      <c r="L90" s="6"/>
      <c r="M90" s="40">
        <f t="shared" si="4"/>
        <v>0</v>
      </c>
      <c r="N90" s="40">
        <f t="shared" si="5"/>
        <v>0</v>
      </c>
      <c r="O90" s="40">
        <f t="shared" si="6"/>
        <v>0</v>
      </c>
      <c r="P90" s="40">
        <f t="shared" si="7"/>
        <v>0</v>
      </c>
    </row>
    <row r="91" spans="2:16" ht="18">
      <c r="B91" s="7" t="s">
        <v>62</v>
      </c>
      <c r="C91" s="11">
        <v>45134</v>
      </c>
      <c r="D91" s="3" t="s">
        <v>854</v>
      </c>
      <c r="E91" s="4" t="s">
        <v>757</v>
      </c>
      <c r="F91" s="6"/>
      <c r="G91" s="8" t="s">
        <v>16</v>
      </c>
      <c r="H91" s="12">
        <v>45134</v>
      </c>
      <c r="I91" s="12">
        <v>45138</v>
      </c>
      <c r="J91" s="20">
        <v>45161</v>
      </c>
      <c r="K91" s="6" t="s">
        <v>751</v>
      </c>
      <c r="L91" s="6"/>
      <c r="M91" s="40">
        <f t="shared" si="4"/>
        <v>0</v>
      </c>
      <c r="N91" s="40">
        <f t="shared" si="5"/>
        <v>4</v>
      </c>
      <c r="O91" s="40">
        <f t="shared" si="6"/>
        <v>23</v>
      </c>
      <c r="P91" s="40">
        <f t="shared" si="7"/>
        <v>27</v>
      </c>
    </row>
    <row r="92" spans="2:16" ht="18">
      <c r="B92" s="7" t="s">
        <v>62</v>
      </c>
      <c r="C92" s="11">
        <v>45134</v>
      </c>
      <c r="D92" s="3" t="s">
        <v>855</v>
      </c>
      <c r="E92" s="4" t="s">
        <v>757</v>
      </c>
      <c r="F92" s="6"/>
      <c r="G92" s="8" t="s">
        <v>19</v>
      </c>
      <c r="H92" s="6"/>
      <c r="I92" s="6"/>
      <c r="J92" s="6"/>
      <c r="K92" s="6"/>
      <c r="L92" s="6"/>
      <c r="M92" s="40">
        <f t="shared" si="4"/>
        <v>0</v>
      </c>
      <c r="N92" s="40">
        <f t="shared" si="5"/>
        <v>0</v>
      </c>
      <c r="O92" s="40">
        <f t="shared" si="6"/>
        <v>0</v>
      </c>
      <c r="P92" s="40">
        <f t="shared" si="7"/>
        <v>0</v>
      </c>
    </row>
    <row r="93" spans="2:16" ht="18.75">
      <c r="B93" s="7" t="s">
        <v>68</v>
      </c>
      <c r="C93" s="11">
        <v>45141</v>
      </c>
      <c r="D93" s="3" t="s">
        <v>856</v>
      </c>
      <c r="E93" s="4" t="s">
        <v>760</v>
      </c>
      <c r="F93" s="6"/>
      <c r="G93" s="8" t="s">
        <v>19</v>
      </c>
      <c r="H93" s="6"/>
      <c r="I93" s="6"/>
      <c r="J93" s="6"/>
      <c r="K93" s="6"/>
      <c r="L93" s="6"/>
      <c r="M93" s="40">
        <f>IF(H93&gt;0,H93-C93,0)</f>
        <v>0</v>
      </c>
      <c r="N93" s="40">
        <f>IF(I93&gt;0,I93-H93,0)</f>
        <v>0</v>
      </c>
      <c r="O93" s="40">
        <f>IF(J93&gt;0,J93-I93,0)</f>
        <v>0</v>
      </c>
      <c r="P93" s="40">
        <f>IF(J93&gt;0,J93-C93,0)</f>
        <v>0</v>
      </c>
    </row>
    <row r="94" spans="2:16" ht="18.75">
      <c r="B94" s="7" t="s">
        <v>68</v>
      </c>
      <c r="C94" s="11">
        <v>45141</v>
      </c>
      <c r="D94" s="3" t="s">
        <v>857</v>
      </c>
      <c r="E94" s="4" t="s">
        <v>753</v>
      </c>
      <c r="F94" s="6"/>
      <c r="G94" s="8" t="s">
        <v>16</v>
      </c>
      <c r="H94" s="12">
        <v>45147</v>
      </c>
      <c r="I94" s="12">
        <v>45154</v>
      </c>
      <c r="J94" s="12">
        <v>45173</v>
      </c>
      <c r="K94" s="6"/>
      <c r="L94" s="6"/>
      <c r="M94" s="40">
        <f>IF(H94&gt;0,H94-C94,0)</f>
        <v>6</v>
      </c>
      <c r="N94" s="40">
        <f>IF(I94&gt;0,I94-H94,0)</f>
        <v>7</v>
      </c>
      <c r="O94" s="40">
        <f>IF(J94&gt;0,J94-I94,0)</f>
        <v>19</v>
      </c>
      <c r="P94" s="40">
        <f>IF(J94&gt;0,J94-C94,0)</f>
        <v>32</v>
      </c>
    </row>
    <row r="95" spans="2:16" ht="18.75">
      <c r="B95" s="7" t="s">
        <v>68</v>
      </c>
      <c r="C95" s="11">
        <v>45141</v>
      </c>
      <c r="D95" s="3" t="s">
        <v>858</v>
      </c>
      <c r="E95" s="4" t="s">
        <v>757</v>
      </c>
      <c r="F95" s="6"/>
      <c r="G95" s="8" t="s">
        <v>16</v>
      </c>
      <c r="H95" s="12">
        <v>45146</v>
      </c>
      <c r="I95" s="12">
        <v>45180</v>
      </c>
      <c r="J95" s="12">
        <v>45201</v>
      </c>
      <c r="K95" s="6"/>
      <c r="L95" s="6"/>
      <c r="M95" s="40">
        <f>IF(H95&gt;0,H95-C95,0)</f>
        <v>5</v>
      </c>
      <c r="N95" s="40">
        <f>IF(I95&gt;0,I95-H95,0)</f>
        <v>34</v>
      </c>
      <c r="O95" s="40">
        <f>IF(J95&gt;0,J95-I95,0)</f>
        <v>21</v>
      </c>
      <c r="P95" s="40">
        <f>IF(J95&gt;0,J95-C95,0)</f>
        <v>60</v>
      </c>
    </row>
    <row r="96" spans="2:16" ht="18.75">
      <c r="B96" s="7" t="s">
        <v>68</v>
      </c>
      <c r="C96" s="11">
        <v>45141</v>
      </c>
      <c r="D96" s="3" t="s">
        <v>859</v>
      </c>
      <c r="E96" s="4" t="s">
        <v>753</v>
      </c>
      <c r="F96" s="6"/>
      <c r="G96" s="8" t="s">
        <v>16</v>
      </c>
      <c r="H96" s="12">
        <v>45147</v>
      </c>
      <c r="I96" s="12">
        <v>45156</v>
      </c>
      <c r="J96" s="6"/>
      <c r="K96" s="6" t="s">
        <v>852</v>
      </c>
      <c r="L96" s="6"/>
      <c r="M96" s="40">
        <f>IF(H96&gt;0,H96-C96,0)</f>
        <v>6</v>
      </c>
      <c r="N96" s="40">
        <f>IF(I96&gt;0,I96-H96,0)</f>
        <v>9</v>
      </c>
      <c r="O96" s="40">
        <f>IF(J96&gt;0,J96-I96,0)</f>
        <v>0</v>
      </c>
      <c r="P96" s="40">
        <f>IF(J96&gt;0,J96-C96,0)</f>
        <v>0</v>
      </c>
    </row>
    <row r="97" spans="2:16" ht="18.75">
      <c r="B97" s="7" t="s">
        <v>68</v>
      </c>
      <c r="C97" s="11">
        <v>45148</v>
      </c>
      <c r="D97" s="3" t="s">
        <v>860</v>
      </c>
      <c r="E97" s="4" t="s">
        <v>753</v>
      </c>
      <c r="F97" s="6"/>
      <c r="G97" s="8" t="s">
        <v>16</v>
      </c>
      <c r="H97" s="12">
        <v>45309</v>
      </c>
      <c r="I97" s="12">
        <v>45316</v>
      </c>
      <c r="J97" s="12">
        <v>45336</v>
      </c>
      <c r="K97" s="6"/>
      <c r="L97" s="6"/>
      <c r="M97" s="40">
        <f>IF(H97&gt;0,H97-C97,0)</f>
        <v>161</v>
      </c>
      <c r="N97" s="40">
        <f>IF(I97&gt;0,I97-H97,0)</f>
        <v>7</v>
      </c>
      <c r="O97" s="40">
        <f>IF(J97&gt;0,J97-I97,0)</f>
        <v>20</v>
      </c>
      <c r="P97" s="40">
        <f>IF(J97&gt;0,J97-C97,0)</f>
        <v>188</v>
      </c>
    </row>
    <row r="98" spans="2:16" ht="18.75">
      <c r="B98" s="7" t="s">
        <v>68</v>
      </c>
      <c r="C98" s="11">
        <v>45148</v>
      </c>
      <c r="D98" s="3" t="s">
        <v>861</v>
      </c>
      <c r="E98" s="4" t="s">
        <v>771</v>
      </c>
      <c r="F98" s="6"/>
      <c r="G98" s="8" t="s">
        <v>16</v>
      </c>
      <c r="H98" s="12">
        <v>45194</v>
      </c>
      <c r="I98" s="6"/>
      <c r="J98" s="6"/>
      <c r="K98" s="6" t="s">
        <v>862</v>
      </c>
      <c r="L98" s="6"/>
      <c r="M98" s="40">
        <f>IF(H98&gt;0,H98-C98,0)</f>
        <v>46</v>
      </c>
      <c r="N98" s="40">
        <f>IF(I98&gt;0,I98-H98,0)</f>
        <v>0</v>
      </c>
      <c r="O98" s="40">
        <f>IF(J98&gt;0,J98-I98,0)</f>
        <v>0</v>
      </c>
      <c r="P98" s="40">
        <f>IF(J98&gt;0,J98-C98,0)</f>
        <v>0</v>
      </c>
    </row>
    <row r="99" spans="2:16" ht="18.75">
      <c r="B99" s="7" t="s">
        <v>68</v>
      </c>
      <c r="C99" s="11">
        <v>45148</v>
      </c>
      <c r="D99" s="3" t="s">
        <v>863</v>
      </c>
      <c r="E99" s="4" t="s">
        <v>771</v>
      </c>
      <c r="F99" s="6"/>
      <c r="G99" s="8" t="s">
        <v>16</v>
      </c>
      <c r="H99" s="20">
        <v>45154</v>
      </c>
      <c r="I99" s="12">
        <v>45166</v>
      </c>
      <c r="J99" s="12">
        <v>45180</v>
      </c>
      <c r="K99" s="6" t="s">
        <v>751</v>
      </c>
      <c r="L99" s="6"/>
      <c r="M99" s="40">
        <f>IF(H99&gt;0,H99-C99,0)</f>
        <v>6</v>
      </c>
      <c r="N99" s="40">
        <f>IF(I99&gt;0,I99-H99,0)</f>
        <v>12</v>
      </c>
      <c r="O99" s="40">
        <f>IF(J99&gt;0,J99-I99,0)</f>
        <v>14</v>
      </c>
      <c r="P99" s="40">
        <f>IF(J99&gt;0,J99-C99,0)</f>
        <v>32</v>
      </c>
    </row>
    <row r="100" spans="2:16" ht="18.75">
      <c r="B100" s="7" t="s">
        <v>68</v>
      </c>
      <c r="C100" s="11">
        <v>45155</v>
      </c>
      <c r="D100" s="3" t="s">
        <v>864</v>
      </c>
      <c r="E100" s="4" t="s">
        <v>771</v>
      </c>
      <c r="F100" s="6"/>
      <c r="G100" s="8" t="s">
        <v>19</v>
      </c>
      <c r="H100" s="6"/>
      <c r="I100" s="6"/>
      <c r="J100" s="6"/>
      <c r="K100" s="6"/>
      <c r="L100" s="6"/>
      <c r="M100" s="40">
        <f>IF(H100&gt;0,H100-C100,0)</f>
        <v>0</v>
      </c>
      <c r="N100" s="40">
        <f>IF(I100&gt;0,I100-H100,0)</f>
        <v>0</v>
      </c>
      <c r="O100" s="40">
        <f>IF(J100&gt;0,J100-I100,0)</f>
        <v>0</v>
      </c>
      <c r="P100" s="40">
        <f>IF(J100&gt;0,J100-C100,0)</f>
        <v>0</v>
      </c>
    </row>
    <row r="101" spans="2:16" ht="18.75">
      <c r="B101" s="7" t="s">
        <v>68</v>
      </c>
      <c r="C101" s="11">
        <v>45155</v>
      </c>
      <c r="D101" s="3" t="s">
        <v>865</v>
      </c>
      <c r="E101" s="4" t="s">
        <v>757</v>
      </c>
      <c r="F101" s="6"/>
      <c r="G101" s="8" t="s">
        <v>16</v>
      </c>
      <c r="H101" s="12">
        <v>45201</v>
      </c>
      <c r="I101" s="6"/>
      <c r="J101" s="6"/>
      <c r="K101" s="6" t="s">
        <v>866</v>
      </c>
      <c r="L101" s="6"/>
      <c r="M101" s="40">
        <f>IF(H101&gt;0,H101-C101,0)</f>
        <v>46</v>
      </c>
      <c r="N101" s="40">
        <f>IF(I101&gt;0,I101-H101,0)</f>
        <v>0</v>
      </c>
      <c r="O101" s="40">
        <f>IF(J101&gt;0,J101-I101,0)</f>
        <v>0</v>
      </c>
      <c r="P101" s="40">
        <f>IF(J101&gt;0,J101-C101,0)</f>
        <v>0</v>
      </c>
    </row>
    <row r="102" spans="2:16" ht="18.75">
      <c r="B102" s="7" t="s">
        <v>68</v>
      </c>
      <c r="C102" s="11">
        <v>45155</v>
      </c>
      <c r="D102" s="3" t="s">
        <v>867</v>
      </c>
      <c r="E102" s="4" t="s">
        <v>753</v>
      </c>
      <c r="F102" s="6"/>
      <c r="G102" s="8" t="s">
        <v>16</v>
      </c>
      <c r="H102" s="20">
        <v>45156</v>
      </c>
      <c r="I102" s="6"/>
      <c r="J102" s="6"/>
      <c r="K102" s="6" t="s">
        <v>866</v>
      </c>
      <c r="L102" s="6"/>
      <c r="M102" s="40">
        <f>IF(H102&gt;0,H102-C102,0)</f>
        <v>1</v>
      </c>
      <c r="N102" s="40">
        <f>IF(I102&gt;0,I102-H102,0)</f>
        <v>0</v>
      </c>
      <c r="O102" s="40">
        <f>IF(J102&gt;0,J102-I102,0)</f>
        <v>0</v>
      </c>
      <c r="P102" s="40">
        <f>IF(J102&gt;0,J102-C102,0)</f>
        <v>0</v>
      </c>
    </row>
    <row r="103" spans="2:16" ht="18.75">
      <c r="B103" s="7" t="s">
        <v>68</v>
      </c>
      <c r="C103" s="11">
        <v>45155</v>
      </c>
      <c r="D103" s="3" t="s">
        <v>868</v>
      </c>
      <c r="E103" s="4" t="s">
        <v>753</v>
      </c>
      <c r="F103" s="6"/>
      <c r="G103" s="8" t="s">
        <v>16</v>
      </c>
      <c r="H103" s="20">
        <v>45156</v>
      </c>
      <c r="I103" s="6"/>
      <c r="J103" s="6"/>
      <c r="K103" s="6" t="s">
        <v>866</v>
      </c>
      <c r="L103" s="6"/>
      <c r="M103" s="40">
        <f>IF(H103&gt;0,H103-C103,0)</f>
        <v>1</v>
      </c>
      <c r="N103" s="40">
        <f>IF(I103&gt;0,I103-H103,0)</f>
        <v>0</v>
      </c>
      <c r="O103" s="40">
        <f>IF(J103&gt;0,J103-I103,0)</f>
        <v>0</v>
      </c>
      <c r="P103" s="40">
        <f>IF(J103&gt;0,J103-C103,0)</f>
        <v>0</v>
      </c>
    </row>
    <row r="104" spans="2:16" ht="18.75">
      <c r="B104" s="7" t="s">
        <v>68</v>
      </c>
      <c r="C104" s="11">
        <v>45155</v>
      </c>
      <c r="D104" s="3" t="s">
        <v>869</v>
      </c>
      <c r="E104" s="4" t="s">
        <v>763</v>
      </c>
      <c r="F104" s="6"/>
      <c r="G104" s="8" t="s">
        <v>16</v>
      </c>
      <c r="H104" s="20">
        <v>45156</v>
      </c>
      <c r="I104" s="12">
        <v>45238</v>
      </c>
      <c r="J104" s="12">
        <v>45306</v>
      </c>
      <c r="K104" s="6">
        <v>2024</v>
      </c>
      <c r="L104" s="6"/>
      <c r="M104" s="40">
        <f>IF(H104&gt;0,H104-C104,0)</f>
        <v>1</v>
      </c>
      <c r="N104" s="40">
        <f>IF(I104&gt;0,I104-H104,0)</f>
        <v>82</v>
      </c>
      <c r="O104" s="40">
        <f>IF(J104&gt;0,J104-I104,0)</f>
        <v>68</v>
      </c>
      <c r="P104" s="40">
        <f>IF(J104&gt;0,J104-C104,0)</f>
        <v>151</v>
      </c>
    </row>
    <row r="105" spans="2:16" ht="18.75">
      <c r="B105" s="7" t="s">
        <v>68</v>
      </c>
      <c r="C105" s="11">
        <v>45155</v>
      </c>
      <c r="D105" s="3" t="s">
        <v>870</v>
      </c>
      <c r="E105" s="4" t="s">
        <v>753</v>
      </c>
      <c r="F105" s="6"/>
      <c r="G105" s="8" t="s">
        <v>16</v>
      </c>
      <c r="H105" s="20">
        <v>45156</v>
      </c>
      <c r="I105" s="6"/>
      <c r="J105" s="6"/>
      <c r="K105" s="6" t="s">
        <v>871</v>
      </c>
      <c r="L105" s="6"/>
      <c r="M105" s="40">
        <f>IF(H105&gt;0,H105-C105,0)</f>
        <v>1</v>
      </c>
      <c r="N105" s="40">
        <f>IF(I105&gt;0,I105-H105,0)</f>
        <v>0</v>
      </c>
      <c r="O105" s="40">
        <f>IF(J105&gt;0,J105-I105,0)</f>
        <v>0</v>
      </c>
      <c r="P105" s="40">
        <f>IF(J105&gt;0,J105-C105,0)</f>
        <v>0</v>
      </c>
    </row>
    <row r="106" spans="2:16" ht="18.75">
      <c r="B106" s="7" t="s">
        <v>68</v>
      </c>
      <c r="C106" s="11">
        <v>45162</v>
      </c>
      <c r="D106" s="3" t="s">
        <v>872</v>
      </c>
      <c r="E106" s="4" t="s">
        <v>753</v>
      </c>
      <c r="F106" s="6"/>
      <c r="G106" s="8" t="s">
        <v>16</v>
      </c>
      <c r="H106" s="12">
        <v>45177</v>
      </c>
      <c r="I106" s="12">
        <v>45194</v>
      </c>
      <c r="J106" s="12">
        <v>45246</v>
      </c>
      <c r="K106" s="6"/>
      <c r="L106" s="6"/>
      <c r="M106" s="40">
        <f>IF(H106&gt;0,H106-C106,0)</f>
        <v>15</v>
      </c>
      <c r="N106" s="40">
        <f>IF(I106&gt;0,I106-H106,0)</f>
        <v>17</v>
      </c>
      <c r="O106" s="40">
        <f>IF(J106&gt;0,J106-I106,0)</f>
        <v>52</v>
      </c>
      <c r="P106" s="40">
        <f>IF(J106&gt;0,J106-C106,0)</f>
        <v>84</v>
      </c>
    </row>
    <row r="107" spans="2:16" ht="18.75">
      <c r="B107" s="7" t="s">
        <v>68</v>
      </c>
      <c r="C107" s="11">
        <v>45162</v>
      </c>
      <c r="D107" s="3" t="s">
        <v>873</v>
      </c>
      <c r="E107" s="4" t="s">
        <v>771</v>
      </c>
      <c r="F107" s="6"/>
      <c r="G107" s="8" t="s">
        <v>19</v>
      </c>
      <c r="H107" s="6"/>
      <c r="I107" s="6"/>
      <c r="J107" s="6"/>
      <c r="K107" s="6"/>
      <c r="L107" s="6"/>
      <c r="M107" s="40">
        <f>IF(H107&gt;0,H107-C107,0)</f>
        <v>0</v>
      </c>
      <c r="N107" s="40">
        <f>IF(I107&gt;0,I107-H107,0)</f>
        <v>0</v>
      </c>
      <c r="O107" s="40">
        <f>IF(J107&gt;0,J107-I107,0)</f>
        <v>0</v>
      </c>
      <c r="P107" s="40">
        <f>IF(J107&gt;0,J107-C107,0)</f>
        <v>0</v>
      </c>
    </row>
    <row r="108" spans="2:16" ht="18.75">
      <c r="B108" s="7" t="s">
        <v>68</v>
      </c>
      <c r="C108" s="11">
        <v>45169</v>
      </c>
      <c r="D108" s="3" t="s">
        <v>874</v>
      </c>
      <c r="E108" s="4" t="s">
        <v>760</v>
      </c>
      <c r="F108" s="6"/>
      <c r="G108" s="8" t="s">
        <v>16</v>
      </c>
      <c r="H108" s="12">
        <v>45202</v>
      </c>
      <c r="I108" s="12">
        <v>45306</v>
      </c>
      <c r="J108" s="12">
        <v>45349</v>
      </c>
      <c r="K108" s="6"/>
      <c r="L108" s="6"/>
      <c r="M108" s="40">
        <f>IF(H108&gt;0,H108-C108,0)</f>
        <v>33</v>
      </c>
      <c r="N108" s="40">
        <f>IF(I108&gt;0,I108-H108,0)</f>
        <v>104</v>
      </c>
      <c r="O108" s="40">
        <f>IF(J108&gt;0,J108-I108,0)</f>
        <v>43</v>
      </c>
      <c r="P108" s="40">
        <f>IF(J108&gt;0,J108-C108,0)</f>
        <v>180</v>
      </c>
    </row>
    <row r="109" spans="2:16" ht="18.75">
      <c r="B109" s="7" t="s">
        <v>68</v>
      </c>
      <c r="C109" s="11">
        <v>45169</v>
      </c>
      <c r="D109" s="15" t="s">
        <v>875</v>
      </c>
      <c r="E109" s="4" t="s">
        <v>771</v>
      </c>
      <c r="F109" s="6"/>
      <c r="G109" s="8" t="s">
        <v>16</v>
      </c>
      <c r="H109" s="12">
        <v>45175</v>
      </c>
      <c r="I109" s="12">
        <v>45187</v>
      </c>
      <c r="J109" s="6"/>
      <c r="K109" s="6" t="s">
        <v>369</v>
      </c>
      <c r="L109" s="6"/>
      <c r="M109" s="40">
        <f>IF(H109&gt;0,H109-C109,0)</f>
        <v>6</v>
      </c>
      <c r="N109" s="40">
        <f>IF(I109&gt;0,I109-H109,0)</f>
        <v>12</v>
      </c>
      <c r="O109" s="40">
        <f>IF(J109&gt;0,J109-I109,0)</f>
        <v>0</v>
      </c>
      <c r="P109" s="40">
        <f>IF(J109&gt;0,J109-C109,0)</f>
        <v>0</v>
      </c>
    </row>
    <row r="110" spans="2:16" ht="18.75">
      <c r="B110" s="7" t="s">
        <v>68</v>
      </c>
      <c r="C110" s="11">
        <v>45169</v>
      </c>
      <c r="D110" s="3" t="s">
        <v>876</v>
      </c>
      <c r="E110" s="4" t="s">
        <v>763</v>
      </c>
      <c r="F110" s="6"/>
      <c r="G110" s="8" t="s">
        <v>19</v>
      </c>
      <c r="H110" s="6"/>
      <c r="I110" s="6"/>
      <c r="J110" s="6"/>
      <c r="K110" s="6"/>
      <c r="L110" s="6"/>
      <c r="M110" s="40">
        <f>IF(H110&gt;0,H110-C110,0)</f>
        <v>0</v>
      </c>
      <c r="N110" s="40">
        <f>IF(I110&gt;0,I110-H110,0)</f>
        <v>0</v>
      </c>
      <c r="O110" s="40">
        <f>IF(J110&gt;0,J110-I110,0)</f>
        <v>0</v>
      </c>
      <c r="P110" s="40">
        <f>IF(J110&gt;0,J110-C110,0)</f>
        <v>0</v>
      </c>
    </row>
    <row r="111" spans="2:16" ht="18.75">
      <c r="B111" s="7" t="s">
        <v>68</v>
      </c>
      <c r="C111" s="11">
        <v>45169</v>
      </c>
      <c r="D111" s="3" t="s">
        <v>877</v>
      </c>
      <c r="E111" s="4" t="s">
        <v>755</v>
      </c>
      <c r="F111" s="6"/>
      <c r="G111" s="8" t="s">
        <v>16</v>
      </c>
      <c r="H111" s="20">
        <v>45169</v>
      </c>
      <c r="I111" s="12">
        <v>45231</v>
      </c>
      <c r="J111" s="12">
        <v>45254</v>
      </c>
      <c r="K111" s="6" t="s">
        <v>751</v>
      </c>
      <c r="L111" s="6"/>
      <c r="M111" s="40">
        <f>IF(H111&gt;0,H111-C111,0)</f>
        <v>0</v>
      </c>
      <c r="N111" s="40">
        <f>IF(I111&gt;0,I111-H111,0)</f>
        <v>62</v>
      </c>
      <c r="O111" s="40">
        <f>IF(J111&gt;0,J111-I111,0)</f>
        <v>23</v>
      </c>
      <c r="P111" s="40">
        <f>IF(J111&gt;0,J111-C111,0)</f>
        <v>85</v>
      </c>
    </row>
    <row r="112" spans="2:16" ht="18.75">
      <c r="B112" s="7" t="s">
        <v>68</v>
      </c>
      <c r="C112" s="11">
        <v>45169</v>
      </c>
      <c r="D112" s="3" t="s">
        <v>878</v>
      </c>
      <c r="E112" s="4" t="s">
        <v>760</v>
      </c>
      <c r="F112" s="6"/>
      <c r="G112" s="8" t="s">
        <v>16</v>
      </c>
      <c r="H112" s="20">
        <v>45992</v>
      </c>
      <c r="I112" s="20">
        <v>46038</v>
      </c>
      <c r="J112" s="6"/>
      <c r="K112" s="6" t="s">
        <v>879</v>
      </c>
      <c r="L112" s="6"/>
      <c r="M112" s="40">
        <f>IF(H112&gt;0,H112-C112,0)</f>
        <v>823</v>
      </c>
      <c r="N112" s="40">
        <f>IF(I112&gt;0,I112-H112,0)</f>
        <v>46</v>
      </c>
      <c r="O112" s="40">
        <f>IF(J112&gt;0,J112-I112,0)</f>
        <v>0</v>
      </c>
      <c r="P112" s="40">
        <f>IF(J112&gt;0,J112-C112,0)</f>
        <v>0</v>
      </c>
    </row>
    <row r="113" spans="2:16" ht="18.75">
      <c r="B113" s="7" t="s">
        <v>77</v>
      </c>
      <c r="C113" s="11">
        <v>45176</v>
      </c>
      <c r="D113" s="3" t="s">
        <v>880</v>
      </c>
      <c r="E113" s="4" t="s">
        <v>760</v>
      </c>
      <c r="F113" s="6"/>
      <c r="G113" s="8" t="s">
        <v>19</v>
      </c>
      <c r="H113" s="6"/>
      <c r="I113" s="6"/>
      <c r="J113" s="6"/>
      <c r="K113" s="6"/>
      <c r="L113" s="6"/>
      <c r="M113" s="40">
        <f>IF(H113&gt;0,H113-C113,0)</f>
        <v>0</v>
      </c>
      <c r="N113" s="40">
        <f>IF(I113&gt;0,I113-H113,0)</f>
        <v>0</v>
      </c>
      <c r="O113" s="40">
        <f>IF(J113&gt;0,J113-I113,0)</f>
        <v>0</v>
      </c>
      <c r="P113" s="40">
        <f>IF(J113&gt;0,J113-C113,0)</f>
        <v>0</v>
      </c>
    </row>
    <row r="114" spans="2:16" ht="18.75">
      <c r="B114" s="7" t="s">
        <v>77</v>
      </c>
      <c r="C114" s="11">
        <v>45176</v>
      </c>
      <c r="D114" s="3" t="s">
        <v>881</v>
      </c>
      <c r="E114" s="4" t="s">
        <v>763</v>
      </c>
      <c r="F114" s="6"/>
      <c r="G114" s="8" t="s">
        <v>19</v>
      </c>
      <c r="H114" s="6"/>
      <c r="I114" s="6"/>
      <c r="J114" s="6"/>
      <c r="K114" s="6"/>
      <c r="L114" s="6"/>
      <c r="M114" s="40">
        <f>IF(H114&gt;0,H114-C114,0)</f>
        <v>0</v>
      </c>
      <c r="N114" s="40">
        <f>IF(I114&gt;0,I114-H114,0)</f>
        <v>0</v>
      </c>
      <c r="O114" s="40">
        <f>IF(J114&gt;0,J114-I114,0)</f>
        <v>0</v>
      </c>
      <c r="P114" s="40">
        <f>IF(J114&gt;0,J114-C114,0)</f>
        <v>0</v>
      </c>
    </row>
    <row r="115" spans="2:16" ht="18.75">
      <c r="B115" s="7" t="s">
        <v>77</v>
      </c>
      <c r="C115" s="11">
        <v>45176</v>
      </c>
      <c r="D115" s="3" t="s">
        <v>882</v>
      </c>
      <c r="E115" s="4" t="s">
        <v>771</v>
      </c>
      <c r="F115" s="6"/>
      <c r="G115" s="8" t="s">
        <v>16</v>
      </c>
      <c r="H115" s="12">
        <v>45180</v>
      </c>
      <c r="I115" s="12">
        <v>45189</v>
      </c>
      <c r="J115" s="12">
        <v>45209</v>
      </c>
      <c r="K115" s="6" t="s">
        <v>751</v>
      </c>
      <c r="L115" s="6"/>
      <c r="M115" s="40">
        <f>IF(H115&gt;0,H115-C115,0)</f>
        <v>4</v>
      </c>
      <c r="N115" s="40">
        <f>IF(I115&gt;0,I115-H115,0)</f>
        <v>9</v>
      </c>
      <c r="O115" s="40">
        <f>IF(J115&gt;0,J115-I115,0)</f>
        <v>20</v>
      </c>
      <c r="P115" s="40">
        <f>IF(J115&gt;0,J115-C115,0)</f>
        <v>33</v>
      </c>
    </row>
    <row r="116" spans="2:16" ht="18.75">
      <c r="B116" s="7" t="s">
        <v>77</v>
      </c>
      <c r="C116" s="11">
        <v>45176</v>
      </c>
      <c r="D116" s="3" t="s">
        <v>883</v>
      </c>
      <c r="E116" s="4" t="s">
        <v>755</v>
      </c>
      <c r="F116" s="6"/>
      <c r="G116" s="8" t="s">
        <v>19</v>
      </c>
      <c r="H116" s="6"/>
      <c r="I116" s="6"/>
      <c r="J116" s="6"/>
      <c r="K116" s="6"/>
      <c r="L116" s="6"/>
      <c r="M116" s="40">
        <f>IF(H116&gt;0,H116-C116,0)</f>
        <v>0</v>
      </c>
      <c r="N116" s="40">
        <f>IF(I116&gt;0,I116-H116,0)</f>
        <v>0</v>
      </c>
      <c r="O116" s="40">
        <f>IF(J116&gt;0,J116-I116,0)</f>
        <v>0</v>
      </c>
      <c r="P116" s="40">
        <f>IF(J116&gt;0,J116-C116,0)</f>
        <v>0</v>
      </c>
    </row>
    <row r="117" spans="2:16" ht="18.75">
      <c r="B117" s="7" t="s">
        <v>77</v>
      </c>
      <c r="C117" s="11">
        <v>45176</v>
      </c>
      <c r="D117" s="3" t="s">
        <v>884</v>
      </c>
      <c r="E117" s="4" t="s">
        <v>763</v>
      </c>
      <c r="F117" s="6"/>
      <c r="G117" s="8" t="s">
        <v>19</v>
      </c>
      <c r="H117" s="6"/>
      <c r="I117" s="6"/>
      <c r="J117" s="6"/>
      <c r="K117" s="6"/>
      <c r="L117" s="6"/>
      <c r="M117" s="40">
        <f>IF(H117&gt;0,H117-C117,0)</f>
        <v>0</v>
      </c>
      <c r="N117" s="40">
        <f>IF(I117&gt;0,I117-H117,0)</f>
        <v>0</v>
      </c>
      <c r="O117" s="40">
        <f>IF(J117&gt;0,J117-I117,0)</f>
        <v>0</v>
      </c>
      <c r="P117" s="40">
        <f>IF(J117&gt;0,J117-C117,0)</f>
        <v>0</v>
      </c>
    </row>
    <row r="118" spans="2:16" ht="18.75">
      <c r="B118" s="7" t="s">
        <v>77</v>
      </c>
      <c r="C118" s="11">
        <v>45183</v>
      </c>
      <c r="D118" s="3" t="s">
        <v>885</v>
      </c>
      <c r="E118" s="4" t="s">
        <v>757</v>
      </c>
      <c r="F118" s="6"/>
      <c r="G118" s="8" t="s">
        <v>16</v>
      </c>
      <c r="H118" s="12">
        <v>45183</v>
      </c>
      <c r="I118" s="12">
        <v>45222</v>
      </c>
      <c r="J118" s="12">
        <v>45306</v>
      </c>
      <c r="K118" s="6"/>
      <c r="L118" s="6"/>
      <c r="M118" s="40">
        <f>IF(H118&gt;0,H118-C118,0)</f>
        <v>0</v>
      </c>
      <c r="N118" s="40">
        <f>IF(I118&gt;0,I118-H118,0)</f>
        <v>39</v>
      </c>
      <c r="O118" s="40">
        <f>IF(J118&gt;0,J118-I118,0)</f>
        <v>84</v>
      </c>
      <c r="P118" s="40">
        <f>IF(J118&gt;0,J118-C118,0)</f>
        <v>123</v>
      </c>
    </row>
    <row r="119" spans="2:16" ht="18.75">
      <c r="B119" s="7" t="s">
        <v>77</v>
      </c>
      <c r="C119" s="11">
        <v>45183</v>
      </c>
      <c r="D119" s="3" t="s">
        <v>886</v>
      </c>
      <c r="E119" s="4" t="s">
        <v>757</v>
      </c>
      <c r="F119" s="6"/>
      <c r="G119" s="8" t="s">
        <v>16</v>
      </c>
      <c r="H119" s="12">
        <v>45191</v>
      </c>
      <c r="I119" s="6"/>
      <c r="J119" s="6"/>
      <c r="K119" s="6" t="s">
        <v>866</v>
      </c>
      <c r="L119" s="6"/>
      <c r="M119" s="40">
        <f>IF(H119&gt;0,H119-C119,0)</f>
        <v>8</v>
      </c>
      <c r="N119" s="40">
        <f>IF(I119&gt;0,I119-H119,0)</f>
        <v>0</v>
      </c>
      <c r="O119" s="40">
        <f>IF(J119&gt;0,J119-I119,0)</f>
        <v>0</v>
      </c>
      <c r="P119" s="40">
        <f>IF(J119&gt;0,J119-C119,0)</f>
        <v>0</v>
      </c>
    </row>
    <row r="120" spans="2:16" ht="18.75">
      <c r="B120" s="7" t="s">
        <v>77</v>
      </c>
      <c r="C120" s="11">
        <v>45183</v>
      </c>
      <c r="D120" s="3" t="s">
        <v>887</v>
      </c>
      <c r="E120" s="4" t="s">
        <v>771</v>
      </c>
      <c r="F120" s="6"/>
      <c r="G120" s="8" t="s">
        <v>16</v>
      </c>
      <c r="H120" s="12">
        <v>45183</v>
      </c>
      <c r="I120" s="12">
        <v>45194</v>
      </c>
      <c r="J120" s="6"/>
      <c r="K120" s="6" t="s">
        <v>888</v>
      </c>
      <c r="L120" s="6"/>
      <c r="M120" s="40">
        <f>IF(H120&gt;0,H120-C120,0)</f>
        <v>0</v>
      </c>
      <c r="N120" s="40">
        <f>IF(I120&gt;0,I120-H120,0)</f>
        <v>11</v>
      </c>
      <c r="O120" s="40">
        <f>IF(J120&gt;0,J120-I120,0)</f>
        <v>0</v>
      </c>
      <c r="P120" s="40">
        <f>IF(J120&gt;0,J120-C120,0)</f>
        <v>0</v>
      </c>
    </row>
    <row r="121" spans="2:16" ht="18.75">
      <c r="B121" s="7" t="s">
        <v>77</v>
      </c>
      <c r="C121" s="11">
        <v>45183</v>
      </c>
      <c r="D121" s="3" t="s">
        <v>889</v>
      </c>
      <c r="E121" s="4" t="s">
        <v>771</v>
      </c>
      <c r="F121" s="6"/>
      <c r="G121" s="8" t="s">
        <v>16</v>
      </c>
      <c r="H121" s="12">
        <v>45201</v>
      </c>
      <c r="I121" s="12">
        <v>45217</v>
      </c>
      <c r="J121" s="6"/>
      <c r="K121" s="6" t="s">
        <v>890</v>
      </c>
      <c r="L121" s="6"/>
      <c r="M121" s="40">
        <f>IF(H121&gt;0,H121-C121,0)</f>
        <v>18</v>
      </c>
      <c r="N121" s="40">
        <f>IF(I121&gt;0,I121-H121,0)</f>
        <v>16</v>
      </c>
      <c r="O121" s="40">
        <f>IF(J121&gt;0,J121-I121,0)</f>
        <v>0</v>
      </c>
      <c r="P121" s="40">
        <f>IF(J121&gt;0,J121-C121,0)</f>
        <v>0</v>
      </c>
    </row>
    <row r="122" spans="2:16" ht="18.75">
      <c r="B122" s="7" t="s">
        <v>77</v>
      </c>
      <c r="C122" s="11">
        <v>45183</v>
      </c>
      <c r="D122" s="3" t="s">
        <v>891</v>
      </c>
      <c r="E122" s="4" t="s">
        <v>755</v>
      </c>
      <c r="F122" s="6"/>
      <c r="G122" s="8" t="s">
        <v>19</v>
      </c>
      <c r="H122" s="6"/>
      <c r="I122" s="6"/>
      <c r="J122" s="6"/>
      <c r="K122" s="6"/>
      <c r="L122" s="6"/>
      <c r="M122" s="40">
        <f>IF(H122&gt;0,H122-C122,0)</f>
        <v>0</v>
      </c>
      <c r="N122" s="40">
        <f>IF(I122&gt;0,I122-H122,0)</f>
        <v>0</v>
      </c>
      <c r="O122" s="40">
        <f>IF(J122&gt;0,J122-I122,0)</f>
        <v>0</v>
      </c>
      <c r="P122" s="40">
        <f>IF(J122&gt;0,J122-C122,0)</f>
        <v>0</v>
      </c>
    </row>
    <row r="123" spans="2:16" ht="18.75">
      <c r="B123" s="7" t="s">
        <v>77</v>
      </c>
      <c r="C123" s="11">
        <v>45190</v>
      </c>
      <c r="D123" s="3" t="s">
        <v>892</v>
      </c>
      <c r="E123" s="4" t="s">
        <v>753</v>
      </c>
      <c r="F123" s="6"/>
      <c r="G123" s="8" t="s">
        <v>19</v>
      </c>
      <c r="H123" s="6"/>
      <c r="I123" s="6"/>
      <c r="J123" s="6"/>
      <c r="K123" s="6"/>
      <c r="L123" s="6"/>
      <c r="M123" s="40">
        <f>IF(H123&gt;0,H123-C123,0)</f>
        <v>0</v>
      </c>
      <c r="N123" s="40">
        <f>IF(I123&gt;0,I123-H123,0)</f>
        <v>0</v>
      </c>
      <c r="O123" s="40">
        <f>IF(J123&gt;0,J123-I123,0)</f>
        <v>0</v>
      </c>
      <c r="P123" s="40">
        <f>IF(J123&gt;0,J123-C123,0)</f>
        <v>0</v>
      </c>
    </row>
    <row r="124" spans="2:16" ht="18.75">
      <c r="B124" s="7" t="s">
        <v>77</v>
      </c>
      <c r="C124" s="11">
        <v>45190</v>
      </c>
      <c r="D124" s="3" t="s">
        <v>893</v>
      </c>
      <c r="E124" s="4" t="s">
        <v>760</v>
      </c>
      <c r="F124" s="6"/>
      <c r="G124" s="8" t="s">
        <v>16</v>
      </c>
      <c r="H124" s="12">
        <v>45196</v>
      </c>
      <c r="I124" s="12">
        <v>45244</v>
      </c>
      <c r="J124" s="6"/>
      <c r="K124" s="6" t="s">
        <v>894</v>
      </c>
      <c r="L124" s="6"/>
      <c r="M124" s="40">
        <f>IF(H124&gt;0,H124-C124,0)</f>
        <v>6</v>
      </c>
      <c r="N124" s="40">
        <f>IF(I124&gt;0,I124-H124,0)</f>
        <v>48</v>
      </c>
      <c r="O124" s="40">
        <f>IF(J124&gt;0,J124-I124,0)</f>
        <v>0</v>
      </c>
      <c r="P124" s="40">
        <f>IF(J124&gt;0,J124-C124,0)</f>
        <v>0</v>
      </c>
    </row>
    <row r="125" spans="2:16" ht="18.75">
      <c r="B125" s="7" t="s">
        <v>77</v>
      </c>
      <c r="C125" s="11">
        <v>45190</v>
      </c>
      <c r="D125" s="3" t="s">
        <v>895</v>
      </c>
      <c r="E125" s="4" t="s">
        <v>763</v>
      </c>
      <c r="F125" s="6"/>
      <c r="G125" s="8" t="s">
        <v>16</v>
      </c>
      <c r="H125" s="12">
        <v>45191</v>
      </c>
      <c r="I125" s="12">
        <v>45216</v>
      </c>
      <c r="J125" s="20">
        <v>45251</v>
      </c>
      <c r="K125" s="6" t="s">
        <v>751</v>
      </c>
      <c r="L125" s="6"/>
      <c r="M125" s="40">
        <f>IF(H125&gt;0,H125-C125,0)</f>
        <v>1</v>
      </c>
      <c r="N125" s="40">
        <f>IF(I125&gt;0,I125-H125,0)</f>
        <v>25</v>
      </c>
      <c r="O125" s="40">
        <f>IF(J125&gt;0,J125-I125,0)</f>
        <v>35</v>
      </c>
      <c r="P125" s="40">
        <f>IF(J125&gt;0,J125-C125,0)</f>
        <v>61</v>
      </c>
    </row>
    <row r="126" spans="2:16" ht="18.75">
      <c r="B126" s="7" t="s">
        <v>77</v>
      </c>
      <c r="C126" s="11">
        <v>45190</v>
      </c>
      <c r="D126" s="3" t="s">
        <v>896</v>
      </c>
      <c r="E126" s="4" t="s">
        <v>760</v>
      </c>
      <c r="F126" s="6"/>
      <c r="G126" s="8" t="s">
        <v>19</v>
      </c>
      <c r="H126" s="6"/>
      <c r="I126" s="6"/>
      <c r="J126" s="6"/>
      <c r="K126" s="6"/>
      <c r="L126" s="6"/>
      <c r="M126" s="40">
        <f>IF(H126&gt;0,H126-C126,0)</f>
        <v>0</v>
      </c>
      <c r="N126" s="40">
        <f>IF(I126&gt;0,I126-H126,0)</f>
        <v>0</v>
      </c>
      <c r="O126" s="40">
        <f>IF(J126&gt;0,J126-I126,0)</f>
        <v>0</v>
      </c>
      <c r="P126" s="40">
        <f>IF(J126&gt;0,J126-C126,0)</f>
        <v>0</v>
      </c>
    </row>
    <row r="127" spans="2:16" ht="18.75">
      <c r="B127" s="7" t="s">
        <v>77</v>
      </c>
      <c r="C127" s="11">
        <v>45197</v>
      </c>
      <c r="D127" s="3" t="s">
        <v>897</v>
      </c>
      <c r="E127" s="4" t="s">
        <v>753</v>
      </c>
      <c r="F127" s="6"/>
      <c r="G127" s="8" t="s">
        <v>16</v>
      </c>
      <c r="H127" s="20">
        <v>45601</v>
      </c>
      <c r="I127" s="20">
        <v>45608</v>
      </c>
      <c r="J127" s="20">
        <v>45616</v>
      </c>
      <c r="K127" s="6" t="s">
        <v>898</v>
      </c>
      <c r="L127" s="6"/>
      <c r="M127" s="40">
        <f>IF(H127&gt;0,H127-C127,0)</f>
        <v>404</v>
      </c>
      <c r="N127" s="40">
        <f>IF(I127&gt;0,I127-H127,0)</f>
        <v>7</v>
      </c>
      <c r="O127" s="40">
        <f>IF(J127&gt;0,J127-I127,0)</f>
        <v>8</v>
      </c>
      <c r="P127" s="40">
        <f>IF(J127&gt;0,J127-C127,0)</f>
        <v>419</v>
      </c>
    </row>
    <row r="128" spans="2:16" ht="18.75">
      <c r="B128" s="7" t="s">
        <v>77</v>
      </c>
      <c r="C128" s="11">
        <v>45191</v>
      </c>
      <c r="D128" s="3" t="s">
        <v>899</v>
      </c>
      <c r="E128" s="4" t="s">
        <v>760</v>
      </c>
      <c r="F128" s="6"/>
      <c r="G128" s="8" t="s">
        <v>19</v>
      </c>
      <c r="H128" s="6"/>
      <c r="I128" s="6"/>
      <c r="J128" s="6"/>
      <c r="K128" s="6"/>
      <c r="L128" s="6"/>
      <c r="M128" s="40">
        <f>IF(H128&gt;0,H128-C128,0)</f>
        <v>0</v>
      </c>
      <c r="N128" s="40">
        <f>IF(I128&gt;0,I128-H128,0)</f>
        <v>0</v>
      </c>
      <c r="O128" s="40">
        <f>IF(J128&gt;0,J128-I128,0)</f>
        <v>0</v>
      </c>
      <c r="P128" s="40">
        <f>IF(J128&gt;0,J128-C128,0)</f>
        <v>0</v>
      </c>
    </row>
    <row r="129" spans="2:16" ht="18.75">
      <c r="B129" s="7" t="s">
        <v>84</v>
      </c>
      <c r="C129" s="11">
        <v>45204</v>
      </c>
      <c r="D129" s="3" t="s">
        <v>900</v>
      </c>
      <c r="E129" s="4" t="s">
        <v>771</v>
      </c>
      <c r="F129" s="6"/>
      <c r="G129" s="8" t="s">
        <v>19</v>
      </c>
      <c r="H129" s="6"/>
      <c r="I129" s="6"/>
      <c r="J129" s="6"/>
      <c r="K129" s="6"/>
      <c r="L129" s="6"/>
      <c r="M129" s="40">
        <f>IF(H129&gt;0,H129-C129,0)</f>
        <v>0</v>
      </c>
      <c r="N129" s="40">
        <f>IF(I129&gt;0,I129-H129,0)</f>
        <v>0</v>
      </c>
      <c r="O129" s="40">
        <f>IF(J129&gt;0,J129-I129,0)</f>
        <v>0</v>
      </c>
      <c r="P129" s="40">
        <f>IF(J129&gt;0,J129-C129,0)</f>
        <v>0</v>
      </c>
    </row>
    <row r="130" spans="2:16" ht="18.75">
      <c r="B130" s="7" t="s">
        <v>84</v>
      </c>
      <c r="C130" s="11">
        <v>45204</v>
      </c>
      <c r="D130" s="3" t="s">
        <v>901</v>
      </c>
      <c r="E130" s="4" t="s">
        <v>755</v>
      </c>
      <c r="F130" s="6"/>
      <c r="G130" s="8" t="s">
        <v>19</v>
      </c>
      <c r="H130" s="6"/>
      <c r="I130" s="6"/>
      <c r="J130" s="6"/>
      <c r="K130" s="6"/>
      <c r="L130" s="6"/>
      <c r="M130" s="40">
        <f>IF(H130&gt;0,H130-C130,0)</f>
        <v>0</v>
      </c>
      <c r="N130" s="40">
        <f>IF(I130&gt;0,I130-H130,0)</f>
        <v>0</v>
      </c>
      <c r="O130" s="40">
        <f>IF(J130&gt;0,J130-I130,0)</f>
        <v>0</v>
      </c>
      <c r="P130" s="40">
        <f>IF(J130&gt;0,J130-C130,0)</f>
        <v>0</v>
      </c>
    </row>
    <row r="131" spans="2:16" ht="18.75">
      <c r="B131" s="7" t="s">
        <v>84</v>
      </c>
      <c r="C131" s="11">
        <v>45204</v>
      </c>
      <c r="D131" s="3" t="s">
        <v>902</v>
      </c>
      <c r="E131" s="4" t="s">
        <v>760</v>
      </c>
      <c r="F131" s="6"/>
      <c r="G131" s="8" t="s">
        <v>19</v>
      </c>
      <c r="H131" s="6"/>
      <c r="I131" s="6"/>
      <c r="J131" s="6"/>
      <c r="K131" s="6"/>
      <c r="L131" s="6"/>
      <c r="M131" s="40">
        <f t="shared" ref="M131:M194" si="8">IF(H131&gt;0,H131-C131,0)</f>
        <v>0</v>
      </c>
      <c r="N131" s="40">
        <f t="shared" ref="N131:N194" si="9">IF(I131&gt;0,I131-H131,0)</f>
        <v>0</v>
      </c>
      <c r="O131" s="40">
        <f t="shared" ref="O131:O194" si="10">IF(J131&gt;0,J131-I131,0)</f>
        <v>0</v>
      </c>
      <c r="P131" s="40">
        <f t="shared" ref="P131:P194" si="11">IF(J131&gt;0,J131-C131,0)</f>
        <v>0</v>
      </c>
    </row>
    <row r="132" spans="2:16" ht="18.75">
      <c r="B132" s="7" t="s">
        <v>84</v>
      </c>
      <c r="C132" s="11">
        <v>45204</v>
      </c>
      <c r="D132" s="3" t="s">
        <v>903</v>
      </c>
      <c r="E132" s="4" t="s">
        <v>753</v>
      </c>
      <c r="F132" s="6"/>
      <c r="G132" s="8" t="s">
        <v>16</v>
      </c>
      <c r="H132" s="20">
        <v>45219</v>
      </c>
      <c r="I132" s="12">
        <v>45306</v>
      </c>
      <c r="J132" s="12">
        <v>45335</v>
      </c>
      <c r="K132" s="6" t="s">
        <v>751</v>
      </c>
      <c r="L132" s="6"/>
      <c r="M132" s="40">
        <f t="shared" si="8"/>
        <v>15</v>
      </c>
      <c r="N132" s="40">
        <f t="shared" si="9"/>
        <v>87</v>
      </c>
      <c r="O132" s="40">
        <f t="shared" si="10"/>
        <v>29</v>
      </c>
      <c r="P132" s="40">
        <f t="shared" si="11"/>
        <v>131</v>
      </c>
    </row>
    <row r="133" spans="2:16" ht="18.75">
      <c r="B133" s="7" t="s">
        <v>84</v>
      </c>
      <c r="C133" s="11">
        <v>45204</v>
      </c>
      <c r="D133" s="3" t="s">
        <v>904</v>
      </c>
      <c r="E133" s="4" t="s">
        <v>757</v>
      </c>
      <c r="F133" s="6"/>
      <c r="G133" s="8" t="s">
        <v>19</v>
      </c>
      <c r="H133" s="6"/>
      <c r="I133" s="6"/>
      <c r="J133" s="6"/>
      <c r="K133" s="6"/>
      <c r="L133" s="6"/>
      <c r="M133" s="40">
        <f t="shared" si="8"/>
        <v>0</v>
      </c>
      <c r="N133" s="40">
        <f t="shared" si="9"/>
        <v>0</v>
      </c>
      <c r="O133" s="40">
        <f t="shared" si="10"/>
        <v>0</v>
      </c>
      <c r="P133" s="40">
        <f t="shared" si="11"/>
        <v>0</v>
      </c>
    </row>
    <row r="134" spans="2:16" ht="18.75">
      <c r="B134" s="7" t="s">
        <v>84</v>
      </c>
      <c r="C134" s="11">
        <v>45216</v>
      </c>
      <c r="D134" s="3" t="s">
        <v>905</v>
      </c>
      <c r="E134" s="4" t="s">
        <v>753</v>
      </c>
      <c r="F134" s="6"/>
      <c r="G134" s="8" t="s">
        <v>19</v>
      </c>
      <c r="H134" s="6"/>
      <c r="I134" s="6"/>
      <c r="J134" s="6"/>
      <c r="K134" s="6"/>
      <c r="L134" s="6"/>
      <c r="M134" s="40">
        <f t="shared" si="8"/>
        <v>0</v>
      </c>
      <c r="N134" s="40">
        <f t="shared" si="9"/>
        <v>0</v>
      </c>
      <c r="O134" s="40">
        <f t="shared" si="10"/>
        <v>0</v>
      </c>
      <c r="P134" s="40">
        <f t="shared" si="11"/>
        <v>0</v>
      </c>
    </row>
    <row r="135" spans="2:16" ht="18.75">
      <c r="B135" s="7" t="s">
        <v>84</v>
      </c>
      <c r="C135" s="11">
        <v>45216</v>
      </c>
      <c r="D135" s="3" t="s">
        <v>906</v>
      </c>
      <c r="E135" s="4" t="s">
        <v>757</v>
      </c>
      <c r="F135" s="6"/>
      <c r="G135" s="8" t="s">
        <v>19</v>
      </c>
      <c r="H135" s="6"/>
      <c r="I135" s="6"/>
      <c r="J135" s="6"/>
      <c r="K135" s="6"/>
      <c r="L135" s="6"/>
      <c r="M135" s="40">
        <f t="shared" si="8"/>
        <v>0</v>
      </c>
      <c r="N135" s="40">
        <f t="shared" si="9"/>
        <v>0</v>
      </c>
      <c r="O135" s="40">
        <f t="shared" si="10"/>
        <v>0</v>
      </c>
      <c r="P135" s="40">
        <f t="shared" si="11"/>
        <v>0</v>
      </c>
    </row>
    <row r="136" spans="2:16" ht="18.75">
      <c r="B136" s="7" t="s">
        <v>84</v>
      </c>
      <c r="C136" s="11">
        <v>45218</v>
      </c>
      <c r="D136" s="3" t="s">
        <v>907</v>
      </c>
      <c r="E136" s="4" t="s">
        <v>757</v>
      </c>
      <c r="F136" s="6"/>
      <c r="G136" s="8" t="s">
        <v>16</v>
      </c>
      <c r="H136" s="20">
        <v>45223</v>
      </c>
      <c r="I136" s="12">
        <v>45244</v>
      </c>
      <c r="J136" s="20">
        <v>45306</v>
      </c>
      <c r="K136" s="6"/>
      <c r="L136" s="6"/>
      <c r="M136" s="40">
        <f t="shared" si="8"/>
        <v>5</v>
      </c>
      <c r="N136" s="40">
        <f t="shared" si="9"/>
        <v>21</v>
      </c>
      <c r="O136" s="40">
        <f t="shared" si="10"/>
        <v>62</v>
      </c>
      <c r="P136" s="40">
        <f t="shared" si="11"/>
        <v>88</v>
      </c>
    </row>
    <row r="137" spans="2:16" ht="18.75">
      <c r="B137" s="7" t="s">
        <v>84</v>
      </c>
      <c r="C137" s="11">
        <v>45218</v>
      </c>
      <c r="D137" s="3" t="s">
        <v>908</v>
      </c>
      <c r="E137" s="4" t="s">
        <v>755</v>
      </c>
      <c r="F137" s="6"/>
      <c r="G137" s="8" t="s">
        <v>16</v>
      </c>
      <c r="H137" s="20">
        <v>45223</v>
      </c>
      <c r="I137" s="6"/>
      <c r="J137" s="6"/>
      <c r="K137" s="6" t="s">
        <v>438</v>
      </c>
      <c r="L137" s="6"/>
      <c r="M137" s="40">
        <f t="shared" si="8"/>
        <v>5</v>
      </c>
      <c r="N137" s="40">
        <f t="shared" si="9"/>
        <v>0</v>
      </c>
      <c r="O137" s="40">
        <f t="shared" si="10"/>
        <v>0</v>
      </c>
      <c r="P137" s="40">
        <f t="shared" si="11"/>
        <v>0</v>
      </c>
    </row>
    <row r="138" spans="2:16" ht="18.75">
      <c r="B138" s="7" t="s">
        <v>84</v>
      </c>
      <c r="C138" s="11">
        <v>45218</v>
      </c>
      <c r="D138" s="3" t="s">
        <v>909</v>
      </c>
      <c r="E138" s="4" t="s">
        <v>763</v>
      </c>
      <c r="F138" s="6"/>
      <c r="G138" s="8" t="s">
        <v>19</v>
      </c>
      <c r="H138" s="6"/>
      <c r="I138" s="6"/>
      <c r="J138" s="6"/>
      <c r="K138" s="6"/>
      <c r="L138" s="6"/>
      <c r="M138" s="40">
        <f t="shared" si="8"/>
        <v>0</v>
      </c>
      <c r="N138" s="40">
        <f t="shared" si="9"/>
        <v>0</v>
      </c>
      <c r="O138" s="40">
        <f t="shared" si="10"/>
        <v>0</v>
      </c>
      <c r="P138" s="40">
        <f t="shared" si="11"/>
        <v>0</v>
      </c>
    </row>
    <row r="139" spans="2:16" ht="18.75">
      <c r="B139" s="7" t="s">
        <v>84</v>
      </c>
      <c r="C139" s="11">
        <v>45218</v>
      </c>
      <c r="D139" s="3" t="s">
        <v>910</v>
      </c>
      <c r="E139" s="4" t="s">
        <v>755</v>
      </c>
      <c r="F139" s="6"/>
      <c r="G139" s="8" t="s">
        <v>16</v>
      </c>
      <c r="H139" s="20">
        <v>45223</v>
      </c>
      <c r="I139" s="6"/>
      <c r="J139" s="6"/>
      <c r="K139" s="6" t="s">
        <v>438</v>
      </c>
      <c r="L139" s="6"/>
      <c r="M139" s="40">
        <f t="shared" si="8"/>
        <v>5</v>
      </c>
      <c r="N139" s="40">
        <f t="shared" si="9"/>
        <v>0</v>
      </c>
      <c r="O139" s="40">
        <f t="shared" si="10"/>
        <v>0</v>
      </c>
      <c r="P139" s="40">
        <f t="shared" si="11"/>
        <v>0</v>
      </c>
    </row>
    <row r="140" spans="2:16" ht="18.75">
      <c r="B140" s="7" t="s">
        <v>84</v>
      </c>
      <c r="C140" s="11">
        <v>45225</v>
      </c>
      <c r="D140" s="3" t="s">
        <v>911</v>
      </c>
      <c r="E140" s="4" t="s">
        <v>771</v>
      </c>
      <c r="F140" s="6"/>
      <c r="G140" s="8" t="s">
        <v>16</v>
      </c>
      <c r="H140" s="12">
        <v>45232</v>
      </c>
      <c r="I140" s="12">
        <v>45250</v>
      </c>
      <c r="J140" s="12">
        <v>45306</v>
      </c>
      <c r="K140" s="6"/>
      <c r="L140" s="6"/>
      <c r="M140" s="40">
        <f t="shared" si="8"/>
        <v>7</v>
      </c>
      <c r="N140" s="40">
        <f t="shared" si="9"/>
        <v>18</v>
      </c>
      <c r="O140" s="40">
        <f t="shared" si="10"/>
        <v>56</v>
      </c>
      <c r="P140" s="40">
        <f t="shared" si="11"/>
        <v>81</v>
      </c>
    </row>
    <row r="141" spans="2:16" ht="18.75">
      <c r="B141" s="7" t="s">
        <v>84</v>
      </c>
      <c r="C141" s="11">
        <v>45225</v>
      </c>
      <c r="D141" s="3" t="s">
        <v>912</v>
      </c>
      <c r="E141" s="4" t="s">
        <v>753</v>
      </c>
      <c r="F141" s="6"/>
      <c r="G141" s="8" t="s">
        <v>16</v>
      </c>
      <c r="H141" s="12">
        <v>45264</v>
      </c>
      <c r="I141" s="12">
        <v>45308</v>
      </c>
      <c r="J141" s="6"/>
      <c r="K141" s="6" t="s">
        <v>465</v>
      </c>
      <c r="L141" s="6"/>
      <c r="M141" s="40">
        <f t="shared" si="8"/>
        <v>39</v>
      </c>
      <c r="N141" s="40">
        <f t="shared" si="9"/>
        <v>44</v>
      </c>
      <c r="O141" s="40">
        <f t="shared" si="10"/>
        <v>0</v>
      </c>
      <c r="P141" s="40">
        <f t="shared" si="11"/>
        <v>0</v>
      </c>
    </row>
    <row r="142" spans="2:16" ht="18.75">
      <c r="B142" s="7" t="s">
        <v>84</v>
      </c>
      <c r="C142" s="104">
        <v>45217</v>
      </c>
      <c r="D142" s="3" t="s">
        <v>913</v>
      </c>
      <c r="E142" s="4" t="s">
        <v>760</v>
      </c>
      <c r="F142" s="6"/>
      <c r="G142" s="8" t="s">
        <v>16</v>
      </c>
      <c r="H142" s="20">
        <v>45218</v>
      </c>
      <c r="I142" s="12">
        <v>45240</v>
      </c>
      <c r="J142" s="6"/>
      <c r="K142" s="6" t="s">
        <v>465</v>
      </c>
      <c r="L142" s="6"/>
      <c r="M142" s="102">
        <f t="shared" si="8"/>
        <v>1</v>
      </c>
      <c r="N142" s="40">
        <f t="shared" si="9"/>
        <v>22</v>
      </c>
      <c r="O142" s="40">
        <f t="shared" si="10"/>
        <v>0</v>
      </c>
      <c r="P142" s="40">
        <f t="shared" si="11"/>
        <v>0</v>
      </c>
    </row>
    <row r="143" spans="2:16" ht="18.75">
      <c r="B143" s="7" t="s">
        <v>84</v>
      </c>
      <c r="C143" s="104">
        <v>45217</v>
      </c>
      <c r="D143" s="3" t="s">
        <v>914</v>
      </c>
      <c r="E143" s="4" t="s">
        <v>753</v>
      </c>
      <c r="F143" s="6"/>
      <c r="G143" s="8" t="s">
        <v>16</v>
      </c>
      <c r="H143" s="20">
        <v>45218</v>
      </c>
      <c r="I143" s="12">
        <v>45252</v>
      </c>
      <c r="J143" s="20">
        <v>45335</v>
      </c>
      <c r="K143" s="6" t="s">
        <v>915</v>
      </c>
      <c r="L143" s="6"/>
      <c r="M143" s="102">
        <f t="shared" si="8"/>
        <v>1</v>
      </c>
      <c r="N143" s="40">
        <f t="shared" si="9"/>
        <v>34</v>
      </c>
      <c r="O143" s="40">
        <f t="shared" si="10"/>
        <v>83</v>
      </c>
      <c r="P143" s="40">
        <f t="shared" si="11"/>
        <v>118</v>
      </c>
    </row>
    <row r="144" spans="2:16" ht="18.75">
      <c r="B144" s="7" t="s">
        <v>84</v>
      </c>
      <c r="C144" s="11">
        <v>45225</v>
      </c>
      <c r="D144" s="3" t="s">
        <v>916</v>
      </c>
      <c r="E144" s="4" t="s">
        <v>760</v>
      </c>
      <c r="F144" s="6"/>
      <c r="G144" s="8" t="s">
        <v>19</v>
      </c>
      <c r="H144" s="6"/>
      <c r="I144" s="6"/>
      <c r="J144" s="6"/>
      <c r="K144" s="6"/>
      <c r="L144" s="6"/>
      <c r="M144" s="40">
        <f t="shared" si="8"/>
        <v>0</v>
      </c>
      <c r="N144" s="40">
        <f t="shared" si="9"/>
        <v>0</v>
      </c>
      <c r="O144" s="40">
        <f t="shared" si="10"/>
        <v>0</v>
      </c>
      <c r="P144" s="40">
        <f t="shared" si="11"/>
        <v>0</v>
      </c>
    </row>
    <row r="145" spans="2:16" ht="18.75">
      <c r="B145" s="7" t="s">
        <v>84</v>
      </c>
      <c r="C145" s="11">
        <v>45225</v>
      </c>
      <c r="D145" s="3" t="s">
        <v>917</v>
      </c>
      <c r="E145" s="4" t="s">
        <v>771</v>
      </c>
      <c r="F145" s="6"/>
      <c r="G145" s="8" t="s">
        <v>16</v>
      </c>
      <c r="H145" s="20">
        <v>45229</v>
      </c>
      <c r="I145" s="6"/>
      <c r="J145" s="6"/>
      <c r="K145" s="6" t="s">
        <v>918</v>
      </c>
      <c r="L145" s="6"/>
      <c r="M145" s="40">
        <f t="shared" si="8"/>
        <v>4</v>
      </c>
      <c r="N145" s="40">
        <f t="shared" si="9"/>
        <v>0</v>
      </c>
      <c r="O145" s="40">
        <f t="shared" si="10"/>
        <v>0</v>
      </c>
      <c r="P145" s="40">
        <f t="shared" si="11"/>
        <v>0</v>
      </c>
    </row>
    <row r="146" spans="2:16" ht="18.75">
      <c r="B146" s="7" t="s">
        <v>84</v>
      </c>
      <c r="C146" s="11">
        <v>45225</v>
      </c>
      <c r="D146" s="3" t="s">
        <v>919</v>
      </c>
      <c r="E146" s="4" t="s">
        <v>757</v>
      </c>
      <c r="F146" s="6"/>
      <c r="G146" s="8" t="s">
        <v>16</v>
      </c>
      <c r="H146" s="20">
        <v>45238</v>
      </c>
      <c r="I146" s="12">
        <v>45245</v>
      </c>
      <c r="J146" s="6"/>
      <c r="K146" s="6" t="s">
        <v>920</v>
      </c>
      <c r="L146" s="6"/>
      <c r="M146" s="40">
        <f t="shared" si="8"/>
        <v>13</v>
      </c>
      <c r="N146" s="40">
        <f t="shared" si="9"/>
        <v>7</v>
      </c>
      <c r="O146" s="40">
        <f t="shared" si="10"/>
        <v>0</v>
      </c>
      <c r="P146" s="40">
        <f t="shared" si="11"/>
        <v>0</v>
      </c>
    </row>
    <row r="147" spans="2:16" ht="18.75">
      <c r="B147" s="7" t="s">
        <v>84</v>
      </c>
      <c r="C147" s="11">
        <v>45225</v>
      </c>
      <c r="D147" s="3" t="s">
        <v>921</v>
      </c>
      <c r="E147" s="4" t="s">
        <v>771</v>
      </c>
      <c r="F147" s="6"/>
      <c r="G147" s="8" t="s">
        <v>19</v>
      </c>
      <c r="H147" s="6"/>
      <c r="I147" s="6"/>
      <c r="J147" s="6"/>
      <c r="K147" s="6"/>
      <c r="L147" s="6"/>
      <c r="M147" s="40">
        <f t="shared" si="8"/>
        <v>0</v>
      </c>
      <c r="N147" s="40">
        <f t="shared" si="9"/>
        <v>0</v>
      </c>
      <c r="O147" s="40">
        <f t="shared" si="10"/>
        <v>0</v>
      </c>
      <c r="P147" s="40">
        <f t="shared" si="11"/>
        <v>0</v>
      </c>
    </row>
    <row r="148" spans="2:16" ht="18.75">
      <c r="B148" s="7" t="s">
        <v>84</v>
      </c>
      <c r="C148" s="11">
        <v>45225</v>
      </c>
      <c r="D148" s="3" t="s">
        <v>922</v>
      </c>
      <c r="E148" s="4" t="s">
        <v>757</v>
      </c>
      <c r="F148" s="6"/>
      <c r="G148" s="8" t="s">
        <v>16</v>
      </c>
      <c r="H148" s="12">
        <v>45264</v>
      </c>
      <c r="I148" s="12">
        <v>45320</v>
      </c>
      <c r="J148" s="6"/>
      <c r="K148" s="6" t="s">
        <v>806</v>
      </c>
      <c r="L148" s="6"/>
      <c r="M148" s="40">
        <f t="shared" si="8"/>
        <v>39</v>
      </c>
      <c r="N148" s="40">
        <f t="shared" si="9"/>
        <v>56</v>
      </c>
      <c r="O148" s="40">
        <f t="shared" si="10"/>
        <v>0</v>
      </c>
      <c r="P148" s="40">
        <f t="shared" si="11"/>
        <v>0</v>
      </c>
    </row>
    <row r="149" spans="2:16" ht="18.75">
      <c r="B149" s="7" t="s">
        <v>87</v>
      </c>
      <c r="C149" s="11">
        <v>45232</v>
      </c>
      <c r="D149" s="3" t="s">
        <v>923</v>
      </c>
      <c r="E149" s="4" t="s">
        <v>757</v>
      </c>
      <c r="F149" s="6"/>
      <c r="G149" s="8" t="s">
        <v>16</v>
      </c>
      <c r="H149" s="12">
        <v>45238</v>
      </c>
      <c r="I149" s="12">
        <v>45306</v>
      </c>
      <c r="J149" s="12">
        <v>45323</v>
      </c>
      <c r="K149" s="6"/>
      <c r="L149" s="6"/>
      <c r="M149" s="40">
        <f t="shared" si="8"/>
        <v>6</v>
      </c>
      <c r="N149" s="40">
        <f t="shared" si="9"/>
        <v>68</v>
      </c>
      <c r="O149" s="40">
        <f t="shared" si="10"/>
        <v>17</v>
      </c>
      <c r="P149" s="40">
        <f t="shared" si="11"/>
        <v>91</v>
      </c>
    </row>
    <row r="150" spans="2:16" ht="18.75">
      <c r="B150" s="7" t="s">
        <v>87</v>
      </c>
      <c r="C150" s="11">
        <v>45232</v>
      </c>
      <c r="D150" s="3" t="s">
        <v>924</v>
      </c>
      <c r="E150" s="4" t="s">
        <v>753</v>
      </c>
      <c r="F150" s="6"/>
      <c r="G150" s="8" t="s">
        <v>19</v>
      </c>
      <c r="H150" s="6"/>
      <c r="I150" s="6"/>
      <c r="J150" s="6"/>
      <c r="K150" s="6"/>
      <c r="L150" s="6"/>
      <c r="M150" s="40">
        <f t="shared" si="8"/>
        <v>0</v>
      </c>
      <c r="N150" s="40">
        <f t="shared" si="9"/>
        <v>0</v>
      </c>
      <c r="O150" s="40">
        <f t="shared" si="10"/>
        <v>0</v>
      </c>
      <c r="P150" s="40">
        <f t="shared" si="11"/>
        <v>0</v>
      </c>
    </row>
    <row r="151" spans="2:16" ht="18.75">
      <c r="B151" s="7" t="s">
        <v>87</v>
      </c>
      <c r="C151" s="11">
        <v>45232</v>
      </c>
      <c r="D151" s="3" t="s">
        <v>925</v>
      </c>
      <c r="E151" s="4" t="s">
        <v>757</v>
      </c>
      <c r="F151" s="6"/>
      <c r="G151" s="8" t="s">
        <v>19</v>
      </c>
      <c r="H151" s="6"/>
      <c r="I151" s="6"/>
      <c r="J151" s="6"/>
      <c r="K151" s="6"/>
      <c r="L151" s="6"/>
      <c r="M151" s="40">
        <f t="shared" si="8"/>
        <v>0</v>
      </c>
      <c r="N151" s="40">
        <f t="shared" si="9"/>
        <v>0</v>
      </c>
      <c r="O151" s="40">
        <f t="shared" si="10"/>
        <v>0</v>
      </c>
      <c r="P151" s="40">
        <f t="shared" si="11"/>
        <v>0</v>
      </c>
    </row>
    <row r="152" spans="2:16" ht="18.75">
      <c r="B152" s="7" t="s">
        <v>87</v>
      </c>
      <c r="C152" s="11">
        <v>45232</v>
      </c>
      <c r="D152" s="3" t="s">
        <v>926</v>
      </c>
      <c r="E152" s="4" t="s">
        <v>763</v>
      </c>
      <c r="F152" s="6"/>
      <c r="G152" s="8" t="s">
        <v>19</v>
      </c>
      <c r="H152" s="6"/>
      <c r="I152" s="6"/>
      <c r="J152" s="6"/>
      <c r="K152" s="6"/>
      <c r="L152" s="6"/>
      <c r="M152" s="40">
        <f t="shared" si="8"/>
        <v>0</v>
      </c>
      <c r="N152" s="40">
        <f t="shared" si="9"/>
        <v>0</v>
      </c>
      <c r="O152" s="40">
        <f t="shared" si="10"/>
        <v>0</v>
      </c>
      <c r="P152" s="40">
        <f t="shared" si="11"/>
        <v>0</v>
      </c>
    </row>
    <row r="153" spans="2:16" ht="18.75">
      <c r="B153" s="7" t="s">
        <v>87</v>
      </c>
      <c r="C153" s="11">
        <v>45232</v>
      </c>
      <c r="D153" s="3" t="s">
        <v>927</v>
      </c>
      <c r="E153" s="4" t="s">
        <v>771</v>
      </c>
      <c r="F153" s="6"/>
      <c r="G153" s="8" t="s">
        <v>16</v>
      </c>
      <c r="H153" s="12">
        <v>45254</v>
      </c>
      <c r="I153" s="12">
        <v>45308</v>
      </c>
      <c r="J153" s="12">
        <v>45336</v>
      </c>
      <c r="K153" s="6"/>
      <c r="L153" s="6"/>
      <c r="M153" s="40">
        <f t="shared" si="8"/>
        <v>22</v>
      </c>
      <c r="N153" s="40">
        <f t="shared" si="9"/>
        <v>54</v>
      </c>
      <c r="O153" s="40">
        <f t="shared" si="10"/>
        <v>28</v>
      </c>
      <c r="P153" s="40">
        <f t="shared" si="11"/>
        <v>104</v>
      </c>
    </row>
    <row r="154" spans="2:16" ht="18.75">
      <c r="B154" s="7" t="s">
        <v>87</v>
      </c>
      <c r="C154" s="11">
        <v>45232</v>
      </c>
      <c r="D154" s="3" t="s">
        <v>928</v>
      </c>
      <c r="E154" s="4" t="s">
        <v>760</v>
      </c>
      <c r="F154" s="6"/>
      <c r="G154" s="8" t="s">
        <v>19</v>
      </c>
      <c r="H154" s="6"/>
      <c r="I154" s="6"/>
      <c r="J154" s="6"/>
      <c r="K154" s="6"/>
      <c r="L154" s="6"/>
      <c r="M154" s="40">
        <f t="shared" si="8"/>
        <v>0</v>
      </c>
      <c r="N154" s="40">
        <f t="shared" si="9"/>
        <v>0</v>
      </c>
      <c r="O154" s="40">
        <f t="shared" si="10"/>
        <v>0</v>
      </c>
      <c r="P154" s="40">
        <f t="shared" si="11"/>
        <v>0</v>
      </c>
    </row>
    <row r="155" spans="2:16" ht="18.75">
      <c r="B155" s="7" t="s">
        <v>87</v>
      </c>
      <c r="C155" s="11">
        <v>45239</v>
      </c>
      <c r="D155" s="3" t="s">
        <v>929</v>
      </c>
      <c r="E155" s="4" t="s">
        <v>760</v>
      </c>
      <c r="F155" s="6"/>
      <c r="G155" s="9" t="s">
        <v>19</v>
      </c>
      <c r="H155" s="6"/>
      <c r="I155" s="6"/>
      <c r="J155" s="6"/>
      <c r="K155" s="6"/>
      <c r="L155" s="6"/>
      <c r="M155" s="40">
        <f t="shared" si="8"/>
        <v>0</v>
      </c>
      <c r="N155" s="40">
        <f t="shared" si="9"/>
        <v>0</v>
      </c>
      <c r="O155" s="40">
        <f t="shared" si="10"/>
        <v>0</v>
      </c>
      <c r="P155" s="40">
        <f t="shared" si="11"/>
        <v>0</v>
      </c>
    </row>
    <row r="156" spans="2:16" ht="18.75">
      <c r="B156" s="7" t="s">
        <v>87</v>
      </c>
      <c r="C156" s="11">
        <v>45239</v>
      </c>
      <c r="D156" s="3" t="s">
        <v>930</v>
      </c>
      <c r="E156" s="4" t="s">
        <v>763</v>
      </c>
      <c r="F156" s="6"/>
      <c r="G156" s="8" t="s">
        <v>19</v>
      </c>
      <c r="H156" s="6"/>
      <c r="I156" s="6"/>
      <c r="J156" s="6"/>
      <c r="K156" s="6"/>
      <c r="L156" s="6"/>
      <c r="M156" s="40">
        <f t="shared" si="8"/>
        <v>0</v>
      </c>
      <c r="N156" s="40">
        <f t="shared" si="9"/>
        <v>0</v>
      </c>
      <c r="O156" s="40">
        <f t="shared" si="10"/>
        <v>0</v>
      </c>
      <c r="P156" s="40">
        <f t="shared" si="11"/>
        <v>0</v>
      </c>
    </row>
    <row r="157" spans="2:16" ht="18.75">
      <c r="B157" s="7" t="s">
        <v>87</v>
      </c>
      <c r="C157" s="11">
        <v>45239</v>
      </c>
      <c r="D157" s="3" t="s">
        <v>931</v>
      </c>
      <c r="E157" s="4" t="s">
        <v>771</v>
      </c>
      <c r="F157" s="6"/>
      <c r="G157" s="8" t="s">
        <v>19</v>
      </c>
      <c r="H157" s="6"/>
      <c r="I157" s="6"/>
      <c r="J157" s="6"/>
      <c r="K157" s="6"/>
      <c r="L157" s="6"/>
      <c r="M157" s="40">
        <f t="shared" si="8"/>
        <v>0</v>
      </c>
      <c r="N157" s="40">
        <f t="shared" si="9"/>
        <v>0</v>
      </c>
      <c r="O157" s="40">
        <f t="shared" si="10"/>
        <v>0</v>
      </c>
      <c r="P157" s="40">
        <f t="shared" si="11"/>
        <v>0</v>
      </c>
    </row>
    <row r="158" spans="2:16" ht="18.75">
      <c r="B158" s="7" t="s">
        <v>87</v>
      </c>
      <c r="C158" s="11">
        <v>45239</v>
      </c>
      <c r="D158" s="3" t="s">
        <v>932</v>
      </c>
      <c r="E158" s="4" t="s">
        <v>760</v>
      </c>
      <c r="F158" s="6"/>
      <c r="G158" s="8" t="s">
        <v>19</v>
      </c>
      <c r="H158" s="6"/>
      <c r="I158" s="6"/>
      <c r="J158" s="6"/>
      <c r="K158" s="6"/>
      <c r="L158" s="6"/>
      <c r="M158" s="40">
        <f t="shared" si="8"/>
        <v>0</v>
      </c>
      <c r="N158" s="40">
        <f t="shared" si="9"/>
        <v>0</v>
      </c>
      <c r="O158" s="40">
        <f t="shared" si="10"/>
        <v>0</v>
      </c>
      <c r="P158" s="40">
        <f t="shared" si="11"/>
        <v>0</v>
      </c>
    </row>
    <row r="159" spans="2:16" ht="18.75">
      <c r="B159" s="7" t="s">
        <v>87</v>
      </c>
      <c r="C159" s="11">
        <v>45239</v>
      </c>
      <c r="D159" s="3" t="s">
        <v>933</v>
      </c>
      <c r="E159" s="4" t="s">
        <v>753</v>
      </c>
      <c r="F159" s="6"/>
      <c r="G159" s="8" t="s">
        <v>16</v>
      </c>
      <c r="H159" s="12">
        <v>45309</v>
      </c>
      <c r="I159" s="12">
        <v>45322</v>
      </c>
      <c r="J159" s="12">
        <v>45359</v>
      </c>
      <c r="K159" s="6"/>
      <c r="L159" s="6"/>
      <c r="M159" s="40">
        <f t="shared" si="8"/>
        <v>70</v>
      </c>
      <c r="N159" s="40">
        <f t="shared" si="9"/>
        <v>13</v>
      </c>
      <c r="O159" s="40">
        <f t="shared" si="10"/>
        <v>37</v>
      </c>
      <c r="P159" s="40">
        <f t="shared" si="11"/>
        <v>120</v>
      </c>
    </row>
    <row r="160" spans="2:16" ht="18.75">
      <c r="B160" s="7" t="s">
        <v>87</v>
      </c>
      <c r="C160" s="11">
        <v>45246</v>
      </c>
      <c r="D160" s="3" t="s">
        <v>934</v>
      </c>
      <c r="E160" s="4" t="s">
        <v>753</v>
      </c>
      <c r="F160" s="6"/>
      <c r="G160" s="8" t="s">
        <v>16</v>
      </c>
      <c r="H160" s="12">
        <v>45264</v>
      </c>
      <c r="I160" s="12">
        <v>45307</v>
      </c>
      <c r="J160" s="6"/>
      <c r="K160" s="6" t="s">
        <v>935</v>
      </c>
      <c r="L160" s="6"/>
      <c r="M160" s="40">
        <f t="shared" si="8"/>
        <v>18</v>
      </c>
      <c r="N160" s="40">
        <f t="shared" si="9"/>
        <v>43</v>
      </c>
      <c r="O160" s="40">
        <f t="shared" si="10"/>
        <v>0</v>
      </c>
      <c r="P160" s="40">
        <f t="shared" si="11"/>
        <v>0</v>
      </c>
    </row>
    <row r="161" spans="1:16" ht="18.75">
      <c r="B161" s="7" t="s">
        <v>87</v>
      </c>
      <c r="C161" s="11">
        <v>45246</v>
      </c>
      <c r="D161" s="3" t="s">
        <v>936</v>
      </c>
      <c r="E161" s="4" t="s">
        <v>771</v>
      </c>
      <c r="F161" s="6"/>
      <c r="G161" s="8" t="s">
        <v>19</v>
      </c>
      <c r="H161" s="6"/>
      <c r="I161" s="6"/>
      <c r="J161" s="6"/>
      <c r="K161" s="6"/>
      <c r="L161" s="6"/>
      <c r="M161" s="40">
        <f t="shared" si="8"/>
        <v>0</v>
      </c>
      <c r="N161" s="40">
        <f t="shared" si="9"/>
        <v>0</v>
      </c>
      <c r="O161" s="40">
        <f t="shared" si="10"/>
        <v>0</v>
      </c>
      <c r="P161" s="40">
        <f t="shared" si="11"/>
        <v>0</v>
      </c>
    </row>
    <row r="162" spans="1:16" ht="18.75">
      <c r="B162" s="7" t="s">
        <v>87</v>
      </c>
      <c r="C162" s="11">
        <v>45246</v>
      </c>
      <c r="D162" s="3" t="s">
        <v>937</v>
      </c>
      <c r="E162" s="4" t="s">
        <v>763</v>
      </c>
      <c r="F162" s="6"/>
      <c r="G162" s="8" t="s">
        <v>16</v>
      </c>
      <c r="H162" s="12">
        <v>45309</v>
      </c>
      <c r="I162" s="12">
        <v>45327</v>
      </c>
      <c r="J162" s="6"/>
      <c r="K162" s="6" t="s">
        <v>920</v>
      </c>
      <c r="L162" s="6"/>
      <c r="M162" s="40">
        <f t="shared" si="8"/>
        <v>63</v>
      </c>
      <c r="N162" s="40">
        <f t="shared" si="9"/>
        <v>18</v>
      </c>
      <c r="O162" s="40">
        <f t="shared" si="10"/>
        <v>0</v>
      </c>
      <c r="P162" s="40">
        <f t="shared" si="11"/>
        <v>0</v>
      </c>
    </row>
    <row r="163" spans="1:16" ht="18.75">
      <c r="B163" s="7" t="s">
        <v>87</v>
      </c>
      <c r="C163" s="11">
        <v>45253</v>
      </c>
      <c r="D163" s="3" t="s">
        <v>938</v>
      </c>
      <c r="E163" s="4" t="s">
        <v>760</v>
      </c>
      <c r="F163" s="6"/>
      <c r="G163" s="8" t="s">
        <v>19</v>
      </c>
      <c r="H163" s="6"/>
      <c r="I163" s="6"/>
      <c r="J163" s="6"/>
      <c r="K163" s="6"/>
      <c r="L163" s="6"/>
      <c r="M163" s="40">
        <f t="shared" si="8"/>
        <v>0</v>
      </c>
      <c r="N163" s="40">
        <f t="shared" si="9"/>
        <v>0</v>
      </c>
      <c r="O163" s="40">
        <f t="shared" si="10"/>
        <v>0</v>
      </c>
      <c r="P163" s="40">
        <f t="shared" si="11"/>
        <v>0</v>
      </c>
    </row>
    <row r="164" spans="1:16" ht="18.75">
      <c r="B164" s="7" t="s">
        <v>87</v>
      </c>
      <c r="C164" s="11">
        <v>45253</v>
      </c>
      <c r="D164" s="3" t="s">
        <v>939</v>
      </c>
      <c r="E164" s="4" t="s">
        <v>757</v>
      </c>
      <c r="F164" s="6"/>
      <c r="G164" s="8" t="s">
        <v>19</v>
      </c>
      <c r="H164" s="6"/>
      <c r="I164" s="6"/>
      <c r="J164" s="6"/>
      <c r="K164" s="6"/>
      <c r="L164" s="6"/>
      <c r="M164" s="40">
        <f t="shared" si="8"/>
        <v>0</v>
      </c>
      <c r="N164" s="40">
        <f t="shared" si="9"/>
        <v>0</v>
      </c>
      <c r="O164" s="40">
        <f t="shared" si="10"/>
        <v>0</v>
      </c>
      <c r="P164" s="40">
        <f t="shared" si="11"/>
        <v>0</v>
      </c>
    </row>
    <row r="165" spans="1:16" ht="18.75">
      <c r="B165" s="7" t="s">
        <v>87</v>
      </c>
      <c r="C165" s="11">
        <v>45253</v>
      </c>
      <c r="D165" s="3" t="s">
        <v>940</v>
      </c>
      <c r="E165" s="4" t="s">
        <v>760</v>
      </c>
      <c r="F165" s="6"/>
      <c r="G165" s="8" t="s">
        <v>19</v>
      </c>
      <c r="H165" s="6"/>
      <c r="I165" s="6"/>
      <c r="J165" s="6"/>
      <c r="K165" s="6"/>
      <c r="L165" s="6"/>
      <c r="M165" s="40">
        <f t="shared" si="8"/>
        <v>0</v>
      </c>
      <c r="N165" s="40">
        <f t="shared" si="9"/>
        <v>0</v>
      </c>
      <c r="O165" s="40">
        <f t="shared" si="10"/>
        <v>0</v>
      </c>
      <c r="P165" s="40">
        <f t="shared" si="11"/>
        <v>0</v>
      </c>
    </row>
    <row r="166" spans="1:16" ht="18.75">
      <c r="B166" s="7" t="s">
        <v>87</v>
      </c>
      <c r="C166" s="11">
        <v>45253</v>
      </c>
      <c r="D166" s="3" t="s">
        <v>941</v>
      </c>
      <c r="E166" s="4" t="s">
        <v>763</v>
      </c>
      <c r="F166" s="6"/>
      <c r="G166" s="8" t="s">
        <v>19</v>
      </c>
      <c r="H166" s="6"/>
      <c r="I166" s="6"/>
      <c r="J166" s="6"/>
      <c r="K166" s="6"/>
      <c r="L166" s="6"/>
      <c r="M166" s="40">
        <f t="shared" si="8"/>
        <v>0</v>
      </c>
      <c r="N166" s="40">
        <f t="shared" si="9"/>
        <v>0</v>
      </c>
      <c r="O166" s="40">
        <f t="shared" si="10"/>
        <v>0</v>
      </c>
      <c r="P166" s="40">
        <f t="shared" si="11"/>
        <v>0</v>
      </c>
    </row>
    <row r="167" spans="1:16" ht="18.75">
      <c r="B167" s="7" t="s">
        <v>87</v>
      </c>
      <c r="C167" s="11">
        <v>45253</v>
      </c>
      <c r="D167" s="3" t="s">
        <v>942</v>
      </c>
      <c r="E167" s="4" t="s">
        <v>757</v>
      </c>
      <c r="F167" s="6"/>
      <c r="G167" s="8" t="s">
        <v>19</v>
      </c>
      <c r="H167" s="6"/>
      <c r="I167" s="6"/>
      <c r="J167" s="6"/>
      <c r="K167" s="6"/>
      <c r="L167" s="6"/>
      <c r="M167" s="40">
        <f t="shared" si="8"/>
        <v>0</v>
      </c>
      <c r="N167" s="40">
        <f t="shared" si="9"/>
        <v>0</v>
      </c>
      <c r="O167" s="40">
        <f t="shared" si="10"/>
        <v>0</v>
      </c>
      <c r="P167" s="40">
        <f t="shared" si="11"/>
        <v>0</v>
      </c>
    </row>
    <row r="168" spans="1:16" ht="18.75">
      <c r="B168" s="7" t="s">
        <v>87</v>
      </c>
      <c r="C168" s="11">
        <v>45253</v>
      </c>
      <c r="D168" s="3" t="s">
        <v>943</v>
      </c>
      <c r="E168" s="4" t="s">
        <v>771</v>
      </c>
      <c r="F168" s="6"/>
      <c r="G168" s="8" t="s">
        <v>16</v>
      </c>
      <c r="H168" s="20">
        <v>45257</v>
      </c>
      <c r="I168" s="12">
        <v>45308</v>
      </c>
      <c r="J168" s="6"/>
      <c r="K168" s="6" t="s">
        <v>944</v>
      </c>
      <c r="L168" s="6"/>
      <c r="M168" s="40">
        <f t="shared" si="8"/>
        <v>4</v>
      </c>
      <c r="N168" s="40">
        <f t="shared" si="9"/>
        <v>51</v>
      </c>
      <c r="O168" s="40">
        <f t="shared" si="10"/>
        <v>0</v>
      </c>
      <c r="P168" s="40">
        <f t="shared" si="11"/>
        <v>0</v>
      </c>
    </row>
    <row r="169" spans="1:16" ht="18.75">
      <c r="B169" s="7" t="s">
        <v>87</v>
      </c>
      <c r="C169" s="11">
        <v>45253</v>
      </c>
      <c r="D169" s="3" t="s">
        <v>945</v>
      </c>
      <c r="E169" s="4" t="s">
        <v>771</v>
      </c>
      <c r="F169" s="6"/>
      <c r="G169" s="8" t="s">
        <v>16</v>
      </c>
      <c r="H169" s="12">
        <v>45266</v>
      </c>
      <c r="I169" s="6"/>
      <c r="J169" s="6"/>
      <c r="K169" s="6"/>
      <c r="L169" s="6"/>
      <c r="M169" s="40">
        <f t="shared" si="8"/>
        <v>13</v>
      </c>
      <c r="N169" s="40">
        <f t="shared" si="9"/>
        <v>0</v>
      </c>
      <c r="O169" s="40">
        <f t="shared" si="10"/>
        <v>0</v>
      </c>
      <c r="P169" s="40">
        <f t="shared" si="11"/>
        <v>0</v>
      </c>
    </row>
    <row r="170" spans="1:16" ht="18.75">
      <c r="B170" s="7" t="s">
        <v>87</v>
      </c>
      <c r="C170" s="11">
        <v>45253</v>
      </c>
      <c r="D170" s="3" t="s">
        <v>946</v>
      </c>
      <c r="E170" s="4" t="s">
        <v>760</v>
      </c>
      <c r="F170" s="6"/>
      <c r="G170" s="8" t="s">
        <v>16</v>
      </c>
      <c r="H170" s="12">
        <v>45264</v>
      </c>
      <c r="I170" s="12">
        <v>45313</v>
      </c>
      <c r="J170" s="12">
        <v>45342</v>
      </c>
      <c r="K170" s="6"/>
      <c r="L170" s="6"/>
      <c r="M170" s="40">
        <f t="shared" si="8"/>
        <v>11</v>
      </c>
      <c r="N170" s="40">
        <f t="shared" si="9"/>
        <v>49</v>
      </c>
      <c r="O170" s="40">
        <f t="shared" si="10"/>
        <v>29</v>
      </c>
      <c r="P170" s="40">
        <f t="shared" si="11"/>
        <v>89</v>
      </c>
    </row>
    <row r="171" spans="1:16" ht="18.75">
      <c r="A171" s="54"/>
      <c r="B171" s="7" t="s">
        <v>13</v>
      </c>
      <c r="C171" s="55">
        <v>45309</v>
      </c>
      <c r="D171" s="23" t="s">
        <v>947</v>
      </c>
      <c r="E171" s="56" t="s">
        <v>753</v>
      </c>
      <c r="F171" s="23" t="s">
        <v>109</v>
      </c>
      <c r="G171" s="56" t="s">
        <v>19</v>
      </c>
      <c r="H171" s="55"/>
      <c r="I171" s="55"/>
      <c r="J171" s="55"/>
      <c r="K171" s="6"/>
      <c r="L171" s="6"/>
      <c r="M171" s="40">
        <f t="shared" si="8"/>
        <v>0</v>
      </c>
      <c r="N171" s="40">
        <f t="shared" si="9"/>
        <v>0</v>
      </c>
      <c r="O171" s="40">
        <f t="shared" si="10"/>
        <v>0</v>
      </c>
      <c r="P171" s="40">
        <f t="shared" si="11"/>
        <v>0</v>
      </c>
    </row>
    <row r="172" spans="1:16" ht="18.75">
      <c r="A172" s="54"/>
      <c r="B172" s="7" t="s">
        <v>13</v>
      </c>
      <c r="C172" s="55">
        <v>45309</v>
      </c>
      <c r="D172" s="23" t="s">
        <v>948</v>
      </c>
      <c r="E172" s="56" t="s">
        <v>771</v>
      </c>
      <c r="F172" s="6"/>
      <c r="G172" s="55" t="s">
        <v>16</v>
      </c>
      <c r="H172" s="55">
        <v>45310</v>
      </c>
      <c r="I172" s="55">
        <v>45315</v>
      </c>
      <c r="J172" s="55"/>
      <c r="K172" s="23" t="s">
        <v>465</v>
      </c>
      <c r="L172" s="6"/>
      <c r="M172" s="40">
        <f t="shared" si="8"/>
        <v>1</v>
      </c>
      <c r="N172" s="40">
        <f t="shared" si="9"/>
        <v>5</v>
      </c>
      <c r="O172" s="40">
        <f t="shared" si="10"/>
        <v>0</v>
      </c>
      <c r="P172" s="40">
        <f t="shared" si="11"/>
        <v>0</v>
      </c>
    </row>
    <row r="173" spans="1:16" ht="18.75">
      <c r="A173" s="54"/>
      <c r="B173" s="7" t="s">
        <v>13</v>
      </c>
      <c r="C173" s="55">
        <v>45309</v>
      </c>
      <c r="D173" s="23" t="s">
        <v>949</v>
      </c>
      <c r="E173" s="56" t="s">
        <v>753</v>
      </c>
      <c r="F173" s="23" t="s">
        <v>950</v>
      </c>
      <c r="G173" s="55" t="s">
        <v>16</v>
      </c>
      <c r="H173" s="55">
        <v>45313</v>
      </c>
      <c r="I173" s="55"/>
      <c r="J173" s="55"/>
      <c r="K173" s="23" t="s">
        <v>951</v>
      </c>
      <c r="L173" s="6"/>
      <c r="M173" s="40">
        <f t="shared" si="8"/>
        <v>4</v>
      </c>
      <c r="N173" s="40">
        <f t="shared" si="9"/>
        <v>0</v>
      </c>
      <c r="O173" s="40">
        <f t="shared" si="10"/>
        <v>0</v>
      </c>
      <c r="P173" s="40">
        <f t="shared" si="11"/>
        <v>0</v>
      </c>
    </row>
    <row r="174" spans="1:16" ht="18.75">
      <c r="A174" s="54"/>
      <c r="B174" s="7" t="s">
        <v>13</v>
      </c>
      <c r="C174" s="55">
        <v>45316</v>
      </c>
      <c r="D174" s="23" t="s">
        <v>952</v>
      </c>
      <c r="E174" s="56" t="s">
        <v>753</v>
      </c>
      <c r="F174" s="6" t="s">
        <v>950</v>
      </c>
      <c r="G174" s="8" t="s">
        <v>19</v>
      </c>
      <c r="H174" s="12"/>
      <c r="I174" s="12"/>
      <c r="J174" s="12"/>
      <c r="K174" s="6"/>
      <c r="L174" s="6"/>
      <c r="M174" s="40">
        <f t="shared" si="8"/>
        <v>0</v>
      </c>
      <c r="N174" s="40">
        <f t="shared" si="9"/>
        <v>0</v>
      </c>
      <c r="O174" s="40">
        <f t="shared" si="10"/>
        <v>0</v>
      </c>
      <c r="P174" s="40">
        <f t="shared" si="11"/>
        <v>0</v>
      </c>
    </row>
    <row r="175" spans="1:16" ht="18.75">
      <c r="A175" s="54"/>
      <c r="B175" s="7" t="s">
        <v>13</v>
      </c>
      <c r="C175" s="55">
        <v>45316</v>
      </c>
      <c r="D175" s="23" t="s">
        <v>953</v>
      </c>
      <c r="E175" s="56" t="s">
        <v>771</v>
      </c>
      <c r="F175" s="6" t="s">
        <v>954</v>
      </c>
      <c r="G175" s="8" t="s">
        <v>19</v>
      </c>
      <c r="H175" s="12"/>
      <c r="I175" s="12"/>
      <c r="J175" s="12"/>
      <c r="K175" s="6"/>
      <c r="L175" s="6"/>
      <c r="M175" s="40">
        <f t="shared" si="8"/>
        <v>0</v>
      </c>
      <c r="N175" s="40">
        <f t="shared" si="9"/>
        <v>0</v>
      </c>
      <c r="O175" s="40">
        <f t="shared" si="10"/>
        <v>0</v>
      </c>
      <c r="P175" s="40">
        <f t="shared" si="11"/>
        <v>0</v>
      </c>
    </row>
    <row r="176" spans="1:16" ht="18.75">
      <c r="A176" s="54"/>
      <c r="B176" s="7" t="s">
        <v>24</v>
      </c>
      <c r="C176" s="55">
        <v>45323</v>
      </c>
      <c r="D176" s="23" t="s">
        <v>955</v>
      </c>
      <c r="E176" s="56" t="s">
        <v>753</v>
      </c>
      <c r="F176" s="6" t="s">
        <v>956</v>
      </c>
      <c r="G176" s="12" t="s">
        <v>16</v>
      </c>
      <c r="H176" s="12">
        <v>45345</v>
      </c>
      <c r="I176" s="12">
        <v>45364</v>
      </c>
      <c r="J176" s="12"/>
      <c r="K176" s="6" t="s">
        <v>345</v>
      </c>
      <c r="L176" s="6"/>
      <c r="M176" s="40">
        <f t="shared" si="8"/>
        <v>22</v>
      </c>
      <c r="N176" s="40">
        <f t="shared" si="9"/>
        <v>19</v>
      </c>
      <c r="O176" s="40">
        <f t="shared" si="10"/>
        <v>0</v>
      </c>
      <c r="P176" s="40">
        <f t="shared" si="11"/>
        <v>0</v>
      </c>
    </row>
    <row r="177" spans="1:16" ht="18.75">
      <c r="A177" s="54"/>
      <c r="B177" s="7" t="s">
        <v>24</v>
      </c>
      <c r="C177" s="55">
        <v>45323</v>
      </c>
      <c r="D177" s="23" t="s">
        <v>957</v>
      </c>
      <c r="E177" s="56" t="s">
        <v>771</v>
      </c>
      <c r="F177" s="6" t="s">
        <v>954</v>
      </c>
      <c r="G177" s="8" t="s">
        <v>19</v>
      </c>
      <c r="H177" s="12"/>
      <c r="I177" s="12"/>
      <c r="J177" s="12"/>
      <c r="K177" s="6"/>
      <c r="L177" s="6"/>
      <c r="M177" s="40">
        <f t="shared" si="8"/>
        <v>0</v>
      </c>
      <c r="N177" s="40">
        <f t="shared" si="9"/>
        <v>0</v>
      </c>
      <c r="O177" s="40">
        <f t="shared" si="10"/>
        <v>0</v>
      </c>
      <c r="P177" s="40">
        <f t="shared" si="11"/>
        <v>0</v>
      </c>
    </row>
    <row r="178" spans="1:16" ht="18.75">
      <c r="A178" s="54"/>
      <c r="B178" s="7" t="s">
        <v>24</v>
      </c>
      <c r="C178" s="55">
        <v>45323</v>
      </c>
      <c r="D178" s="23" t="s">
        <v>958</v>
      </c>
      <c r="E178" s="56" t="s">
        <v>771</v>
      </c>
      <c r="F178" s="6" t="s">
        <v>950</v>
      </c>
      <c r="G178" s="12" t="s">
        <v>16</v>
      </c>
      <c r="H178" s="12">
        <v>45327</v>
      </c>
      <c r="I178" s="12">
        <v>45335</v>
      </c>
      <c r="J178" s="12">
        <v>45370</v>
      </c>
      <c r="K178" s="6"/>
      <c r="L178" s="6"/>
      <c r="M178" s="40">
        <f t="shared" si="8"/>
        <v>4</v>
      </c>
      <c r="N178" s="40">
        <f t="shared" si="9"/>
        <v>8</v>
      </c>
      <c r="O178" s="40">
        <f t="shared" si="10"/>
        <v>35</v>
      </c>
      <c r="P178" s="40">
        <f t="shared" si="11"/>
        <v>47</v>
      </c>
    </row>
    <row r="179" spans="1:16" ht="18.75">
      <c r="A179" s="58"/>
      <c r="B179" s="7" t="s">
        <v>24</v>
      </c>
      <c r="C179" s="55">
        <v>45323</v>
      </c>
      <c r="D179" s="23" t="s">
        <v>959</v>
      </c>
      <c r="E179" s="56" t="s">
        <v>763</v>
      </c>
      <c r="F179" s="6" t="s">
        <v>950</v>
      </c>
      <c r="G179" s="12" t="s">
        <v>16</v>
      </c>
      <c r="H179" s="12">
        <v>45327</v>
      </c>
      <c r="I179" s="12">
        <v>45335</v>
      </c>
      <c r="J179" s="12"/>
      <c r="K179" s="6" t="s">
        <v>345</v>
      </c>
      <c r="L179" s="6"/>
      <c r="M179" s="40">
        <f t="shared" si="8"/>
        <v>4</v>
      </c>
      <c r="N179" s="40">
        <f t="shared" si="9"/>
        <v>8</v>
      </c>
      <c r="O179" s="40">
        <f t="shared" si="10"/>
        <v>0</v>
      </c>
      <c r="P179" s="40">
        <f t="shared" si="11"/>
        <v>0</v>
      </c>
    </row>
    <row r="180" spans="1:16" ht="18.75">
      <c r="A180" s="58"/>
      <c r="B180" s="7" t="s">
        <v>24</v>
      </c>
      <c r="C180" s="55">
        <v>45323</v>
      </c>
      <c r="D180" s="23" t="s">
        <v>960</v>
      </c>
      <c r="E180" s="56" t="s">
        <v>771</v>
      </c>
      <c r="F180" s="6"/>
      <c r="G180" s="8" t="s">
        <v>16</v>
      </c>
      <c r="H180" s="12">
        <v>45342</v>
      </c>
      <c r="I180" s="12"/>
      <c r="J180" s="12"/>
      <c r="K180" s="6" t="s">
        <v>806</v>
      </c>
      <c r="L180" s="6"/>
      <c r="M180" s="40">
        <f t="shared" si="8"/>
        <v>19</v>
      </c>
      <c r="N180" s="40">
        <f t="shared" si="9"/>
        <v>0</v>
      </c>
      <c r="O180" s="40">
        <f t="shared" si="10"/>
        <v>0</v>
      </c>
      <c r="P180" s="40">
        <f t="shared" si="11"/>
        <v>0</v>
      </c>
    </row>
    <row r="181" spans="1:16" ht="18.75">
      <c r="A181" s="58"/>
      <c r="B181" s="7" t="s">
        <v>24</v>
      </c>
      <c r="C181" s="55">
        <v>45323</v>
      </c>
      <c r="D181" s="23" t="s">
        <v>961</v>
      </c>
      <c r="E181" s="56" t="s">
        <v>755</v>
      </c>
      <c r="F181" s="6"/>
      <c r="G181" s="12" t="s">
        <v>16</v>
      </c>
      <c r="H181" s="12">
        <v>45327</v>
      </c>
      <c r="I181" s="12">
        <v>45334</v>
      </c>
      <c r="J181" s="12"/>
      <c r="K181" s="6" t="s">
        <v>962</v>
      </c>
      <c r="L181" s="6"/>
      <c r="M181" s="40">
        <f t="shared" si="8"/>
        <v>4</v>
      </c>
      <c r="N181" s="40">
        <f t="shared" si="9"/>
        <v>7</v>
      </c>
      <c r="O181" s="40">
        <f t="shared" si="10"/>
        <v>0</v>
      </c>
      <c r="P181" s="40">
        <f t="shared" si="11"/>
        <v>0</v>
      </c>
    </row>
    <row r="182" spans="1:16" ht="18.75">
      <c r="A182" s="58"/>
      <c r="B182" s="7" t="s">
        <v>24</v>
      </c>
      <c r="C182" s="55">
        <v>45323</v>
      </c>
      <c r="D182" s="23" t="s">
        <v>963</v>
      </c>
      <c r="E182" s="56" t="s">
        <v>753</v>
      </c>
      <c r="F182" s="6" t="s">
        <v>109</v>
      </c>
      <c r="G182" s="8" t="s">
        <v>19</v>
      </c>
      <c r="H182" s="12"/>
      <c r="I182" s="12"/>
      <c r="J182" s="12"/>
      <c r="K182" s="6"/>
      <c r="L182" s="6"/>
      <c r="M182" s="40">
        <f t="shared" si="8"/>
        <v>0</v>
      </c>
      <c r="N182" s="40">
        <f t="shared" si="9"/>
        <v>0</v>
      </c>
      <c r="O182" s="40">
        <f t="shared" si="10"/>
        <v>0</v>
      </c>
      <c r="P182" s="40">
        <f t="shared" si="11"/>
        <v>0</v>
      </c>
    </row>
    <row r="183" spans="1:16" ht="18.75">
      <c r="A183" s="58"/>
      <c r="B183" s="7" t="s">
        <v>24</v>
      </c>
      <c r="C183" s="55">
        <v>45330</v>
      </c>
      <c r="D183" s="23" t="s">
        <v>964</v>
      </c>
      <c r="E183" s="56" t="s">
        <v>753</v>
      </c>
      <c r="F183" s="6" t="s">
        <v>950</v>
      </c>
      <c r="G183" s="8" t="s">
        <v>19</v>
      </c>
      <c r="H183" s="12"/>
      <c r="I183" s="12"/>
      <c r="J183" s="12"/>
      <c r="K183" s="6"/>
      <c r="L183" s="6"/>
      <c r="M183" s="40">
        <f t="shared" si="8"/>
        <v>0</v>
      </c>
      <c r="N183" s="40">
        <f t="shared" si="9"/>
        <v>0</v>
      </c>
      <c r="O183" s="40">
        <f t="shared" si="10"/>
        <v>0</v>
      </c>
      <c r="P183" s="40">
        <f t="shared" si="11"/>
        <v>0</v>
      </c>
    </row>
    <row r="184" spans="1:16" ht="18.75">
      <c r="A184" s="58"/>
      <c r="B184" s="7" t="s">
        <v>24</v>
      </c>
      <c r="C184" s="55">
        <v>45330</v>
      </c>
      <c r="D184" s="23" t="s">
        <v>965</v>
      </c>
      <c r="E184" s="56" t="s">
        <v>755</v>
      </c>
      <c r="F184" s="6"/>
      <c r="G184" s="8" t="s">
        <v>19</v>
      </c>
      <c r="H184" s="12"/>
      <c r="I184" s="12"/>
      <c r="J184" s="12"/>
      <c r="K184" s="6"/>
      <c r="L184" s="6"/>
      <c r="M184" s="40">
        <f t="shared" si="8"/>
        <v>0</v>
      </c>
      <c r="N184" s="40">
        <f t="shared" si="9"/>
        <v>0</v>
      </c>
      <c r="O184" s="40">
        <f t="shared" si="10"/>
        <v>0</v>
      </c>
      <c r="P184" s="40">
        <f t="shared" si="11"/>
        <v>0</v>
      </c>
    </row>
    <row r="185" spans="1:16" ht="18.75">
      <c r="A185" s="58"/>
      <c r="B185" s="7" t="s">
        <v>24</v>
      </c>
      <c r="C185" s="55">
        <v>45330</v>
      </c>
      <c r="D185" s="23" t="s">
        <v>966</v>
      </c>
      <c r="E185" s="56" t="s">
        <v>771</v>
      </c>
      <c r="F185" s="6"/>
      <c r="G185" s="8" t="s">
        <v>19</v>
      </c>
      <c r="H185" s="12"/>
      <c r="I185" s="12"/>
      <c r="J185" s="12"/>
      <c r="K185" s="6"/>
      <c r="L185" s="6"/>
      <c r="M185" s="40">
        <f t="shared" si="8"/>
        <v>0</v>
      </c>
      <c r="N185" s="40">
        <f t="shared" si="9"/>
        <v>0</v>
      </c>
      <c r="O185" s="40">
        <f t="shared" si="10"/>
        <v>0</v>
      </c>
      <c r="P185" s="40">
        <f t="shared" si="11"/>
        <v>0</v>
      </c>
    </row>
    <row r="186" spans="1:16" ht="18.75">
      <c r="A186" s="58"/>
      <c r="B186" s="7" t="s">
        <v>24</v>
      </c>
      <c r="C186" s="55">
        <v>45344</v>
      </c>
      <c r="D186" s="23" t="s">
        <v>967</v>
      </c>
      <c r="E186" s="56" t="s">
        <v>763</v>
      </c>
      <c r="F186" s="6" t="s">
        <v>968</v>
      </c>
      <c r="G186" s="12" t="s">
        <v>16</v>
      </c>
      <c r="H186" s="12">
        <v>45348</v>
      </c>
      <c r="I186" s="12"/>
      <c r="J186" s="12"/>
      <c r="K186" s="6" t="s">
        <v>801</v>
      </c>
      <c r="L186" s="6"/>
      <c r="M186" s="40">
        <f t="shared" si="8"/>
        <v>4</v>
      </c>
      <c r="N186" s="40">
        <f t="shared" si="9"/>
        <v>0</v>
      </c>
      <c r="O186" s="40">
        <f t="shared" si="10"/>
        <v>0</v>
      </c>
      <c r="P186" s="40">
        <f t="shared" si="11"/>
        <v>0</v>
      </c>
    </row>
    <row r="187" spans="1:16" ht="18.75">
      <c r="A187" s="58"/>
      <c r="B187" s="7" t="s">
        <v>24</v>
      </c>
      <c r="C187" s="55">
        <v>45344</v>
      </c>
      <c r="D187" s="23" t="s">
        <v>969</v>
      </c>
      <c r="E187" s="56" t="s">
        <v>763</v>
      </c>
      <c r="F187" s="6"/>
      <c r="G187" s="8" t="s">
        <v>19</v>
      </c>
      <c r="H187" s="12"/>
      <c r="I187" s="12"/>
      <c r="J187" s="12"/>
      <c r="K187" s="6"/>
      <c r="L187" s="6"/>
      <c r="M187" s="40">
        <f t="shared" si="8"/>
        <v>0</v>
      </c>
      <c r="N187" s="40">
        <f t="shared" si="9"/>
        <v>0</v>
      </c>
      <c r="O187" s="40">
        <f t="shared" si="10"/>
        <v>0</v>
      </c>
      <c r="P187" s="40">
        <f t="shared" si="11"/>
        <v>0</v>
      </c>
    </row>
    <row r="188" spans="1:16" ht="18.75">
      <c r="A188" s="58"/>
      <c r="B188" s="7" t="s">
        <v>24</v>
      </c>
      <c r="C188" s="55">
        <v>45337</v>
      </c>
      <c r="D188" s="23" t="s">
        <v>970</v>
      </c>
      <c r="E188" s="56" t="s">
        <v>760</v>
      </c>
      <c r="F188" s="6"/>
      <c r="G188" s="8" t="s">
        <v>19</v>
      </c>
      <c r="H188" s="12"/>
      <c r="I188" s="12"/>
      <c r="J188" s="12"/>
      <c r="K188" s="6"/>
      <c r="L188" s="6"/>
      <c r="M188" s="40">
        <f t="shared" si="8"/>
        <v>0</v>
      </c>
      <c r="N188" s="40">
        <f t="shared" si="9"/>
        <v>0</v>
      </c>
      <c r="O188" s="40">
        <f t="shared" si="10"/>
        <v>0</v>
      </c>
      <c r="P188" s="40">
        <f t="shared" si="11"/>
        <v>0</v>
      </c>
    </row>
    <row r="189" spans="1:16" ht="18.75">
      <c r="A189" s="58"/>
      <c r="B189" s="7" t="s">
        <v>24</v>
      </c>
      <c r="C189" s="55">
        <v>45337</v>
      </c>
      <c r="D189" s="23" t="s">
        <v>971</v>
      </c>
      <c r="E189" s="56" t="s">
        <v>771</v>
      </c>
      <c r="F189" s="6"/>
      <c r="G189" s="8" t="s">
        <v>19</v>
      </c>
      <c r="H189" s="12"/>
      <c r="I189" s="12"/>
      <c r="J189" s="12"/>
      <c r="K189" s="6"/>
      <c r="L189" s="6"/>
      <c r="M189" s="40">
        <f t="shared" si="8"/>
        <v>0</v>
      </c>
      <c r="N189" s="40">
        <f t="shared" si="9"/>
        <v>0</v>
      </c>
      <c r="O189" s="40">
        <f t="shared" si="10"/>
        <v>0</v>
      </c>
      <c r="P189" s="40">
        <f t="shared" si="11"/>
        <v>0</v>
      </c>
    </row>
    <row r="190" spans="1:16" ht="18.75">
      <c r="A190" s="58"/>
      <c r="B190" s="7" t="s">
        <v>24</v>
      </c>
      <c r="C190" s="55">
        <v>45337</v>
      </c>
      <c r="D190" s="23" t="s">
        <v>972</v>
      </c>
      <c r="E190" s="56" t="s">
        <v>763</v>
      </c>
      <c r="F190" s="6"/>
      <c r="G190" s="8" t="s">
        <v>19</v>
      </c>
      <c r="H190" s="12"/>
      <c r="I190" s="12"/>
      <c r="J190" s="12"/>
      <c r="K190" s="6"/>
      <c r="L190" s="6"/>
      <c r="M190" s="40">
        <f t="shared" si="8"/>
        <v>0</v>
      </c>
      <c r="N190" s="40">
        <f t="shared" si="9"/>
        <v>0</v>
      </c>
      <c r="O190" s="40">
        <f t="shared" si="10"/>
        <v>0</v>
      </c>
      <c r="P190" s="40">
        <f t="shared" si="11"/>
        <v>0</v>
      </c>
    </row>
    <row r="191" spans="1:16" ht="18.75">
      <c r="A191" s="58"/>
      <c r="B191" s="7" t="s">
        <v>24</v>
      </c>
      <c r="C191" s="55">
        <v>45337</v>
      </c>
      <c r="D191" s="23" t="s">
        <v>973</v>
      </c>
      <c r="E191" s="56" t="s">
        <v>757</v>
      </c>
      <c r="F191" s="6"/>
      <c r="G191" s="8" t="s">
        <v>16</v>
      </c>
      <c r="H191" s="12">
        <v>45485</v>
      </c>
      <c r="I191" s="12">
        <v>45516</v>
      </c>
      <c r="J191" s="12">
        <v>45538</v>
      </c>
      <c r="K191" s="6"/>
      <c r="L191" s="6"/>
      <c r="M191" s="40">
        <f t="shared" si="8"/>
        <v>148</v>
      </c>
      <c r="N191" s="40">
        <f t="shared" si="9"/>
        <v>31</v>
      </c>
      <c r="O191" s="40">
        <f t="shared" si="10"/>
        <v>22</v>
      </c>
      <c r="P191" s="40">
        <f t="shared" si="11"/>
        <v>201</v>
      </c>
    </row>
    <row r="192" spans="1:16" ht="18.75">
      <c r="A192" s="58"/>
      <c r="B192" s="7" t="s">
        <v>24</v>
      </c>
      <c r="C192" s="55">
        <v>45337</v>
      </c>
      <c r="D192" s="23" t="s">
        <v>974</v>
      </c>
      <c r="E192" s="56" t="s">
        <v>760</v>
      </c>
      <c r="F192" s="6"/>
      <c r="G192" s="8" t="s">
        <v>16</v>
      </c>
      <c r="H192" s="12">
        <v>45485</v>
      </c>
      <c r="I192" s="12">
        <v>45516</v>
      </c>
      <c r="J192" s="12">
        <v>45538</v>
      </c>
      <c r="K192" s="6"/>
      <c r="L192" s="6" t="s">
        <v>975</v>
      </c>
      <c r="M192" s="40">
        <f t="shared" si="8"/>
        <v>148</v>
      </c>
      <c r="N192" s="40">
        <f t="shared" si="9"/>
        <v>31</v>
      </c>
      <c r="O192" s="40">
        <f t="shared" si="10"/>
        <v>22</v>
      </c>
      <c r="P192" s="40">
        <f t="shared" si="11"/>
        <v>201</v>
      </c>
    </row>
    <row r="193" spans="1:16" ht="18.75">
      <c r="A193" s="58"/>
      <c r="B193" s="7" t="s">
        <v>24</v>
      </c>
      <c r="C193" s="55">
        <v>45337</v>
      </c>
      <c r="D193" s="23" t="s">
        <v>976</v>
      </c>
      <c r="E193" s="56" t="s">
        <v>757</v>
      </c>
      <c r="F193" s="6"/>
      <c r="G193" s="12" t="s">
        <v>16</v>
      </c>
      <c r="H193" s="12">
        <v>45372</v>
      </c>
      <c r="I193" s="12"/>
      <c r="J193" s="12"/>
      <c r="K193" s="6" t="s">
        <v>977</v>
      </c>
      <c r="L193" s="6"/>
      <c r="M193" s="40">
        <f t="shared" si="8"/>
        <v>35</v>
      </c>
      <c r="N193" s="40">
        <f t="shared" si="9"/>
        <v>0</v>
      </c>
      <c r="O193" s="40">
        <f t="shared" si="10"/>
        <v>0</v>
      </c>
      <c r="P193" s="40">
        <f t="shared" si="11"/>
        <v>0</v>
      </c>
    </row>
    <row r="194" spans="1:16" ht="18.75">
      <c r="A194" s="58"/>
      <c r="B194" s="7" t="s">
        <v>24</v>
      </c>
      <c r="C194" s="55">
        <v>45337</v>
      </c>
      <c r="D194" s="23" t="s">
        <v>978</v>
      </c>
      <c r="E194" s="56" t="s">
        <v>757</v>
      </c>
      <c r="F194" s="6"/>
      <c r="G194" s="8" t="s">
        <v>16</v>
      </c>
      <c r="H194" s="12">
        <v>45728</v>
      </c>
      <c r="I194" s="12">
        <v>45734</v>
      </c>
      <c r="J194" s="12">
        <v>45880</v>
      </c>
      <c r="K194" s="6"/>
      <c r="L194" s="6"/>
      <c r="M194" s="40">
        <f t="shared" si="8"/>
        <v>391</v>
      </c>
      <c r="N194" s="40">
        <f t="shared" si="9"/>
        <v>6</v>
      </c>
      <c r="O194" s="40">
        <f t="shared" si="10"/>
        <v>146</v>
      </c>
      <c r="P194" s="40">
        <f t="shared" si="11"/>
        <v>543</v>
      </c>
    </row>
    <row r="195" spans="1:16" ht="18.75">
      <c r="A195" s="58"/>
      <c r="B195" s="7" t="s">
        <v>34</v>
      </c>
      <c r="C195" s="55">
        <v>45358</v>
      </c>
      <c r="D195" s="23" t="s">
        <v>979</v>
      </c>
      <c r="E195" s="56" t="s">
        <v>760</v>
      </c>
      <c r="F195" s="6" t="s">
        <v>954</v>
      </c>
      <c r="G195" s="8" t="s">
        <v>19</v>
      </c>
      <c r="H195" s="12"/>
      <c r="I195" s="12"/>
      <c r="J195" s="12"/>
      <c r="K195" s="6"/>
      <c r="L195" s="6"/>
      <c r="M195" s="40">
        <f t="shared" ref="M195:M233" si="12">IF(H195&gt;0,H195-C195,0)</f>
        <v>0</v>
      </c>
      <c r="N195" s="40">
        <f t="shared" ref="N195:N233" si="13">IF(I195&gt;0,I195-H195,0)</f>
        <v>0</v>
      </c>
      <c r="O195" s="40">
        <f t="shared" ref="O195:O233" si="14">IF(J195&gt;0,J195-I195,0)</f>
        <v>0</v>
      </c>
      <c r="P195" s="40">
        <f t="shared" ref="P195:P233" si="15">IF(J195&gt;0,J195-C195,0)</f>
        <v>0</v>
      </c>
    </row>
    <row r="196" spans="1:16" ht="18.75">
      <c r="A196" s="58"/>
      <c r="B196" s="7" t="s">
        <v>34</v>
      </c>
      <c r="C196" s="55">
        <v>45358</v>
      </c>
      <c r="D196" s="23" t="s">
        <v>980</v>
      </c>
      <c r="E196" s="56" t="s">
        <v>757</v>
      </c>
      <c r="F196" s="6" t="s">
        <v>950</v>
      </c>
      <c r="G196" s="8" t="s">
        <v>19</v>
      </c>
      <c r="H196" s="12"/>
      <c r="I196" s="12"/>
      <c r="J196" s="12"/>
      <c r="K196" s="6"/>
      <c r="L196" s="6"/>
      <c r="M196" s="40">
        <f t="shared" si="12"/>
        <v>0</v>
      </c>
      <c r="N196" s="40">
        <f t="shared" si="13"/>
        <v>0</v>
      </c>
      <c r="O196" s="40">
        <f t="shared" si="14"/>
        <v>0</v>
      </c>
      <c r="P196" s="40">
        <f t="shared" si="15"/>
        <v>0</v>
      </c>
    </row>
    <row r="197" spans="1:16" ht="18.75">
      <c r="A197" s="58"/>
      <c r="B197" s="7" t="s">
        <v>34</v>
      </c>
      <c r="C197" s="55">
        <v>45358</v>
      </c>
      <c r="D197" s="23" t="s">
        <v>981</v>
      </c>
      <c r="E197" s="56" t="s">
        <v>760</v>
      </c>
      <c r="F197" s="6" t="s">
        <v>103</v>
      </c>
      <c r="G197" s="12" t="s">
        <v>16</v>
      </c>
      <c r="H197" s="12">
        <v>45390</v>
      </c>
      <c r="I197" s="12">
        <v>45411</v>
      </c>
      <c r="J197" s="12"/>
      <c r="K197" s="6" t="s">
        <v>982</v>
      </c>
      <c r="L197" s="6"/>
      <c r="M197" s="40">
        <f t="shared" si="12"/>
        <v>32</v>
      </c>
      <c r="N197" s="40">
        <f t="shared" si="13"/>
        <v>21</v>
      </c>
      <c r="O197" s="40">
        <f t="shared" si="14"/>
        <v>0</v>
      </c>
      <c r="P197" s="40">
        <f t="shared" si="15"/>
        <v>0</v>
      </c>
    </row>
    <row r="198" spans="1:16" ht="18.75">
      <c r="A198" s="58"/>
      <c r="B198" s="7" t="s">
        <v>34</v>
      </c>
      <c r="C198" s="55">
        <v>45358</v>
      </c>
      <c r="D198" s="23" t="s">
        <v>983</v>
      </c>
      <c r="E198" s="56" t="s">
        <v>771</v>
      </c>
      <c r="F198" s="6" t="s">
        <v>222</v>
      </c>
      <c r="G198" s="8" t="s">
        <v>19</v>
      </c>
      <c r="H198" s="12"/>
      <c r="I198" s="12"/>
      <c r="J198" s="12"/>
      <c r="K198" s="6"/>
      <c r="L198" s="6"/>
      <c r="M198" s="40">
        <f t="shared" si="12"/>
        <v>0</v>
      </c>
      <c r="N198" s="40">
        <f t="shared" si="13"/>
        <v>0</v>
      </c>
      <c r="O198" s="40">
        <f t="shared" si="14"/>
        <v>0</v>
      </c>
      <c r="P198" s="40">
        <f t="shared" si="15"/>
        <v>0</v>
      </c>
    </row>
    <row r="199" spans="1:16" ht="18.75">
      <c r="A199" s="58"/>
      <c r="B199" s="7" t="s">
        <v>34</v>
      </c>
      <c r="C199" s="55">
        <v>45358</v>
      </c>
      <c r="D199" s="23" t="s">
        <v>984</v>
      </c>
      <c r="E199" s="56" t="s">
        <v>771</v>
      </c>
      <c r="F199" s="6" t="s">
        <v>222</v>
      </c>
      <c r="G199" s="12" t="s">
        <v>16</v>
      </c>
      <c r="H199" s="12">
        <v>45369</v>
      </c>
      <c r="I199" s="12">
        <v>45390</v>
      </c>
      <c r="J199" s="12">
        <v>45688</v>
      </c>
      <c r="K199" s="6"/>
      <c r="L199" s="6"/>
      <c r="M199" s="40">
        <f t="shared" si="12"/>
        <v>11</v>
      </c>
      <c r="N199" s="40">
        <f t="shared" si="13"/>
        <v>21</v>
      </c>
      <c r="O199" s="40">
        <f t="shared" si="14"/>
        <v>298</v>
      </c>
      <c r="P199" s="40">
        <f t="shared" si="15"/>
        <v>330</v>
      </c>
    </row>
    <row r="200" spans="1:16" ht="18.75">
      <c r="A200" s="58"/>
      <c r="B200" s="7" t="s">
        <v>34</v>
      </c>
      <c r="C200" s="55">
        <v>45358</v>
      </c>
      <c r="D200" s="23" t="s">
        <v>985</v>
      </c>
      <c r="E200" s="56" t="s">
        <v>755</v>
      </c>
      <c r="F200" s="6" t="s">
        <v>950</v>
      </c>
      <c r="G200" s="8" t="s">
        <v>19</v>
      </c>
      <c r="H200" s="12"/>
      <c r="I200" s="12"/>
      <c r="J200" s="12"/>
      <c r="K200" s="6"/>
      <c r="L200" s="6"/>
      <c r="M200" s="40">
        <f t="shared" si="12"/>
        <v>0</v>
      </c>
      <c r="N200" s="40">
        <f t="shared" si="13"/>
        <v>0</v>
      </c>
      <c r="O200" s="40">
        <f t="shared" si="14"/>
        <v>0</v>
      </c>
      <c r="P200" s="40">
        <f t="shared" si="15"/>
        <v>0</v>
      </c>
    </row>
    <row r="201" spans="1:16" ht="18.75">
      <c r="A201" s="58"/>
      <c r="B201" s="7" t="s">
        <v>34</v>
      </c>
      <c r="C201" s="55">
        <v>45358</v>
      </c>
      <c r="D201" s="23" t="s">
        <v>986</v>
      </c>
      <c r="E201" s="56" t="s">
        <v>753</v>
      </c>
      <c r="F201" s="6"/>
      <c r="G201" s="8" t="s">
        <v>19</v>
      </c>
      <c r="H201" s="12"/>
      <c r="I201" s="12"/>
      <c r="J201" s="12"/>
      <c r="K201" s="6"/>
      <c r="L201" s="6"/>
      <c r="M201" s="40">
        <f t="shared" si="12"/>
        <v>0</v>
      </c>
      <c r="N201" s="40">
        <f t="shared" si="13"/>
        <v>0</v>
      </c>
      <c r="O201" s="40">
        <f t="shared" si="14"/>
        <v>0</v>
      </c>
      <c r="P201" s="40">
        <f t="shared" si="15"/>
        <v>0</v>
      </c>
    </row>
    <row r="202" spans="1:16" ht="18.75">
      <c r="A202" s="58"/>
      <c r="B202" s="7" t="s">
        <v>34</v>
      </c>
      <c r="C202" s="55">
        <v>45365</v>
      </c>
      <c r="D202" s="23" t="s">
        <v>987</v>
      </c>
      <c r="E202" s="56" t="s">
        <v>753</v>
      </c>
      <c r="F202" s="6" t="s">
        <v>103</v>
      </c>
      <c r="G202" s="8" t="s">
        <v>16</v>
      </c>
      <c r="H202" s="12">
        <v>45498</v>
      </c>
      <c r="I202" s="12"/>
      <c r="J202" s="12"/>
      <c r="K202" s="6" t="s">
        <v>988</v>
      </c>
      <c r="L202" s="6"/>
      <c r="M202" s="40">
        <f t="shared" si="12"/>
        <v>133</v>
      </c>
      <c r="N202" s="40">
        <f t="shared" si="13"/>
        <v>0</v>
      </c>
      <c r="O202" s="40">
        <f t="shared" si="14"/>
        <v>0</v>
      </c>
      <c r="P202" s="40">
        <f t="shared" si="15"/>
        <v>0</v>
      </c>
    </row>
    <row r="203" spans="1:16" ht="18.75">
      <c r="A203" s="58"/>
      <c r="B203" s="7" t="s">
        <v>34</v>
      </c>
      <c r="C203" s="55">
        <v>45372</v>
      </c>
      <c r="D203" s="23" t="s">
        <v>989</v>
      </c>
      <c r="E203" s="56" t="s">
        <v>755</v>
      </c>
      <c r="F203" s="6" t="s">
        <v>103</v>
      </c>
      <c r="G203" s="8" t="s">
        <v>19</v>
      </c>
      <c r="H203" s="12"/>
      <c r="I203" s="12"/>
      <c r="J203" s="12"/>
      <c r="K203" s="6"/>
      <c r="L203" s="6"/>
      <c r="M203" s="40">
        <f t="shared" si="12"/>
        <v>0</v>
      </c>
      <c r="N203" s="40">
        <f t="shared" si="13"/>
        <v>0</v>
      </c>
      <c r="O203" s="40">
        <f t="shared" si="14"/>
        <v>0</v>
      </c>
      <c r="P203" s="40">
        <f t="shared" si="15"/>
        <v>0</v>
      </c>
    </row>
    <row r="204" spans="1:16" ht="18.75">
      <c r="A204" s="58"/>
      <c r="B204" s="7" t="s">
        <v>34</v>
      </c>
      <c r="C204" s="55">
        <v>45372</v>
      </c>
      <c r="D204" s="23" t="s">
        <v>990</v>
      </c>
      <c r="E204" s="56" t="s">
        <v>771</v>
      </c>
      <c r="F204" s="6" t="s">
        <v>103</v>
      </c>
      <c r="G204" s="8" t="s">
        <v>19</v>
      </c>
      <c r="H204" s="12"/>
      <c r="I204" s="12"/>
      <c r="J204" s="12"/>
      <c r="K204" s="6"/>
      <c r="L204" s="6"/>
      <c r="M204" s="40">
        <f t="shared" si="12"/>
        <v>0</v>
      </c>
      <c r="N204" s="40">
        <f t="shared" si="13"/>
        <v>0</v>
      </c>
      <c r="O204" s="40">
        <f t="shared" si="14"/>
        <v>0</v>
      </c>
      <c r="P204" s="40">
        <f t="shared" si="15"/>
        <v>0</v>
      </c>
    </row>
    <row r="205" spans="1:16" ht="18.75">
      <c r="A205" s="58"/>
      <c r="B205" s="7" t="s">
        <v>38</v>
      </c>
      <c r="C205" s="55">
        <v>45386</v>
      </c>
      <c r="D205" s="23" t="s">
        <v>991</v>
      </c>
      <c r="E205" s="56" t="s">
        <v>757</v>
      </c>
      <c r="F205" s="6" t="s">
        <v>992</v>
      </c>
      <c r="G205" s="12" t="s">
        <v>16</v>
      </c>
      <c r="H205" s="12">
        <v>45390</v>
      </c>
      <c r="I205" s="12"/>
      <c r="J205" s="12"/>
      <c r="K205" s="6" t="s">
        <v>369</v>
      </c>
      <c r="L205" s="6"/>
      <c r="M205" s="40">
        <f t="shared" si="12"/>
        <v>4</v>
      </c>
      <c r="N205" s="40">
        <f t="shared" si="13"/>
        <v>0</v>
      </c>
      <c r="O205" s="40">
        <f t="shared" si="14"/>
        <v>0</v>
      </c>
      <c r="P205" s="40">
        <f t="shared" si="15"/>
        <v>0</v>
      </c>
    </row>
    <row r="206" spans="1:16" ht="18.75">
      <c r="A206" s="58"/>
      <c r="B206" s="7" t="s">
        <v>38</v>
      </c>
      <c r="C206" s="55">
        <v>45386</v>
      </c>
      <c r="D206" s="23" t="s">
        <v>993</v>
      </c>
      <c r="E206" s="56" t="s">
        <v>753</v>
      </c>
      <c r="F206" s="6" t="s">
        <v>994</v>
      </c>
      <c r="G206" s="12" t="s">
        <v>16</v>
      </c>
      <c r="H206" s="12">
        <v>45386</v>
      </c>
      <c r="I206" s="12"/>
      <c r="J206" s="12"/>
      <c r="K206" s="6" t="s">
        <v>995</v>
      </c>
      <c r="L206" s="6"/>
      <c r="M206" s="40">
        <f t="shared" si="12"/>
        <v>0</v>
      </c>
      <c r="N206" s="40">
        <f t="shared" si="13"/>
        <v>0</v>
      </c>
      <c r="O206" s="40">
        <f t="shared" si="14"/>
        <v>0</v>
      </c>
      <c r="P206" s="40">
        <f t="shared" si="15"/>
        <v>0</v>
      </c>
    </row>
    <row r="207" spans="1:16" ht="18.75">
      <c r="A207" s="58"/>
      <c r="B207" s="7" t="s">
        <v>38</v>
      </c>
      <c r="C207" s="55">
        <v>45393</v>
      </c>
      <c r="D207" s="23" t="s">
        <v>996</v>
      </c>
      <c r="E207" s="56" t="s">
        <v>771</v>
      </c>
      <c r="F207" s="6" t="s">
        <v>997</v>
      </c>
      <c r="G207" s="12" t="s">
        <v>16</v>
      </c>
      <c r="H207" s="12">
        <v>45394</v>
      </c>
      <c r="I207" s="12">
        <v>45401</v>
      </c>
      <c r="J207" s="12">
        <v>45429</v>
      </c>
      <c r="K207" s="6"/>
      <c r="L207" s="6"/>
      <c r="M207" s="40">
        <f t="shared" si="12"/>
        <v>1</v>
      </c>
      <c r="N207" s="40">
        <f t="shared" si="13"/>
        <v>7</v>
      </c>
      <c r="O207" s="40">
        <f t="shared" si="14"/>
        <v>28</v>
      </c>
      <c r="P207" s="40">
        <f t="shared" si="15"/>
        <v>36</v>
      </c>
    </row>
    <row r="208" spans="1:16" ht="18.75">
      <c r="A208" s="58"/>
      <c r="B208" s="7" t="s">
        <v>38</v>
      </c>
      <c r="C208" s="55">
        <v>45393</v>
      </c>
      <c r="D208" s="23" t="s">
        <v>998</v>
      </c>
      <c r="E208" s="56" t="s">
        <v>753</v>
      </c>
      <c r="F208" s="6" t="s">
        <v>222</v>
      </c>
      <c r="G208" s="12" t="s">
        <v>16</v>
      </c>
      <c r="H208" s="12">
        <v>45405</v>
      </c>
      <c r="I208" s="12">
        <v>45418</v>
      </c>
      <c r="J208" s="12"/>
      <c r="K208" s="6" t="s">
        <v>465</v>
      </c>
      <c r="L208" s="6"/>
      <c r="M208" s="40">
        <f t="shared" si="12"/>
        <v>12</v>
      </c>
      <c r="N208" s="40">
        <f t="shared" si="13"/>
        <v>13</v>
      </c>
      <c r="O208" s="40">
        <f t="shared" si="14"/>
        <v>0</v>
      </c>
      <c r="P208" s="40">
        <f t="shared" si="15"/>
        <v>0</v>
      </c>
    </row>
    <row r="209" spans="1:16" ht="18.75">
      <c r="A209" s="58"/>
      <c r="B209" s="7" t="s">
        <v>38</v>
      </c>
      <c r="C209" s="55">
        <v>45393</v>
      </c>
      <c r="D209" s="23" t="s">
        <v>999</v>
      </c>
      <c r="E209" s="56" t="s">
        <v>771</v>
      </c>
      <c r="F209" s="6" t="s">
        <v>950</v>
      </c>
      <c r="G209" s="8" t="s">
        <v>19</v>
      </c>
      <c r="H209" s="12"/>
      <c r="I209" s="12"/>
      <c r="J209" s="12"/>
      <c r="K209" s="6"/>
      <c r="L209" s="6"/>
      <c r="M209" s="40">
        <f t="shared" si="12"/>
        <v>0</v>
      </c>
      <c r="N209" s="40">
        <f t="shared" si="13"/>
        <v>0</v>
      </c>
      <c r="O209" s="40">
        <f t="shared" si="14"/>
        <v>0</v>
      </c>
      <c r="P209" s="40">
        <f t="shared" si="15"/>
        <v>0</v>
      </c>
    </row>
    <row r="210" spans="1:16" ht="18.75">
      <c r="A210" s="58"/>
      <c r="B210" s="7" t="s">
        <v>38</v>
      </c>
      <c r="C210" s="55">
        <v>45400</v>
      </c>
      <c r="D210" s="23" t="s">
        <v>1000</v>
      </c>
      <c r="E210" s="56" t="s">
        <v>771</v>
      </c>
      <c r="F210" s="6" t="s">
        <v>1001</v>
      </c>
      <c r="G210" s="12" t="s">
        <v>16</v>
      </c>
      <c r="H210" s="12">
        <v>45441</v>
      </c>
      <c r="I210" s="12">
        <v>45449</v>
      </c>
      <c r="J210" s="12">
        <v>45484</v>
      </c>
      <c r="K210" s="6"/>
      <c r="L210" s="6"/>
      <c r="M210" s="40">
        <f t="shared" si="12"/>
        <v>41</v>
      </c>
      <c r="N210" s="40">
        <f t="shared" si="13"/>
        <v>8</v>
      </c>
      <c r="O210" s="40">
        <f t="shared" si="14"/>
        <v>35</v>
      </c>
      <c r="P210" s="40">
        <f t="shared" si="15"/>
        <v>84</v>
      </c>
    </row>
    <row r="211" spans="1:16" ht="18.75">
      <c r="A211" s="58"/>
      <c r="B211" s="7" t="s">
        <v>38</v>
      </c>
      <c r="C211" s="55">
        <v>45400</v>
      </c>
      <c r="D211" s="23" t="s">
        <v>1002</v>
      </c>
      <c r="E211" s="56" t="s">
        <v>757</v>
      </c>
      <c r="F211" s="6" t="s">
        <v>950</v>
      </c>
      <c r="G211" s="8" t="s">
        <v>16</v>
      </c>
      <c r="H211" s="12">
        <v>45513</v>
      </c>
      <c r="I211" s="12"/>
      <c r="J211" s="12"/>
      <c r="K211" s="6" t="s">
        <v>806</v>
      </c>
      <c r="L211" s="6"/>
      <c r="M211" s="40">
        <f t="shared" si="12"/>
        <v>113</v>
      </c>
      <c r="N211" s="40">
        <f t="shared" si="13"/>
        <v>0</v>
      </c>
      <c r="O211" s="40">
        <f t="shared" si="14"/>
        <v>0</v>
      </c>
      <c r="P211" s="40">
        <f t="shared" si="15"/>
        <v>0</v>
      </c>
    </row>
    <row r="212" spans="1:16" ht="18.75">
      <c r="A212" s="58"/>
      <c r="B212" s="7" t="s">
        <v>38</v>
      </c>
      <c r="C212" s="55">
        <v>45400</v>
      </c>
      <c r="D212" s="23" t="s">
        <v>1003</v>
      </c>
      <c r="E212" s="56" t="s">
        <v>771</v>
      </c>
      <c r="F212" s="6" t="s">
        <v>103</v>
      </c>
      <c r="G212" s="12" t="s">
        <v>16</v>
      </c>
      <c r="H212" s="12">
        <v>45406</v>
      </c>
      <c r="I212" s="12">
        <v>45418</v>
      </c>
      <c r="J212" s="12"/>
      <c r="K212" s="6" t="s">
        <v>1004</v>
      </c>
      <c r="L212" s="6"/>
      <c r="M212" s="40">
        <f t="shared" si="12"/>
        <v>6</v>
      </c>
      <c r="N212" s="40">
        <f t="shared" si="13"/>
        <v>12</v>
      </c>
      <c r="O212" s="40">
        <f t="shared" si="14"/>
        <v>0</v>
      </c>
      <c r="P212" s="40">
        <f t="shared" si="15"/>
        <v>0</v>
      </c>
    </row>
    <row r="213" spans="1:16" ht="18.75">
      <c r="A213" s="58"/>
      <c r="B213" s="7" t="s">
        <v>38</v>
      </c>
      <c r="C213" s="55">
        <v>45400</v>
      </c>
      <c r="D213" s="23" t="s">
        <v>1005</v>
      </c>
      <c r="E213" s="56" t="s">
        <v>755</v>
      </c>
      <c r="F213" s="6" t="s">
        <v>103</v>
      </c>
      <c r="G213" s="12" t="s">
        <v>16</v>
      </c>
      <c r="H213" s="12">
        <v>45406</v>
      </c>
      <c r="I213" s="12">
        <v>45418</v>
      </c>
      <c r="J213" s="12"/>
      <c r="K213" s="6" t="s">
        <v>465</v>
      </c>
      <c r="L213" s="6"/>
      <c r="M213" s="40">
        <f t="shared" si="12"/>
        <v>6</v>
      </c>
      <c r="N213" s="40">
        <f t="shared" si="13"/>
        <v>12</v>
      </c>
      <c r="O213" s="40">
        <f t="shared" si="14"/>
        <v>0</v>
      </c>
      <c r="P213" s="40">
        <f t="shared" si="15"/>
        <v>0</v>
      </c>
    </row>
    <row r="214" spans="1:16" ht="18.75">
      <c r="A214" s="58"/>
      <c r="B214" s="7" t="s">
        <v>38</v>
      </c>
      <c r="C214" s="55">
        <v>45407</v>
      </c>
      <c r="D214" s="23" t="s">
        <v>1006</v>
      </c>
      <c r="E214" s="56" t="s">
        <v>757</v>
      </c>
      <c r="F214" s="6" t="s">
        <v>950</v>
      </c>
      <c r="G214" s="8" t="s">
        <v>19</v>
      </c>
      <c r="H214" s="12"/>
      <c r="I214" s="12"/>
      <c r="J214" s="12"/>
      <c r="K214" s="6"/>
      <c r="L214" s="6"/>
      <c r="M214" s="40">
        <f t="shared" si="12"/>
        <v>0</v>
      </c>
      <c r="N214" s="40">
        <f t="shared" si="13"/>
        <v>0</v>
      </c>
      <c r="O214" s="40">
        <f t="shared" si="14"/>
        <v>0</v>
      </c>
      <c r="P214" s="40">
        <f t="shared" si="15"/>
        <v>0</v>
      </c>
    </row>
    <row r="215" spans="1:16" ht="18.75">
      <c r="A215" s="58"/>
      <c r="B215" s="7" t="s">
        <v>47</v>
      </c>
      <c r="C215" s="55">
        <v>45414</v>
      </c>
      <c r="D215" s="23" t="s">
        <v>1007</v>
      </c>
      <c r="E215" s="56" t="s">
        <v>757</v>
      </c>
      <c r="F215" s="6" t="s">
        <v>1008</v>
      </c>
      <c r="G215" s="8" t="s">
        <v>19</v>
      </c>
      <c r="H215" s="12"/>
      <c r="I215" s="12"/>
      <c r="J215" s="12"/>
      <c r="K215" s="6"/>
      <c r="L215" s="6"/>
      <c r="M215" s="40">
        <f t="shared" si="12"/>
        <v>0</v>
      </c>
      <c r="N215" s="40">
        <f t="shared" si="13"/>
        <v>0</v>
      </c>
      <c r="O215" s="40">
        <f t="shared" si="14"/>
        <v>0</v>
      </c>
      <c r="P215" s="40">
        <f t="shared" si="15"/>
        <v>0</v>
      </c>
    </row>
    <row r="216" spans="1:16" ht="18.75">
      <c r="A216" s="58"/>
      <c r="B216" s="7" t="s">
        <v>47</v>
      </c>
      <c r="C216" s="55">
        <v>45421</v>
      </c>
      <c r="D216" s="23" t="s">
        <v>1009</v>
      </c>
      <c r="E216" s="56" t="s">
        <v>763</v>
      </c>
      <c r="F216" s="6" t="s">
        <v>950</v>
      </c>
      <c r="G216" s="8" t="s">
        <v>19</v>
      </c>
      <c r="H216" s="12"/>
      <c r="I216" s="12"/>
      <c r="J216" s="12"/>
      <c r="K216" s="6"/>
      <c r="L216" s="6"/>
      <c r="M216" s="40">
        <f t="shared" si="12"/>
        <v>0</v>
      </c>
      <c r="N216" s="40">
        <f t="shared" si="13"/>
        <v>0</v>
      </c>
      <c r="O216" s="40">
        <f t="shared" si="14"/>
        <v>0</v>
      </c>
      <c r="P216" s="40">
        <f t="shared" si="15"/>
        <v>0</v>
      </c>
    </row>
    <row r="217" spans="1:16" ht="18.75">
      <c r="A217" s="58"/>
      <c r="B217" s="7" t="s">
        <v>47</v>
      </c>
      <c r="C217" s="55">
        <v>45421</v>
      </c>
      <c r="D217" s="23" t="s">
        <v>1010</v>
      </c>
      <c r="E217" s="56" t="s">
        <v>760</v>
      </c>
      <c r="F217" s="6" t="s">
        <v>950</v>
      </c>
      <c r="G217" s="8" t="s">
        <v>19</v>
      </c>
      <c r="H217" s="12"/>
      <c r="I217" s="12"/>
      <c r="J217" s="12"/>
      <c r="K217" s="6"/>
      <c r="L217" s="6"/>
      <c r="M217" s="40">
        <f t="shared" si="12"/>
        <v>0</v>
      </c>
      <c r="N217" s="40">
        <f t="shared" si="13"/>
        <v>0</v>
      </c>
      <c r="O217" s="40">
        <f t="shared" si="14"/>
        <v>0</v>
      </c>
      <c r="P217" s="40">
        <f t="shared" si="15"/>
        <v>0</v>
      </c>
    </row>
    <row r="218" spans="1:16" ht="18.75">
      <c r="A218" s="58"/>
      <c r="B218" s="7" t="s">
        <v>47</v>
      </c>
      <c r="C218" s="55">
        <v>45421</v>
      </c>
      <c r="D218" s="23" t="s">
        <v>1011</v>
      </c>
      <c r="E218" s="56" t="s">
        <v>753</v>
      </c>
      <c r="F218" s="6" t="s">
        <v>103</v>
      </c>
      <c r="G218" s="8" t="s">
        <v>19</v>
      </c>
      <c r="H218" s="12"/>
      <c r="I218" s="12"/>
      <c r="J218" s="12"/>
      <c r="K218" s="6"/>
      <c r="L218" s="6"/>
      <c r="M218" s="40">
        <f t="shared" si="12"/>
        <v>0</v>
      </c>
      <c r="N218" s="40">
        <f t="shared" si="13"/>
        <v>0</v>
      </c>
      <c r="O218" s="40">
        <f t="shared" si="14"/>
        <v>0</v>
      </c>
      <c r="P218" s="40">
        <f t="shared" si="15"/>
        <v>0</v>
      </c>
    </row>
    <row r="219" spans="1:16" ht="18.75">
      <c r="A219" s="58"/>
      <c r="B219" s="7" t="s">
        <v>47</v>
      </c>
      <c r="C219" s="55">
        <v>45428</v>
      </c>
      <c r="D219" s="23" t="s">
        <v>1012</v>
      </c>
      <c r="E219" s="56" t="s">
        <v>771</v>
      </c>
      <c r="F219" s="6" t="s">
        <v>1013</v>
      </c>
      <c r="G219" s="8" t="s">
        <v>16</v>
      </c>
      <c r="H219" s="12">
        <v>45429</v>
      </c>
      <c r="I219" s="12"/>
      <c r="J219" s="59"/>
      <c r="K219" s="60" t="s">
        <v>1014</v>
      </c>
      <c r="L219" s="6"/>
      <c r="M219" s="40">
        <f t="shared" si="12"/>
        <v>1</v>
      </c>
      <c r="N219" s="40">
        <f t="shared" si="13"/>
        <v>0</v>
      </c>
      <c r="O219" s="40">
        <f t="shared" si="14"/>
        <v>0</v>
      </c>
      <c r="P219" s="40">
        <f t="shared" si="15"/>
        <v>0</v>
      </c>
    </row>
    <row r="220" spans="1:16" ht="18.75">
      <c r="A220" s="58"/>
      <c r="B220" s="7" t="s">
        <v>47</v>
      </c>
      <c r="C220" s="55">
        <v>45429</v>
      </c>
      <c r="D220" s="23" t="s">
        <v>1015</v>
      </c>
      <c r="E220" s="56" t="s">
        <v>760</v>
      </c>
      <c r="F220" s="6" t="s">
        <v>1016</v>
      </c>
      <c r="G220" s="8" t="s">
        <v>19</v>
      </c>
      <c r="H220" s="12"/>
      <c r="I220" s="12"/>
      <c r="J220" s="59"/>
      <c r="K220" s="60"/>
      <c r="L220" s="6"/>
      <c r="M220" s="40">
        <f t="shared" si="12"/>
        <v>0</v>
      </c>
      <c r="N220" s="40">
        <f t="shared" si="13"/>
        <v>0</v>
      </c>
      <c r="O220" s="40">
        <f t="shared" si="14"/>
        <v>0</v>
      </c>
      <c r="P220" s="40">
        <f t="shared" si="15"/>
        <v>0</v>
      </c>
    </row>
    <row r="221" spans="1:16" ht="18.75">
      <c r="A221" s="58"/>
      <c r="B221" s="7" t="s">
        <v>47</v>
      </c>
      <c r="C221" s="55">
        <v>45435</v>
      </c>
      <c r="D221" s="23" t="s">
        <v>1017</v>
      </c>
      <c r="E221" s="56" t="s">
        <v>753</v>
      </c>
      <c r="F221" s="6" t="s">
        <v>950</v>
      </c>
      <c r="G221" s="12" t="s">
        <v>16</v>
      </c>
      <c r="H221" s="12">
        <v>45439</v>
      </c>
      <c r="I221" s="12"/>
      <c r="J221" s="59"/>
      <c r="K221" s="60" t="s">
        <v>1018</v>
      </c>
      <c r="L221" s="6"/>
      <c r="M221" s="40">
        <f t="shared" si="12"/>
        <v>4</v>
      </c>
      <c r="N221" s="40">
        <f t="shared" si="13"/>
        <v>0</v>
      </c>
      <c r="O221" s="40">
        <f t="shared" si="14"/>
        <v>0</v>
      </c>
      <c r="P221" s="40">
        <f t="shared" si="15"/>
        <v>0</v>
      </c>
    </row>
    <row r="222" spans="1:16" ht="18.75">
      <c r="A222" s="58"/>
      <c r="B222" s="7" t="s">
        <v>47</v>
      </c>
      <c r="C222" s="55">
        <v>45442</v>
      </c>
      <c r="D222" s="23" t="s">
        <v>1019</v>
      </c>
      <c r="E222" s="56" t="s">
        <v>753</v>
      </c>
      <c r="F222" s="6" t="s">
        <v>1020</v>
      </c>
      <c r="G222" s="12" t="s">
        <v>16</v>
      </c>
      <c r="H222" s="12">
        <v>45458</v>
      </c>
      <c r="I222" s="12">
        <v>45481</v>
      </c>
      <c r="J222" s="12"/>
      <c r="K222" s="6" t="s">
        <v>1021</v>
      </c>
      <c r="L222" s="6"/>
      <c r="M222" s="40">
        <f t="shared" si="12"/>
        <v>16</v>
      </c>
      <c r="N222" s="40">
        <f t="shared" si="13"/>
        <v>23</v>
      </c>
      <c r="O222" s="40">
        <f t="shared" si="14"/>
        <v>0</v>
      </c>
      <c r="P222" s="40">
        <f t="shared" si="15"/>
        <v>0</v>
      </c>
    </row>
    <row r="223" spans="1:16" ht="18.75">
      <c r="A223" s="58"/>
      <c r="B223" s="7" t="s">
        <v>47</v>
      </c>
      <c r="C223" s="55">
        <v>45442</v>
      </c>
      <c r="D223" s="23" t="s">
        <v>1022</v>
      </c>
      <c r="E223" s="56" t="s">
        <v>763</v>
      </c>
      <c r="F223" s="6" t="s">
        <v>950</v>
      </c>
      <c r="G223" s="8" t="s">
        <v>19</v>
      </c>
      <c r="H223" s="12"/>
      <c r="I223" s="12"/>
      <c r="J223" s="59"/>
      <c r="K223" s="60"/>
      <c r="L223" s="6"/>
      <c r="M223" s="40">
        <f t="shared" si="12"/>
        <v>0</v>
      </c>
      <c r="N223" s="40">
        <f t="shared" si="13"/>
        <v>0</v>
      </c>
      <c r="O223" s="40">
        <f t="shared" si="14"/>
        <v>0</v>
      </c>
      <c r="P223" s="40">
        <f t="shared" si="15"/>
        <v>0</v>
      </c>
    </row>
    <row r="224" spans="1:16" ht="18.75">
      <c r="A224" s="58"/>
      <c r="B224" s="7" t="s">
        <v>57</v>
      </c>
      <c r="C224" s="55">
        <v>45449</v>
      </c>
      <c r="D224" s="23" t="s">
        <v>1023</v>
      </c>
      <c r="E224" s="56" t="s">
        <v>763</v>
      </c>
      <c r="F224" s="6" t="s">
        <v>1024</v>
      </c>
      <c r="G224" s="8" t="s">
        <v>19</v>
      </c>
      <c r="H224" s="12"/>
      <c r="I224" s="12"/>
      <c r="J224" s="12"/>
      <c r="K224" s="6"/>
      <c r="L224" s="6"/>
      <c r="M224" s="40">
        <f t="shared" si="12"/>
        <v>0</v>
      </c>
      <c r="N224" s="40">
        <f t="shared" si="13"/>
        <v>0</v>
      </c>
      <c r="O224" s="40">
        <f t="shared" si="14"/>
        <v>0</v>
      </c>
      <c r="P224" s="40">
        <f t="shared" si="15"/>
        <v>0</v>
      </c>
    </row>
    <row r="225" spans="1:16" ht="18.75">
      <c r="A225" s="58"/>
      <c r="B225" s="7" t="s">
        <v>57</v>
      </c>
      <c r="C225" s="55">
        <v>45456</v>
      </c>
      <c r="D225" s="23" t="s">
        <v>1025</v>
      </c>
      <c r="E225" s="56" t="s">
        <v>763</v>
      </c>
      <c r="F225" s="6" t="s">
        <v>1026</v>
      </c>
      <c r="G225" s="8" t="s">
        <v>19</v>
      </c>
      <c r="H225" s="12"/>
      <c r="I225" s="12"/>
      <c r="J225" s="12"/>
      <c r="K225" s="6"/>
      <c r="L225" s="6"/>
      <c r="M225" s="40">
        <f t="shared" si="12"/>
        <v>0</v>
      </c>
      <c r="N225" s="40">
        <f t="shared" si="13"/>
        <v>0</v>
      </c>
      <c r="O225" s="40">
        <f t="shared" si="14"/>
        <v>0</v>
      </c>
      <c r="P225" s="40">
        <f t="shared" si="15"/>
        <v>0</v>
      </c>
    </row>
    <row r="226" spans="1:16" ht="18.75">
      <c r="A226" s="58"/>
      <c r="B226" s="7" t="s">
        <v>57</v>
      </c>
      <c r="C226" s="55">
        <v>45456</v>
      </c>
      <c r="D226" s="23" t="s">
        <v>1027</v>
      </c>
      <c r="E226" s="56" t="s">
        <v>753</v>
      </c>
      <c r="F226" s="6" t="s">
        <v>1028</v>
      </c>
      <c r="G226" s="8" t="s">
        <v>19</v>
      </c>
      <c r="H226" s="12"/>
      <c r="I226" s="12"/>
      <c r="J226" s="12"/>
      <c r="K226" s="6"/>
      <c r="L226" s="6"/>
      <c r="M226" s="40">
        <f t="shared" si="12"/>
        <v>0</v>
      </c>
      <c r="N226" s="40">
        <f t="shared" si="13"/>
        <v>0</v>
      </c>
      <c r="O226" s="40">
        <f t="shared" si="14"/>
        <v>0</v>
      </c>
      <c r="P226" s="40">
        <f t="shared" si="15"/>
        <v>0</v>
      </c>
    </row>
    <row r="227" spans="1:16" ht="18.75">
      <c r="A227" s="58"/>
      <c r="B227" s="7" t="s">
        <v>57</v>
      </c>
      <c r="C227" s="55">
        <v>45456</v>
      </c>
      <c r="D227" s="23" t="s">
        <v>1029</v>
      </c>
      <c r="E227" s="56" t="s">
        <v>763</v>
      </c>
      <c r="F227" s="6" t="s">
        <v>1030</v>
      </c>
      <c r="G227" s="8" t="s">
        <v>19</v>
      </c>
      <c r="H227" s="12"/>
      <c r="I227" s="12"/>
      <c r="J227" s="12"/>
      <c r="K227" s="6"/>
      <c r="L227" s="6"/>
      <c r="M227" s="40">
        <f t="shared" si="12"/>
        <v>0</v>
      </c>
      <c r="N227" s="40">
        <f t="shared" si="13"/>
        <v>0</v>
      </c>
      <c r="O227" s="40">
        <f t="shared" si="14"/>
        <v>0</v>
      </c>
      <c r="P227" s="40">
        <f t="shared" si="15"/>
        <v>0</v>
      </c>
    </row>
    <row r="228" spans="1:16" ht="18.75">
      <c r="A228" s="58"/>
      <c r="B228" s="7" t="s">
        <v>57</v>
      </c>
      <c r="C228" s="55">
        <v>45456</v>
      </c>
      <c r="D228" s="23" t="s">
        <v>1031</v>
      </c>
      <c r="E228" s="56" t="s">
        <v>757</v>
      </c>
      <c r="F228" s="6" t="s">
        <v>1032</v>
      </c>
      <c r="G228" s="8" t="s">
        <v>19</v>
      </c>
      <c r="H228" s="12"/>
      <c r="I228" s="12"/>
      <c r="J228" s="12"/>
      <c r="K228" s="6"/>
      <c r="L228" s="6"/>
      <c r="M228" s="40">
        <f t="shared" si="12"/>
        <v>0</v>
      </c>
      <c r="N228" s="40">
        <f t="shared" si="13"/>
        <v>0</v>
      </c>
      <c r="O228" s="40">
        <f t="shared" si="14"/>
        <v>0</v>
      </c>
      <c r="P228" s="40">
        <f t="shared" si="15"/>
        <v>0</v>
      </c>
    </row>
    <row r="229" spans="1:16" ht="18.75">
      <c r="A229" s="58"/>
      <c r="B229" s="27" t="s">
        <v>57</v>
      </c>
      <c r="C229" s="55">
        <v>45456</v>
      </c>
      <c r="D229" s="28" t="s">
        <v>1033</v>
      </c>
      <c r="E229" s="61" t="s">
        <v>753</v>
      </c>
      <c r="F229" s="29" t="s">
        <v>1034</v>
      </c>
      <c r="G229" s="62" t="s">
        <v>16</v>
      </c>
      <c r="H229" s="62">
        <v>45482</v>
      </c>
      <c r="I229" s="62"/>
      <c r="J229" s="62"/>
      <c r="K229" s="29" t="s">
        <v>1035</v>
      </c>
      <c r="L229" s="29"/>
      <c r="M229" s="40">
        <f t="shared" si="12"/>
        <v>26</v>
      </c>
      <c r="N229" s="40">
        <f t="shared" si="13"/>
        <v>0</v>
      </c>
      <c r="O229" s="40">
        <f t="shared" si="14"/>
        <v>0</v>
      </c>
      <c r="P229" s="40">
        <f t="shared" si="15"/>
        <v>0</v>
      </c>
    </row>
    <row r="230" spans="1:16" ht="18.75">
      <c r="A230" s="58"/>
      <c r="B230" s="7" t="s">
        <v>57</v>
      </c>
      <c r="C230" s="55">
        <v>45456</v>
      </c>
      <c r="D230" s="23" t="s">
        <v>1036</v>
      </c>
      <c r="E230" s="56" t="s">
        <v>753</v>
      </c>
      <c r="F230" s="6" t="s">
        <v>222</v>
      </c>
      <c r="G230" s="8" t="s">
        <v>19</v>
      </c>
      <c r="H230" s="12"/>
      <c r="I230" s="12"/>
      <c r="J230" s="12"/>
      <c r="K230" s="6"/>
      <c r="L230" s="6"/>
      <c r="M230" s="40">
        <f t="shared" si="12"/>
        <v>0</v>
      </c>
      <c r="N230" s="40">
        <f t="shared" si="13"/>
        <v>0</v>
      </c>
      <c r="O230" s="40">
        <f t="shared" si="14"/>
        <v>0</v>
      </c>
      <c r="P230" s="40">
        <f t="shared" si="15"/>
        <v>0</v>
      </c>
    </row>
    <row r="231" spans="1:16" ht="18.75">
      <c r="A231" s="58"/>
      <c r="B231" s="7" t="s">
        <v>57</v>
      </c>
      <c r="C231" s="55">
        <v>45457</v>
      </c>
      <c r="D231" s="26" t="s">
        <v>1037</v>
      </c>
      <c r="E231" s="63" t="s">
        <v>760</v>
      </c>
      <c r="F231" s="57" t="s">
        <v>103</v>
      </c>
      <c r="G231" s="8" t="s">
        <v>16</v>
      </c>
      <c r="H231" s="12">
        <v>45755</v>
      </c>
      <c r="I231" s="12">
        <v>45817</v>
      </c>
      <c r="J231" s="12">
        <v>45853</v>
      </c>
      <c r="K231" s="6"/>
      <c r="L231" s="6"/>
      <c r="M231" s="40">
        <f t="shared" si="12"/>
        <v>298</v>
      </c>
      <c r="N231" s="40">
        <f t="shared" si="13"/>
        <v>62</v>
      </c>
      <c r="O231" s="40">
        <f t="shared" si="14"/>
        <v>36</v>
      </c>
      <c r="P231" s="40">
        <f t="shared" si="15"/>
        <v>396</v>
      </c>
    </row>
    <row r="232" spans="1:16" ht="18.75">
      <c r="A232" s="58"/>
      <c r="B232" s="7" t="s">
        <v>62</v>
      </c>
      <c r="C232" s="55">
        <v>45484</v>
      </c>
      <c r="D232" s="26" t="s">
        <v>1038</v>
      </c>
      <c r="E232" s="63" t="s">
        <v>760</v>
      </c>
      <c r="F232" s="6" t="s">
        <v>109</v>
      </c>
      <c r="G232" s="8" t="s">
        <v>19</v>
      </c>
      <c r="H232" s="20"/>
      <c r="I232" s="20"/>
      <c r="J232" s="20"/>
      <c r="K232" s="6"/>
      <c r="L232" s="6"/>
      <c r="M232" s="40">
        <f t="shared" si="12"/>
        <v>0</v>
      </c>
      <c r="N232" s="40">
        <f t="shared" si="13"/>
        <v>0</v>
      </c>
      <c r="O232" s="40">
        <f t="shared" si="14"/>
        <v>0</v>
      </c>
      <c r="P232" s="40">
        <f t="shared" si="15"/>
        <v>0</v>
      </c>
    </row>
    <row r="233" spans="1:16" ht="18.75">
      <c r="A233" s="58"/>
      <c r="B233" s="7" t="s">
        <v>62</v>
      </c>
      <c r="C233" s="55">
        <v>45484</v>
      </c>
      <c r="D233" s="26" t="s">
        <v>1039</v>
      </c>
      <c r="E233" s="63" t="s">
        <v>760</v>
      </c>
      <c r="F233" s="6" t="s">
        <v>103</v>
      </c>
      <c r="G233" s="8" t="s">
        <v>19</v>
      </c>
      <c r="H233" s="20"/>
      <c r="I233" s="20"/>
      <c r="J233" s="20"/>
      <c r="K233" s="6"/>
      <c r="L233" s="6"/>
      <c r="M233" s="40">
        <f t="shared" si="12"/>
        <v>0</v>
      </c>
      <c r="N233" s="40">
        <f t="shared" si="13"/>
        <v>0</v>
      </c>
      <c r="O233" s="40">
        <f t="shared" si="14"/>
        <v>0</v>
      </c>
      <c r="P233" s="40">
        <f t="shared" si="15"/>
        <v>0</v>
      </c>
    </row>
    <row r="234" spans="1:16" ht="18.75">
      <c r="A234" s="58"/>
      <c r="B234" s="7" t="s">
        <v>62</v>
      </c>
      <c r="C234" s="55">
        <v>45491</v>
      </c>
      <c r="D234" s="26" t="s">
        <v>1040</v>
      </c>
      <c r="E234" s="63" t="s">
        <v>757</v>
      </c>
      <c r="F234" s="6" t="s">
        <v>109</v>
      </c>
      <c r="G234" s="8" t="s">
        <v>16</v>
      </c>
      <c r="H234" s="12">
        <v>45517</v>
      </c>
      <c r="J234" s="20"/>
      <c r="K234" s="93" t="s">
        <v>1041</v>
      </c>
      <c r="L234" s="6"/>
      <c r="M234" s="40">
        <f t="shared" ref="M234:M297" si="16">IF(H234&gt;0,H234-C234,0)</f>
        <v>26</v>
      </c>
      <c r="N234" s="40">
        <f t="shared" ref="N234:N297" si="17">IF(I234&gt;0,I234-H234,0)</f>
        <v>0</v>
      </c>
      <c r="O234" s="40">
        <f t="shared" ref="O234:O297" si="18">IF(J234&gt;0,J234-I234,0)</f>
        <v>0</v>
      </c>
      <c r="P234" s="40">
        <f t="shared" ref="P234:P297" si="19">IF(J234&gt;0,J234-C234,0)</f>
        <v>0</v>
      </c>
    </row>
    <row r="235" spans="1:16" ht="18.75">
      <c r="A235" s="58"/>
      <c r="B235" s="7" t="s">
        <v>62</v>
      </c>
      <c r="C235" s="55">
        <v>45491</v>
      </c>
      <c r="D235" s="26" t="s">
        <v>1042</v>
      </c>
      <c r="E235" s="63" t="s">
        <v>753</v>
      </c>
      <c r="F235" s="6" t="s">
        <v>103</v>
      </c>
      <c r="G235" s="8" t="s">
        <v>19</v>
      </c>
      <c r="H235" s="20"/>
      <c r="I235" s="20"/>
      <c r="J235" s="20"/>
      <c r="K235" s="6"/>
      <c r="L235" s="6"/>
      <c r="M235" s="40">
        <f t="shared" si="16"/>
        <v>0</v>
      </c>
      <c r="N235" s="40">
        <f t="shared" si="17"/>
        <v>0</v>
      </c>
      <c r="O235" s="40">
        <f t="shared" si="18"/>
        <v>0</v>
      </c>
      <c r="P235" s="40">
        <f t="shared" si="19"/>
        <v>0</v>
      </c>
    </row>
    <row r="236" spans="1:16" ht="18.75">
      <c r="A236" s="58"/>
      <c r="B236" s="7" t="s">
        <v>62</v>
      </c>
      <c r="C236" s="55">
        <v>45491</v>
      </c>
      <c r="D236" s="26" t="s">
        <v>1043</v>
      </c>
      <c r="E236" s="63" t="s">
        <v>757</v>
      </c>
      <c r="F236" s="6" t="s">
        <v>109</v>
      </c>
      <c r="G236" s="8" t="s">
        <v>19</v>
      </c>
      <c r="H236" s="20"/>
      <c r="I236" s="20"/>
      <c r="J236" s="20"/>
      <c r="K236" s="6"/>
      <c r="L236" s="6"/>
      <c r="M236" s="40">
        <f t="shared" si="16"/>
        <v>0</v>
      </c>
      <c r="N236" s="40">
        <f t="shared" si="17"/>
        <v>0</v>
      </c>
      <c r="O236" s="40">
        <f t="shared" si="18"/>
        <v>0</v>
      </c>
      <c r="P236" s="40">
        <f t="shared" si="19"/>
        <v>0</v>
      </c>
    </row>
    <row r="237" spans="1:16" ht="18.75">
      <c r="A237" s="58"/>
      <c r="B237" s="7" t="s">
        <v>62</v>
      </c>
      <c r="C237" s="55">
        <v>45491</v>
      </c>
      <c r="D237" s="26" t="s">
        <v>1044</v>
      </c>
      <c r="E237" s="63" t="s">
        <v>771</v>
      </c>
      <c r="F237" s="6" t="s">
        <v>103</v>
      </c>
      <c r="G237" s="8" t="s">
        <v>19</v>
      </c>
      <c r="H237" s="20"/>
      <c r="I237" s="20"/>
      <c r="J237" s="20"/>
      <c r="K237" s="6"/>
      <c r="L237" s="6"/>
      <c r="M237" s="40">
        <f t="shared" si="16"/>
        <v>0</v>
      </c>
      <c r="N237" s="40">
        <f t="shared" si="17"/>
        <v>0</v>
      </c>
      <c r="O237" s="40">
        <f t="shared" si="18"/>
        <v>0</v>
      </c>
      <c r="P237" s="40">
        <f t="shared" si="19"/>
        <v>0</v>
      </c>
    </row>
    <row r="238" spans="1:16" ht="18.75">
      <c r="A238" s="58"/>
      <c r="B238" s="7" t="s">
        <v>62</v>
      </c>
      <c r="C238" s="55">
        <v>45491</v>
      </c>
      <c r="D238" s="26" t="s">
        <v>1045</v>
      </c>
      <c r="E238" s="63" t="s">
        <v>753</v>
      </c>
      <c r="F238" s="6" t="s">
        <v>103</v>
      </c>
      <c r="G238" s="8" t="s">
        <v>19</v>
      </c>
      <c r="H238" s="20"/>
      <c r="I238" s="20"/>
      <c r="J238" s="20"/>
      <c r="K238" s="6"/>
      <c r="L238" s="6"/>
      <c r="M238" s="40">
        <f t="shared" si="16"/>
        <v>0</v>
      </c>
      <c r="N238" s="40">
        <f t="shared" si="17"/>
        <v>0</v>
      </c>
      <c r="O238" s="40">
        <f t="shared" si="18"/>
        <v>0</v>
      </c>
      <c r="P238" s="40">
        <f t="shared" si="19"/>
        <v>0</v>
      </c>
    </row>
    <row r="239" spans="1:16" ht="18.75">
      <c r="A239" s="58"/>
      <c r="B239" s="7" t="s">
        <v>62</v>
      </c>
      <c r="C239" s="55">
        <v>45498</v>
      </c>
      <c r="D239" s="26" t="s">
        <v>1046</v>
      </c>
      <c r="E239" s="63" t="s">
        <v>763</v>
      </c>
      <c r="F239" s="6" t="s">
        <v>1047</v>
      </c>
      <c r="G239" s="8" t="s">
        <v>16</v>
      </c>
      <c r="H239" s="12">
        <v>45502</v>
      </c>
      <c r="I239" s="20"/>
      <c r="J239" s="20"/>
      <c r="K239" s="6" t="s">
        <v>1041</v>
      </c>
      <c r="L239" s="6"/>
      <c r="M239" s="40">
        <f t="shared" si="16"/>
        <v>4</v>
      </c>
      <c r="N239" s="40">
        <f t="shared" si="17"/>
        <v>0</v>
      </c>
      <c r="O239" s="40">
        <f t="shared" si="18"/>
        <v>0</v>
      </c>
      <c r="P239" s="40">
        <f t="shared" si="19"/>
        <v>0</v>
      </c>
    </row>
    <row r="240" spans="1:16" ht="18.75">
      <c r="A240" s="58"/>
      <c r="B240" s="7" t="s">
        <v>62</v>
      </c>
      <c r="C240" s="55">
        <v>45498</v>
      </c>
      <c r="D240" s="26" t="s">
        <v>1048</v>
      </c>
      <c r="E240" s="63" t="s">
        <v>753</v>
      </c>
      <c r="F240" s="6" t="s">
        <v>1049</v>
      </c>
      <c r="G240" s="8" t="s">
        <v>16</v>
      </c>
      <c r="H240" s="20">
        <v>45498</v>
      </c>
      <c r="I240" s="12">
        <v>45503</v>
      </c>
      <c r="J240" s="20"/>
      <c r="K240" s="6" t="s">
        <v>345</v>
      </c>
      <c r="L240" s="6"/>
      <c r="M240" s="40">
        <f t="shared" si="16"/>
        <v>0</v>
      </c>
      <c r="N240" s="40">
        <f t="shared" si="17"/>
        <v>5</v>
      </c>
      <c r="O240" s="40">
        <f t="shared" si="18"/>
        <v>0</v>
      </c>
      <c r="P240" s="40">
        <f t="shared" si="19"/>
        <v>0</v>
      </c>
    </row>
    <row r="241" spans="1:16" ht="18.75">
      <c r="A241" s="58"/>
      <c r="B241" s="7" t="s">
        <v>62</v>
      </c>
      <c r="C241" s="55">
        <v>45498</v>
      </c>
      <c r="D241" s="26" t="s">
        <v>1050</v>
      </c>
      <c r="E241" s="63" t="s">
        <v>771</v>
      </c>
      <c r="F241" s="6" t="s">
        <v>109</v>
      </c>
      <c r="G241" s="8" t="s">
        <v>16</v>
      </c>
      <c r="H241" s="12">
        <v>45510</v>
      </c>
      <c r="I241" s="20"/>
      <c r="J241" s="20"/>
      <c r="K241" s="6" t="s">
        <v>1051</v>
      </c>
      <c r="L241" s="6"/>
      <c r="M241" s="40">
        <f t="shared" si="16"/>
        <v>12</v>
      </c>
      <c r="N241" s="40">
        <f t="shared" si="17"/>
        <v>0</v>
      </c>
      <c r="O241" s="40">
        <f t="shared" si="18"/>
        <v>0</v>
      </c>
      <c r="P241" s="40">
        <f t="shared" si="19"/>
        <v>0</v>
      </c>
    </row>
    <row r="242" spans="1:16" ht="18.75">
      <c r="A242" s="58"/>
      <c r="B242" s="7" t="s">
        <v>68</v>
      </c>
      <c r="C242" s="55">
        <v>45505</v>
      </c>
      <c r="D242" s="26" t="s">
        <v>1052</v>
      </c>
      <c r="E242" s="63" t="s">
        <v>753</v>
      </c>
      <c r="F242" s="6" t="s">
        <v>950</v>
      </c>
      <c r="G242" s="8" t="s">
        <v>19</v>
      </c>
      <c r="H242" s="20"/>
      <c r="I242" s="20"/>
      <c r="J242" s="20"/>
      <c r="K242" s="6"/>
      <c r="L242" s="6"/>
      <c r="M242" s="40">
        <f t="shared" si="16"/>
        <v>0</v>
      </c>
      <c r="N242" s="40">
        <f t="shared" si="17"/>
        <v>0</v>
      </c>
      <c r="O242" s="40">
        <f t="shared" si="18"/>
        <v>0</v>
      </c>
      <c r="P242" s="40">
        <f t="shared" si="19"/>
        <v>0</v>
      </c>
    </row>
    <row r="243" spans="1:16" ht="18.75">
      <c r="A243" s="58"/>
      <c r="B243" s="7" t="s">
        <v>68</v>
      </c>
      <c r="C243" s="55">
        <v>45505</v>
      </c>
      <c r="D243" s="26" t="s">
        <v>1053</v>
      </c>
      <c r="E243" s="63" t="s">
        <v>771</v>
      </c>
      <c r="F243" s="6" t="s">
        <v>1054</v>
      </c>
      <c r="G243" s="8" t="s">
        <v>16</v>
      </c>
      <c r="H243" s="12">
        <v>45509</v>
      </c>
      <c r="I243" s="20"/>
      <c r="J243" s="20"/>
      <c r="K243" s="6" t="s">
        <v>1041</v>
      </c>
      <c r="L243" s="6"/>
      <c r="M243" s="40">
        <f t="shared" si="16"/>
        <v>4</v>
      </c>
      <c r="N243" s="40">
        <f t="shared" si="17"/>
        <v>0</v>
      </c>
      <c r="O243" s="40">
        <f t="shared" si="18"/>
        <v>0</v>
      </c>
      <c r="P243" s="40">
        <f t="shared" si="19"/>
        <v>0</v>
      </c>
    </row>
    <row r="244" spans="1:16" ht="18.75">
      <c r="A244" s="58"/>
      <c r="B244" s="7" t="s">
        <v>68</v>
      </c>
      <c r="C244" s="55">
        <v>45505</v>
      </c>
      <c r="D244" s="26" t="s">
        <v>1055</v>
      </c>
      <c r="E244" s="63" t="s">
        <v>757</v>
      </c>
      <c r="F244" s="6" t="s">
        <v>950</v>
      </c>
      <c r="G244" s="8" t="s">
        <v>16</v>
      </c>
      <c r="H244" s="12">
        <v>45509</v>
      </c>
      <c r="I244" s="12">
        <v>45517</v>
      </c>
      <c r="J244" s="20">
        <v>45552</v>
      </c>
      <c r="K244" s="6"/>
      <c r="L244" s="6"/>
      <c r="M244" s="40">
        <f t="shared" si="16"/>
        <v>4</v>
      </c>
      <c r="N244" s="40">
        <f t="shared" si="17"/>
        <v>8</v>
      </c>
      <c r="O244" s="40">
        <f t="shared" si="18"/>
        <v>35</v>
      </c>
      <c r="P244" s="40">
        <f t="shared" si="19"/>
        <v>47</v>
      </c>
    </row>
    <row r="245" spans="1:16" ht="18.75">
      <c r="A245" s="58"/>
      <c r="B245" s="7" t="s">
        <v>68</v>
      </c>
      <c r="C245" s="55">
        <v>45505</v>
      </c>
      <c r="D245" s="26" t="s">
        <v>1056</v>
      </c>
      <c r="E245" s="63" t="s">
        <v>753</v>
      </c>
      <c r="F245" s="6" t="s">
        <v>109</v>
      </c>
      <c r="G245" s="8" t="s">
        <v>16</v>
      </c>
      <c r="H245" s="12">
        <v>45509</v>
      </c>
      <c r="I245" s="12">
        <v>45516</v>
      </c>
      <c r="J245" s="20"/>
      <c r="K245" s="6" t="s">
        <v>51</v>
      </c>
      <c r="L245" s="6"/>
      <c r="M245" s="40">
        <f t="shared" si="16"/>
        <v>4</v>
      </c>
      <c r="N245" s="40">
        <f t="shared" si="17"/>
        <v>7</v>
      </c>
      <c r="O245" s="40">
        <f t="shared" si="18"/>
        <v>0</v>
      </c>
      <c r="P245" s="40">
        <f t="shared" si="19"/>
        <v>0</v>
      </c>
    </row>
    <row r="246" spans="1:16" ht="18.75">
      <c r="B246" s="7" t="s">
        <v>68</v>
      </c>
      <c r="C246" s="55">
        <v>45512</v>
      </c>
      <c r="D246" s="26" t="s">
        <v>1057</v>
      </c>
      <c r="E246" s="63" t="s">
        <v>760</v>
      </c>
      <c r="F246" s="6" t="s">
        <v>1058</v>
      </c>
      <c r="G246" s="8" t="s">
        <v>19</v>
      </c>
      <c r="H246" s="6"/>
      <c r="I246" s="6"/>
      <c r="J246" s="6"/>
      <c r="K246" s="6"/>
      <c r="L246" s="6"/>
      <c r="M246" s="40">
        <f t="shared" si="16"/>
        <v>0</v>
      </c>
      <c r="N246" s="40">
        <f t="shared" si="17"/>
        <v>0</v>
      </c>
      <c r="O246" s="40">
        <f t="shared" si="18"/>
        <v>0</v>
      </c>
      <c r="P246" s="40">
        <f t="shared" si="19"/>
        <v>0</v>
      </c>
    </row>
    <row r="247" spans="1:16" ht="18.75">
      <c r="B247" s="7" t="s">
        <v>68</v>
      </c>
      <c r="C247" s="55">
        <v>45512</v>
      </c>
      <c r="D247" s="26" t="s">
        <v>1059</v>
      </c>
      <c r="E247" s="63" t="s">
        <v>771</v>
      </c>
      <c r="F247" s="6" t="s">
        <v>109</v>
      </c>
      <c r="G247" s="8" t="s">
        <v>16</v>
      </c>
      <c r="H247" s="20">
        <v>45548</v>
      </c>
      <c r="I247" s="12">
        <v>45558</v>
      </c>
      <c r="J247" s="6"/>
      <c r="K247" s="6" t="s">
        <v>1060</v>
      </c>
      <c r="L247" s="6"/>
      <c r="M247" s="40">
        <f t="shared" si="16"/>
        <v>36</v>
      </c>
      <c r="N247" s="40">
        <f t="shared" si="17"/>
        <v>10</v>
      </c>
      <c r="O247" s="40">
        <f t="shared" si="18"/>
        <v>0</v>
      </c>
      <c r="P247" s="40">
        <f t="shared" si="19"/>
        <v>0</v>
      </c>
    </row>
    <row r="248" spans="1:16" ht="18.75">
      <c r="B248" s="7" t="s">
        <v>68</v>
      </c>
      <c r="C248" s="55">
        <v>45512</v>
      </c>
      <c r="D248" s="26" t="s">
        <v>1061</v>
      </c>
      <c r="E248" s="63" t="s">
        <v>771</v>
      </c>
      <c r="F248" s="6" t="s">
        <v>1062</v>
      </c>
      <c r="G248" s="8" t="s">
        <v>19</v>
      </c>
      <c r="H248" s="6"/>
      <c r="I248" s="6"/>
      <c r="J248" s="6"/>
      <c r="K248" s="6"/>
      <c r="L248" s="6"/>
      <c r="M248" s="40">
        <f t="shared" si="16"/>
        <v>0</v>
      </c>
      <c r="N248" s="40">
        <f t="shared" si="17"/>
        <v>0</v>
      </c>
      <c r="O248" s="40">
        <f t="shared" si="18"/>
        <v>0</v>
      </c>
      <c r="P248" s="40">
        <f t="shared" si="19"/>
        <v>0</v>
      </c>
    </row>
    <row r="249" spans="1:16" ht="18.75">
      <c r="B249" s="7" t="s">
        <v>68</v>
      </c>
      <c r="C249" s="55">
        <v>45512</v>
      </c>
      <c r="D249" s="26" t="s">
        <v>1063</v>
      </c>
      <c r="E249" s="63" t="s">
        <v>763</v>
      </c>
      <c r="F249" s="6" t="s">
        <v>109</v>
      </c>
      <c r="G249" s="8" t="s">
        <v>19</v>
      </c>
      <c r="H249" s="6"/>
      <c r="I249" s="6"/>
      <c r="J249" s="6"/>
      <c r="K249" s="6" t="s">
        <v>1064</v>
      </c>
      <c r="L249" s="6"/>
      <c r="M249" s="40">
        <f t="shared" si="16"/>
        <v>0</v>
      </c>
      <c r="N249" s="40">
        <f t="shared" si="17"/>
        <v>0</v>
      </c>
      <c r="O249" s="40">
        <f t="shared" si="18"/>
        <v>0</v>
      </c>
      <c r="P249" s="40">
        <f t="shared" si="19"/>
        <v>0</v>
      </c>
    </row>
    <row r="250" spans="1:16" ht="18.75">
      <c r="B250" s="7" t="s">
        <v>68</v>
      </c>
      <c r="C250" s="55">
        <v>45519</v>
      </c>
      <c r="D250" s="26" t="s">
        <v>1065</v>
      </c>
      <c r="E250" s="63" t="s">
        <v>760</v>
      </c>
      <c r="F250" s="6" t="s">
        <v>1066</v>
      </c>
      <c r="G250" s="8" t="s">
        <v>16</v>
      </c>
      <c r="H250" s="20">
        <v>45525</v>
      </c>
      <c r="I250" s="12"/>
      <c r="J250" s="6"/>
      <c r="K250" s="6" t="s">
        <v>1067</v>
      </c>
      <c r="L250" s="6"/>
      <c r="M250" s="40">
        <f t="shared" si="16"/>
        <v>6</v>
      </c>
      <c r="N250" s="40">
        <f t="shared" si="17"/>
        <v>0</v>
      </c>
      <c r="O250" s="40">
        <f t="shared" si="18"/>
        <v>0</v>
      </c>
      <c r="P250" s="40">
        <f t="shared" si="19"/>
        <v>0</v>
      </c>
    </row>
    <row r="251" spans="1:16" ht="18.75">
      <c r="B251" s="7" t="s">
        <v>68</v>
      </c>
      <c r="C251" s="55">
        <v>45519</v>
      </c>
      <c r="D251" s="26" t="s">
        <v>1068</v>
      </c>
      <c r="E251" s="63" t="s">
        <v>757</v>
      </c>
      <c r="F251" s="6" t="s">
        <v>950</v>
      </c>
      <c r="G251" s="8" t="s">
        <v>16</v>
      </c>
      <c r="H251" s="20">
        <v>45525</v>
      </c>
      <c r="I251" s="12">
        <v>45673</v>
      </c>
      <c r="J251" s="12">
        <v>45691</v>
      </c>
      <c r="K251" s="6"/>
      <c r="L251" s="6"/>
      <c r="M251" s="40">
        <f t="shared" si="16"/>
        <v>6</v>
      </c>
      <c r="N251" s="40">
        <f t="shared" si="17"/>
        <v>148</v>
      </c>
      <c r="O251" s="40">
        <f t="shared" si="18"/>
        <v>18</v>
      </c>
      <c r="P251" s="40">
        <f t="shared" si="19"/>
        <v>172</v>
      </c>
    </row>
    <row r="252" spans="1:16" ht="18.75">
      <c r="B252" s="7" t="s">
        <v>68</v>
      </c>
      <c r="C252" s="55">
        <v>45519</v>
      </c>
      <c r="D252" s="26" t="s">
        <v>1069</v>
      </c>
      <c r="E252" s="63" t="s">
        <v>763</v>
      </c>
      <c r="F252" s="6" t="s">
        <v>103</v>
      </c>
      <c r="G252" s="8" t="s">
        <v>16</v>
      </c>
      <c r="H252" s="20">
        <v>45525</v>
      </c>
      <c r="I252" s="6"/>
      <c r="J252" s="6"/>
      <c r="K252" s="6" t="s">
        <v>1070</v>
      </c>
      <c r="L252" s="6"/>
      <c r="M252" s="40">
        <f t="shared" si="16"/>
        <v>6</v>
      </c>
      <c r="N252" s="40">
        <f t="shared" si="17"/>
        <v>0</v>
      </c>
      <c r="O252" s="40">
        <f t="shared" si="18"/>
        <v>0</v>
      </c>
      <c r="P252" s="40">
        <f t="shared" si="19"/>
        <v>0</v>
      </c>
    </row>
    <row r="253" spans="1:16" ht="18.75">
      <c r="B253" s="7" t="s">
        <v>68</v>
      </c>
      <c r="C253" s="55">
        <v>45519</v>
      </c>
      <c r="D253" s="26" t="s">
        <v>1071</v>
      </c>
      <c r="E253" s="63" t="s">
        <v>753</v>
      </c>
      <c r="F253" s="6" t="s">
        <v>1072</v>
      </c>
      <c r="G253" s="8" t="s">
        <v>19</v>
      </c>
      <c r="H253" s="6"/>
      <c r="I253" s="6"/>
      <c r="J253" s="6"/>
      <c r="K253" s="6"/>
      <c r="L253" s="6"/>
      <c r="M253" s="40">
        <f t="shared" si="16"/>
        <v>0</v>
      </c>
      <c r="N253" s="40">
        <f t="shared" si="17"/>
        <v>0</v>
      </c>
      <c r="O253" s="40">
        <f t="shared" si="18"/>
        <v>0</v>
      </c>
      <c r="P253" s="40">
        <f t="shared" si="19"/>
        <v>0</v>
      </c>
    </row>
    <row r="254" spans="1:16" ht="18.75">
      <c r="B254" s="7" t="s">
        <v>68</v>
      </c>
      <c r="C254" s="55">
        <v>45526</v>
      </c>
      <c r="D254" s="26" t="s">
        <v>1073</v>
      </c>
      <c r="E254" s="63" t="s">
        <v>757</v>
      </c>
      <c r="F254" s="6" t="s">
        <v>950</v>
      </c>
      <c r="G254" s="8" t="s">
        <v>16</v>
      </c>
      <c r="H254" s="12">
        <v>45567</v>
      </c>
      <c r="I254" s="12">
        <v>45621</v>
      </c>
      <c r="J254" s="12">
        <v>45673</v>
      </c>
      <c r="K254" s="6"/>
      <c r="L254" s="6"/>
      <c r="M254" s="40">
        <f t="shared" si="16"/>
        <v>41</v>
      </c>
      <c r="N254" s="40">
        <f t="shared" si="17"/>
        <v>54</v>
      </c>
      <c r="O254" s="40">
        <f t="shared" si="18"/>
        <v>52</v>
      </c>
      <c r="P254" s="40">
        <f t="shared" si="19"/>
        <v>147</v>
      </c>
    </row>
    <row r="255" spans="1:16" ht="18.75">
      <c r="B255" s="7" t="s">
        <v>68</v>
      </c>
      <c r="C255" s="55">
        <v>45526</v>
      </c>
      <c r="D255" s="26" t="s">
        <v>1074</v>
      </c>
      <c r="E255" s="63" t="s">
        <v>755</v>
      </c>
      <c r="F255" s="6" t="s">
        <v>1075</v>
      </c>
      <c r="G255" s="8" t="s">
        <v>16</v>
      </c>
      <c r="H255" s="20">
        <v>45532</v>
      </c>
      <c r="I255" s="6"/>
      <c r="J255" s="6"/>
      <c r="K255" s="6" t="s">
        <v>806</v>
      </c>
      <c r="L255" s="6"/>
      <c r="M255" s="40">
        <f t="shared" si="16"/>
        <v>6</v>
      </c>
      <c r="N255" s="40">
        <f t="shared" si="17"/>
        <v>0</v>
      </c>
      <c r="O255" s="40">
        <f t="shared" si="18"/>
        <v>0</v>
      </c>
      <c r="P255" s="40">
        <f t="shared" si="19"/>
        <v>0</v>
      </c>
    </row>
    <row r="256" spans="1:16" ht="18.75">
      <c r="B256" s="7" t="s">
        <v>68</v>
      </c>
      <c r="C256" s="55">
        <v>45526</v>
      </c>
      <c r="D256" s="26" t="s">
        <v>1076</v>
      </c>
      <c r="E256" s="63" t="s">
        <v>760</v>
      </c>
      <c r="F256" s="6" t="s">
        <v>1077</v>
      </c>
      <c r="G256" s="8" t="s">
        <v>19</v>
      </c>
      <c r="H256" s="20"/>
      <c r="I256" s="6"/>
      <c r="J256" s="6"/>
      <c r="K256" s="6"/>
      <c r="L256" s="6"/>
      <c r="M256" s="40">
        <f t="shared" si="16"/>
        <v>0</v>
      </c>
      <c r="N256" s="40">
        <f t="shared" si="17"/>
        <v>0</v>
      </c>
      <c r="O256" s="40">
        <f t="shared" si="18"/>
        <v>0</v>
      </c>
      <c r="P256" s="40">
        <f t="shared" si="19"/>
        <v>0</v>
      </c>
    </row>
    <row r="257" spans="2:16" ht="18.75">
      <c r="B257" s="7" t="s">
        <v>68</v>
      </c>
      <c r="C257" s="55">
        <v>45526</v>
      </c>
      <c r="D257" s="26" t="s">
        <v>1078</v>
      </c>
      <c r="E257" s="63" t="s">
        <v>757</v>
      </c>
      <c r="F257" s="6" t="s">
        <v>1079</v>
      </c>
      <c r="G257" s="8" t="s">
        <v>16</v>
      </c>
      <c r="H257" s="20">
        <v>45580</v>
      </c>
      <c r="I257" s="12">
        <v>45614</v>
      </c>
      <c r="J257" s="6"/>
      <c r="K257" s="6" t="s">
        <v>51</v>
      </c>
      <c r="L257" s="6"/>
      <c r="M257" s="40">
        <f t="shared" si="16"/>
        <v>54</v>
      </c>
      <c r="N257" s="40">
        <f t="shared" si="17"/>
        <v>34</v>
      </c>
      <c r="O257" s="40">
        <f t="shared" si="18"/>
        <v>0</v>
      </c>
      <c r="P257" s="40">
        <f t="shared" si="19"/>
        <v>0</v>
      </c>
    </row>
    <row r="258" spans="2:16" ht="18.75">
      <c r="B258" s="7" t="s">
        <v>68</v>
      </c>
      <c r="C258" s="55">
        <v>45533</v>
      </c>
      <c r="D258" s="26" t="s">
        <v>1080</v>
      </c>
      <c r="E258" s="63" t="s">
        <v>760</v>
      </c>
      <c r="F258" s="6" t="s">
        <v>1081</v>
      </c>
      <c r="G258" s="8" t="s">
        <v>19</v>
      </c>
      <c r="H258" s="6"/>
      <c r="I258" s="6"/>
      <c r="J258" s="6"/>
      <c r="K258" s="6"/>
      <c r="L258" s="6"/>
      <c r="M258" s="40">
        <f t="shared" si="16"/>
        <v>0</v>
      </c>
      <c r="N258" s="40">
        <f t="shared" si="17"/>
        <v>0</v>
      </c>
      <c r="O258" s="40">
        <f t="shared" si="18"/>
        <v>0</v>
      </c>
      <c r="P258" s="40">
        <f t="shared" si="19"/>
        <v>0</v>
      </c>
    </row>
    <row r="259" spans="2:16" ht="18.75">
      <c r="B259" s="7" t="s">
        <v>77</v>
      </c>
      <c r="C259" s="55">
        <v>45547</v>
      </c>
      <c r="D259" s="26" t="s">
        <v>1082</v>
      </c>
      <c r="E259" s="63" t="s">
        <v>760</v>
      </c>
      <c r="F259" s="6" t="s">
        <v>1083</v>
      </c>
      <c r="G259" s="8" t="s">
        <v>16</v>
      </c>
      <c r="H259" s="20">
        <v>45568</v>
      </c>
      <c r="I259" s="12">
        <v>45612</v>
      </c>
      <c r="J259" s="12">
        <v>45692</v>
      </c>
      <c r="K259" s="6"/>
      <c r="L259" s="6"/>
      <c r="M259" s="40">
        <f t="shared" si="16"/>
        <v>21</v>
      </c>
      <c r="N259" s="40">
        <f t="shared" si="17"/>
        <v>44</v>
      </c>
      <c r="O259" s="40">
        <f t="shared" si="18"/>
        <v>80</v>
      </c>
      <c r="P259" s="40">
        <f t="shared" si="19"/>
        <v>145</v>
      </c>
    </row>
    <row r="260" spans="2:16" ht="18.75">
      <c r="B260" s="7" t="s">
        <v>77</v>
      </c>
      <c r="C260" s="55">
        <v>45547</v>
      </c>
      <c r="D260" s="26" t="s">
        <v>1084</v>
      </c>
      <c r="E260" s="63" t="s">
        <v>760</v>
      </c>
      <c r="F260" s="6" t="s">
        <v>103</v>
      </c>
      <c r="G260" s="8" t="s">
        <v>19</v>
      </c>
      <c r="H260" s="6"/>
      <c r="I260" s="6"/>
      <c r="J260" s="6"/>
      <c r="K260" s="6"/>
      <c r="L260" s="6"/>
      <c r="M260" s="40">
        <f t="shared" si="16"/>
        <v>0</v>
      </c>
      <c r="N260" s="40">
        <f t="shared" si="17"/>
        <v>0</v>
      </c>
      <c r="O260" s="40">
        <f t="shared" si="18"/>
        <v>0</v>
      </c>
      <c r="P260" s="40">
        <f t="shared" si="19"/>
        <v>0</v>
      </c>
    </row>
    <row r="261" spans="2:16" ht="18.75">
      <c r="B261" s="27" t="s">
        <v>77</v>
      </c>
      <c r="C261" s="94">
        <v>45547</v>
      </c>
      <c r="D261" s="95" t="s">
        <v>1085</v>
      </c>
      <c r="E261" s="96" t="s">
        <v>753</v>
      </c>
      <c r="F261" s="29" t="s">
        <v>1086</v>
      </c>
      <c r="G261" s="97" t="s">
        <v>16</v>
      </c>
      <c r="H261" s="98">
        <v>45551</v>
      </c>
      <c r="I261" s="62">
        <v>45558</v>
      </c>
      <c r="J261" s="98">
        <v>45595</v>
      </c>
      <c r="K261" s="29"/>
      <c r="L261" s="29"/>
      <c r="M261" s="40">
        <f t="shared" si="16"/>
        <v>4</v>
      </c>
      <c r="N261" s="40">
        <f t="shared" si="17"/>
        <v>7</v>
      </c>
      <c r="O261" s="40">
        <f t="shared" si="18"/>
        <v>37</v>
      </c>
      <c r="P261" s="40">
        <f t="shared" si="19"/>
        <v>48</v>
      </c>
    </row>
    <row r="262" spans="2:16" ht="18.75">
      <c r="B262" s="7" t="s">
        <v>77</v>
      </c>
      <c r="C262" s="55">
        <v>45554</v>
      </c>
      <c r="D262" s="26" t="s">
        <v>1087</v>
      </c>
      <c r="E262" s="63" t="s">
        <v>771</v>
      </c>
      <c r="F262" s="6" t="s">
        <v>109</v>
      </c>
      <c r="G262" s="8" t="s">
        <v>19</v>
      </c>
      <c r="H262" s="6"/>
      <c r="I262" s="6"/>
      <c r="J262" s="6"/>
      <c r="K262" s="6"/>
      <c r="L262" s="6"/>
      <c r="M262" s="40">
        <f t="shared" si="16"/>
        <v>0</v>
      </c>
      <c r="N262" s="40">
        <f t="shared" si="17"/>
        <v>0</v>
      </c>
      <c r="O262" s="40">
        <f t="shared" si="18"/>
        <v>0</v>
      </c>
      <c r="P262" s="40">
        <f t="shared" si="19"/>
        <v>0</v>
      </c>
    </row>
    <row r="263" spans="2:16" ht="18.75">
      <c r="B263" s="7" t="s">
        <v>77</v>
      </c>
      <c r="C263" s="55">
        <v>45554</v>
      </c>
      <c r="D263" s="26" t="s">
        <v>1088</v>
      </c>
      <c r="E263" s="63" t="s">
        <v>763</v>
      </c>
      <c r="F263" s="6" t="s">
        <v>101</v>
      </c>
      <c r="G263" s="8" t="s">
        <v>19</v>
      </c>
      <c r="H263" s="6"/>
      <c r="I263" s="6"/>
      <c r="J263" s="6"/>
      <c r="K263" s="6"/>
      <c r="L263" s="6"/>
      <c r="M263" s="40">
        <f t="shared" si="16"/>
        <v>0</v>
      </c>
      <c r="N263" s="40">
        <f t="shared" si="17"/>
        <v>0</v>
      </c>
      <c r="O263" s="40">
        <f t="shared" si="18"/>
        <v>0</v>
      </c>
      <c r="P263" s="40">
        <f t="shared" si="19"/>
        <v>0</v>
      </c>
    </row>
    <row r="264" spans="2:16" ht="18.75">
      <c r="B264" s="7" t="s">
        <v>77</v>
      </c>
      <c r="C264" s="55">
        <v>45561</v>
      </c>
      <c r="D264" s="26" t="s">
        <v>1089</v>
      </c>
      <c r="E264" s="63" t="s">
        <v>753</v>
      </c>
      <c r="F264" s="6" t="s">
        <v>586</v>
      </c>
      <c r="G264" s="8" t="s">
        <v>16</v>
      </c>
      <c r="H264" s="20">
        <v>45583</v>
      </c>
      <c r="I264" s="12">
        <v>45621</v>
      </c>
      <c r="J264" s="20">
        <v>45679</v>
      </c>
      <c r="K264" s="6"/>
      <c r="L264" s="6"/>
      <c r="M264" s="40">
        <f t="shared" si="16"/>
        <v>22</v>
      </c>
      <c r="N264" s="40">
        <f t="shared" si="17"/>
        <v>38</v>
      </c>
      <c r="O264" s="40">
        <f t="shared" si="18"/>
        <v>58</v>
      </c>
      <c r="P264" s="40">
        <f t="shared" si="19"/>
        <v>118</v>
      </c>
    </row>
    <row r="265" spans="2:16" ht="18.75">
      <c r="B265" s="7" t="s">
        <v>77</v>
      </c>
      <c r="C265" s="55">
        <v>45561</v>
      </c>
      <c r="D265" s="26" t="s">
        <v>1090</v>
      </c>
      <c r="E265" s="63" t="s">
        <v>763</v>
      </c>
      <c r="F265" s="6" t="s">
        <v>109</v>
      </c>
      <c r="G265" s="8" t="s">
        <v>16</v>
      </c>
      <c r="H265" s="20">
        <v>45580</v>
      </c>
      <c r="I265" s="12">
        <v>45586</v>
      </c>
      <c r="J265" s="6"/>
      <c r="K265" s="6" t="s">
        <v>465</v>
      </c>
      <c r="L265" s="6"/>
      <c r="M265" s="40">
        <f t="shared" si="16"/>
        <v>19</v>
      </c>
      <c r="N265" s="40">
        <f t="shared" si="17"/>
        <v>6</v>
      </c>
      <c r="O265" s="40">
        <f t="shared" si="18"/>
        <v>0</v>
      </c>
      <c r="P265" s="40">
        <f t="shared" si="19"/>
        <v>0</v>
      </c>
    </row>
    <row r="266" spans="2:16" ht="18.75">
      <c r="B266" s="7" t="s">
        <v>84</v>
      </c>
      <c r="C266" s="20">
        <v>45568</v>
      </c>
      <c r="D266" s="26" t="s">
        <v>1091</v>
      </c>
      <c r="E266" s="63" t="s">
        <v>753</v>
      </c>
      <c r="F266" s="6" t="s">
        <v>109</v>
      </c>
      <c r="G266" s="8" t="s">
        <v>16</v>
      </c>
      <c r="H266" s="20">
        <v>45587</v>
      </c>
      <c r="I266" s="12">
        <v>45614</v>
      </c>
      <c r="J266" s="20">
        <v>45673</v>
      </c>
      <c r="K266" s="6"/>
      <c r="L266" s="6"/>
      <c r="M266" s="40">
        <f t="shared" si="16"/>
        <v>19</v>
      </c>
      <c r="N266" s="40">
        <f t="shared" si="17"/>
        <v>27</v>
      </c>
      <c r="O266" s="40">
        <f t="shared" si="18"/>
        <v>59</v>
      </c>
      <c r="P266" s="40">
        <f t="shared" si="19"/>
        <v>105</v>
      </c>
    </row>
    <row r="267" spans="2:16" ht="18.75">
      <c r="B267" s="7" t="s">
        <v>84</v>
      </c>
      <c r="C267" s="20">
        <v>45568</v>
      </c>
      <c r="D267" s="26" t="s">
        <v>1092</v>
      </c>
      <c r="E267" s="63" t="s">
        <v>763</v>
      </c>
      <c r="F267" s="6" t="s">
        <v>109</v>
      </c>
      <c r="G267" s="8" t="s">
        <v>19</v>
      </c>
      <c r="H267" s="6"/>
      <c r="I267" s="6"/>
      <c r="J267" s="6"/>
      <c r="K267" s="6"/>
      <c r="L267" s="6"/>
      <c r="M267" s="40">
        <f t="shared" si="16"/>
        <v>0</v>
      </c>
      <c r="N267" s="40">
        <f t="shared" si="17"/>
        <v>0</v>
      </c>
      <c r="O267" s="40">
        <f t="shared" si="18"/>
        <v>0</v>
      </c>
      <c r="P267" s="40">
        <f t="shared" si="19"/>
        <v>0</v>
      </c>
    </row>
    <row r="268" spans="2:16" ht="18.75">
      <c r="B268" s="7" t="s">
        <v>84</v>
      </c>
      <c r="C268" s="20">
        <v>45582</v>
      </c>
      <c r="D268" s="26" t="s">
        <v>1093</v>
      </c>
      <c r="E268" s="63" t="s">
        <v>771</v>
      </c>
      <c r="F268" s="6" t="s">
        <v>1094</v>
      </c>
      <c r="G268" s="8" t="s">
        <v>19</v>
      </c>
      <c r="H268" s="6"/>
      <c r="I268" s="6"/>
      <c r="J268" s="6"/>
      <c r="K268" s="6"/>
      <c r="L268" s="6"/>
      <c r="M268" s="40">
        <f t="shared" si="16"/>
        <v>0</v>
      </c>
      <c r="N268" s="40">
        <f t="shared" si="17"/>
        <v>0</v>
      </c>
      <c r="O268" s="40">
        <f t="shared" si="18"/>
        <v>0</v>
      </c>
      <c r="P268" s="40">
        <f t="shared" si="19"/>
        <v>0</v>
      </c>
    </row>
    <row r="269" spans="2:16" ht="18.75">
      <c r="B269" s="7" t="s">
        <v>84</v>
      </c>
      <c r="C269" s="20">
        <v>45582</v>
      </c>
      <c r="D269" s="26" t="s">
        <v>1095</v>
      </c>
      <c r="E269" s="63" t="s">
        <v>771</v>
      </c>
      <c r="F269" s="6" t="s">
        <v>109</v>
      </c>
      <c r="G269" s="8" t="s">
        <v>19</v>
      </c>
      <c r="H269" s="6"/>
      <c r="I269" s="6"/>
      <c r="J269" s="6"/>
      <c r="K269" s="6"/>
      <c r="L269" s="6"/>
      <c r="M269" s="40">
        <f t="shared" si="16"/>
        <v>0</v>
      </c>
      <c r="N269" s="40">
        <f t="shared" si="17"/>
        <v>0</v>
      </c>
      <c r="O269" s="40">
        <f t="shared" si="18"/>
        <v>0</v>
      </c>
      <c r="P269" s="40">
        <f t="shared" si="19"/>
        <v>0</v>
      </c>
    </row>
    <row r="270" spans="2:16" ht="18.75">
      <c r="B270" s="7" t="s">
        <v>84</v>
      </c>
      <c r="C270" s="20">
        <v>45582</v>
      </c>
      <c r="D270" s="26" t="s">
        <v>1096</v>
      </c>
      <c r="E270" s="63" t="s">
        <v>753</v>
      </c>
      <c r="F270" s="6" t="s">
        <v>1097</v>
      </c>
      <c r="G270" s="8" t="s">
        <v>16</v>
      </c>
      <c r="H270" s="12">
        <v>45593</v>
      </c>
      <c r="I270" s="12">
        <v>45614</v>
      </c>
      <c r="J270" s="12">
        <v>45678</v>
      </c>
      <c r="K270" s="6"/>
      <c r="L270" s="6"/>
      <c r="M270" s="40">
        <f t="shared" si="16"/>
        <v>11</v>
      </c>
      <c r="N270" s="40">
        <f t="shared" si="17"/>
        <v>21</v>
      </c>
      <c r="O270" s="40">
        <f t="shared" si="18"/>
        <v>64</v>
      </c>
      <c r="P270" s="40">
        <f t="shared" si="19"/>
        <v>96</v>
      </c>
    </row>
    <row r="271" spans="2:16" ht="18.75">
      <c r="B271" s="7" t="s">
        <v>84</v>
      </c>
      <c r="C271" s="20">
        <v>45596</v>
      </c>
      <c r="D271" s="26" t="s">
        <v>1098</v>
      </c>
      <c r="E271" s="63" t="s">
        <v>757</v>
      </c>
      <c r="F271" s="6" t="s">
        <v>103</v>
      </c>
      <c r="G271" s="8" t="s">
        <v>19</v>
      </c>
      <c r="H271" s="6"/>
      <c r="I271" s="6"/>
      <c r="J271" s="6"/>
      <c r="K271" s="6"/>
      <c r="L271" s="6"/>
      <c r="M271" s="40">
        <f t="shared" si="16"/>
        <v>0</v>
      </c>
      <c r="N271" s="40">
        <f t="shared" si="17"/>
        <v>0</v>
      </c>
      <c r="O271" s="40">
        <f t="shared" si="18"/>
        <v>0</v>
      </c>
      <c r="P271" s="40">
        <f t="shared" si="19"/>
        <v>0</v>
      </c>
    </row>
    <row r="272" spans="2:16" ht="18.75">
      <c r="B272" s="7" t="s">
        <v>84</v>
      </c>
      <c r="C272" s="20">
        <v>45596</v>
      </c>
      <c r="D272" s="26" t="s">
        <v>1099</v>
      </c>
      <c r="E272" s="63" t="s">
        <v>757</v>
      </c>
      <c r="F272" s="6" t="s">
        <v>101</v>
      </c>
      <c r="G272" s="8" t="s">
        <v>16</v>
      </c>
      <c r="H272" s="20">
        <v>45629</v>
      </c>
      <c r="I272" s="6"/>
      <c r="J272" s="6"/>
      <c r="K272" s="6" t="s">
        <v>1100</v>
      </c>
      <c r="L272" s="6"/>
      <c r="M272" s="40">
        <f t="shared" si="16"/>
        <v>33</v>
      </c>
      <c r="N272" s="40">
        <f t="shared" si="17"/>
        <v>0</v>
      </c>
      <c r="O272" s="40">
        <f t="shared" si="18"/>
        <v>0</v>
      </c>
      <c r="P272" s="40">
        <f t="shared" si="19"/>
        <v>0</v>
      </c>
    </row>
    <row r="273" spans="2:16" ht="18.75">
      <c r="B273" s="7" t="s">
        <v>84</v>
      </c>
      <c r="C273" s="20">
        <v>45596</v>
      </c>
      <c r="D273" s="26" t="s">
        <v>1101</v>
      </c>
      <c r="E273" s="63" t="s">
        <v>753</v>
      </c>
      <c r="F273" s="6" t="s">
        <v>1102</v>
      </c>
      <c r="G273" s="8" t="s">
        <v>16</v>
      </c>
      <c r="H273" s="20">
        <v>45603</v>
      </c>
      <c r="I273" s="12">
        <v>45628</v>
      </c>
      <c r="J273" s="6"/>
      <c r="K273" s="6" t="s">
        <v>1103</v>
      </c>
      <c r="L273" s="6"/>
      <c r="M273" s="40">
        <f t="shared" si="16"/>
        <v>7</v>
      </c>
      <c r="N273" s="40">
        <f t="shared" si="17"/>
        <v>25</v>
      </c>
      <c r="O273" s="40">
        <f t="shared" si="18"/>
        <v>0</v>
      </c>
      <c r="P273" s="40">
        <f t="shared" si="19"/>
        <v>0</v>
      </c>
    </row>
    <row r="274" spans="2:16" ht="18.75">
      <c r="B274" s="7" t="s">
        <v>87</v>
      </c>
      <c r="C274" s="20">
        <v>45603</v>
      </c>
      <c r="D274" s="26" t="s">
        <v>1104</v>
      </c>
      <c r="E274" s="63" t="s">
        <v>763</v>
      </c>
      <c r="F274" s="6" t="s">
        <v>101</v>
      </c>
      <c r="G274" s="8" t="s">
        <v>16</v>
      </c>
      <c r="H274" s="20">
        <v>45617</v>
      </c>
      <c r="I274" s="6"/>
      <c r="J274" s="6"/>
      <c r="K274" s="6" t="s">
        <v>465</v>
      </c>
      <c r="L274" s="6"/>
      <c r="M274" s="40">
        <f t="shared" si="16"/>
        <v>14</v>
      </c>
      <c r="N274" s="40">
        <f t="shared" si="17"/>
        <v>0</v>
      </c>
      <c r="O274" s="40">
        <f t="shared" si="18"/>
        <v>0</v>
      </c>
      <c r="P274" s="40">
        <f t="shared" si="19"/>
        <v>0</v>
      </c>
    </row>
    <row r="275" spans="2:16" ht="18.75">
      <c r="B275" s="7" t="s">
        <v>87</v>
      </c>
      <c r="C275" s="20">
        <v>45603</v>
      </c>
      <c r="D275" s="26" t="s">
        <v>1105</v>
      </c>
      <c r="E275" s="63" t="s">
        <v>753</v>
      </c>
      <c r="F275" s="6" t="s">
        <v>1106</v>
      </c>
      <c r="G275" s="8" t="s">
        <v>16</v>
      </c>
      <c r="H275" s="20">
        <v>45617</v>
      </c>
      <c r="I275" s="6"/>
      <c r="J275" s="6"/>
      <c r="K275" s="6" t="s">
        <v>1070</v>
      </c>
      <c r="L275" s="6"/>
      <c r="M275" s="40">
        <f t="shared" si="16"/>
        <v>14</v>
      </c>
      <c r="N275" s="40">
        <f t="shared" si="17"/>
        <v>0</v>
      </c>
      <c r="O275" s="40">
        <f t="shared" si="18"/>
        <v>0</v>
      </c>
      <c r="P275" s="40">
        <f t="shared" si="19"/>
        <v>0</v>
      </c>
    </row>
    <row r="276" spans="2:16" ht="18.75">
      <c r="B276" s="7" t="s">
        <v>87</v>
      </c>
      <c r="C276" s="20">
        <v>45603</v>
      </c>
      <c r="D276" s="26" t="s">
        <v>1107</v>
      </c>
      <c r="E276" s="63" t="s">
        <v>753</v>
      </c>
      <c r="F276" s="6" t="s">
        <v>1108</v>
      </c>
      <c r="G276" s="8" t="s">
        <v>19</v>
      </c>
      <c r="H276" s="6"/>
      <c r="I276" s="6"/>
      <c r="J276" s="6"/>
      <c r="K276" s="6"/>
      <c r="L276" s="6"/>
      <c r="M276" s="40">
        <f t="shared" si="16"/>
        <v>0</v>
      </c>
      <c r="N276" s="40">
        <f t="shared" si="17"/>
        <v>0</v>
      </c>
      <c r="O276" s="40">
        <f t="shared" si="18"/>
        <v>0</v>
      </c>
      <c r="P276" s="40">
        <f t="shared" si="19"/>
        <v>0</v>
      </c>
    </row>
    <row r="277" spans="2:16" ht="18.75">
      <c r="B277" s="7" t="s">
        <v>87</v>
      </c>
      <c r="C277" s="20">
        <v>45603</v>
      </c>
      <c r="D277" s="26" t="s">
        <v>1109</v>
      </c>
      <c r="E277" s="63" t="s">
        <v>757</v>
      </c>
      <c r="F277" s="6" t="s">
        <v>109</v>
      </c>
      <c r="G277" s="8" t="s">
        <v>19</v>
      </c>
      <c r="H277" s="6"/>
      <c r="I277" s="6"/>
      <c r="J277" s="6"/>
      <c r="K277" s="6"/>
      <c r="L277" s="6"/>
      <c r="M277" s="40">
        <f t="shared" si="16"/>
        <v>0</v>
      </c>
      <c r="N277" s="40">
        <f t="shared" si="17"/>
        <v>0</v>
      </c>
      <c r="O277" s="40">
        <f t="shared" si="18"/>
        <v>0</v>
      </c>
      <c r="P277" s="40">
        <f t="shared" si="19"/>
        <v>0</v>
      </c>
    </row>
    <row r="278" spans="2:16" ht="18.75">
      <c r="B278" s="7" t="s">
        <v>87</v>
      </c>
      <c r="C278" s="20">
        <v>45610</v>
      </c>
      <c r="D278" s="26" t="s">
        <v>1110</v>
      </c>
      <c r="E278" s="63" t="s">
        <v>763</v>
      </c>
      <c r="F278" s="6" t="s">
        <v>1111</v>
      </c>
      <c r="G278" s="8" t="s">
        <v>19</v>
      </c>
      <c r="H278" s="6"/>
      <c r="I278" s="6"/>
      <c r="J278" s="6"/>
      <c r="K278" s="6"/>
      <c r="L278" s="6"/>
      <c r="M278" s="40">
        <f t="shared" si="16"/>
        <v>0</v>
      </c>
      <c r="N278" s="40">
        <f t="shared" si="17"/>
        <v>0</v>
      </c>
      <c r="O278" s="40">
        <f t="shared" si="18"/>
        <v>0</v>
      </c>
      <c r="P278" s="40">
        <f t="shared" si="19"/>
        <v>0</v>
      </c>
    </row>
    <row r="279" spans="2:16" ht="18.75">
      <c r="B279" s="7" t="s">
        <v>87</v>
      </c>
      <c r="C279" s="20">
        <v>45610</v>
      </c>
      <c r="D279" s="26" t="s">
        <v>1112</v>
      </c>
      <c r="E279" s="63" t="s">
        <v>753</v>
      </c>
      <c r="F279" s="6" t="s">
        <v>1113</v>
      </c>
      <c r="G279" s="8" t="s">
        <v>19</v>
      </c>
      <c r="H279" s="6"/>
      <c r="I279" s="6"/>
      <c r="J279" s="6"/>
      <c r="K279" s="6"/>
      <c r="L279" s="6"/>
      <c r="M279" s="40">
        <f t="shared" si="16"/>
        <v>0</v>
      </c>
      <c r="N279" s="40">
        <f t="shared" si="17"/>
        <v>0</v>
      </c>
      <c r="O279" s="40">
        <f t="shared" si="18"/>
        <v>0</v>
      </c>
      <c r="P279" s="40">
        <f t="shared" si="19"/>
        <v>0</v>
      </c>
    </row>
    <row r="280" spans="2:16" ht="18.75">
      <c r="B280" s="7" t="s">
        <v>87</v>
      </c>
      <c r="C280" s="20">
        <v>45610</v>
      </c>
      <c r="D280" s="26" t="s">
        <v>1114</v>
      </c>
      <c r="E280" s="63" t="s">
        <v>763</v>
      </c>
      <c r="F280" s="6" t="s">
        <v>109</v>
      </c>
      <c r="G280" s="8" t="s">
        <v>16</v>
      </c>
      <c r="H280" s="20">
        <v>45638</v>
      </c>
      <c r="I280" s="12">
        <v>45686</v>
      </c>
      <c r="J280" s="6"/>
      <c r="K280" s="6" t="s">
        <v>51</v>
      </c>
      <c r="L280" s="6"/>
      <c r="M280" s="40">
        <f t="shared" si="16"/>
        <v>28</v>
      </c>
      <c r="N280" s="40">
        <f t="shared" si="17"/>
        <v>48</v>
      </c>
      <c r="O280" s="40">
        <f t="shared" si="18"/>
        <v>0</v>
      </c>
      <c r="P280" s="40">
        <f t="shared" si="19"/>
        <v>0</v>
      </c>
    </row>
    <row r="281" spans="2:16" ht="18.75">
      <c r="B281" s="7" t="s">
        <v>87</v>
      </c>
      <c r="C281" s="20">
        <v>45617</v>
      </c>
      <c r="D281" s="26" t="s">
        <v>1115</v>
      </c>
      <c r="E281" s="63" t="s">
        <v>760</v>
      </c>
      <c r="F281" s="6" t="s">
        <v>1116</v>
      </c>
      <c r="G281" s="8" t="s">
        <v>19</v>
      </c>
      <c r="H281" s="6"/>
      <c r="I281" s="6"/>
      <c r="J281" s="6"/>
      <c r="K281" s="6"/>
      <c r="L281" s="6"/>
      <c r="M281" s="40">
        <f t="shared" si="16"/>
        <v>0</v>
      </c>
      <c r="N281" s="40">
        <f t="shared" si="17"/>
        <v>0</v>
      </c>
      <c r="O281" s="40">
        <f t="shared" si="18"/>
        <v>0</v>
      </c>
      <c r="P281" s="40">
        <f t="shared" si="19"/>
        <v>0</v>
      </c>
    </row>
    <row r="282" spans="2:16" ht="18.75">
      <c r="B282" s="7" t="s">
        <v>87</v>
      </c>
      <c r="C282" s="20">
        <v>45617</v>
      </c>
      <c r="D282" s="26" t="s">
        <v>1117</v>
      </c>
      <c r="E282" s="63" t="s">
        <v>753</v>
      </c>
      <c r="F282" s="6" t="s">
        <v>1118</v>
      </c>
      <c r="G282" s="8" t="s">
        <v>16</v>
      </c>
      <c r="H282" s="20">
        <v>45628</v>
      </c>
      <c r="I282" s="6"/>
      <c r="J282" s="6"/>
      <c r="K282" s="6" t="s">
        <v>1119</v>
      </c>
      <c r="L282" s="6"/>
      <c r="M282" s="40">
        <f t="shared" si="16"/>
        <v>11</v>
      </c>
      <c r="N282" s="40">
        <f t="shared" si="17"/>
        <v>0</v>
      </c>
      <c r="O282" s="40">
        <f t="shared" si="18"/>
        <v>0</v>
      </c>
      <c r="P282" s="40">
        <f t="shared" si="19"/>
        <v>0</v>
      </c>
    </row>
    <row r="283" spans="2:16" ht="18.75">
      <c r="B283" s="7" t="s">
        <v>87</v>
      </c>
      <c r="C283" s="20">
        <v>45617</v>
      </c>
      <c r="D283" s="26" t="s">
        <v>1120</v>
      </c>
      <c r="E283" s="63" t="s">
        <v>763</v>
      </c>
      <c r="F283" s="6" t="s">
        <v>109</v>
      </c>
      <c r="G283" s="8" t="s">
        <v>19</v>
      </c>
      <c r="H283" s="6"/>
      <c r="I283" s="6"/>
      <c r="J283" s="6"/>
      <c r="K283" s="6"/>
      <c r="L283" s="6"/>
      <c r="M283" s="40">
        <f t="shared" si="16"/>
        <v>0</v>
      </c>
      <c r="N283" s="40">
        <f t="shared" si="17"/>
        <v>0</v>
      </c>
      <c r="O283" s="40">
        <f t="shared" si="18"/>
        <v>0</v>
      </c>
      <c r="P283" s="40">
        <f t="shared" si="19"/>
        <v>0</v>
      </c>
    </row>
    <row r="284" spans="2:16" ht="18.75">
      <c r="B284" s="7" t="s">
        <v>87</v>
      </c>
      <c r="C284" s="20">
        <v>45617</v>
      </c>
      <c r="D284" s="26" t="s">
        <v>1121</v>
      </c>
      <c r="E284" s="63" t="s">
        <v>771</v>
      </c>
      <c r="F284" s="6" t="s">
        <v>1122</v>
      </c>
      <c r="G284" s="8" t="s">
        <v>19</v>
      </c>
      <c r="H284" s="6"/>
      <c r="I284" s="6"/>
      <c r="J284" s="6"/>
      <c r="K284" s="6"/>
      <c r="L284" s="6"/>
      <c r="M284" s="40">
        <f t="shared" si="16"/>
        <v>0</v>
      </c>
      <c r="N284" s="40">
        <f t="shared" si="17"/>
        <v>0</v>
      </c>
      <c r="O284" s="40">
        <f t="shared" si="18"/>
        <v>0</v>
      </c>
      <c r="P284" s="40">
        <f t="shared" si="19"/>
        <v>0</v>
      </c>
    </row>
    <row r="285" spans="2:16" ht="18.75">
      <c r="B285" s="7" t="s">
        <v>87</v>
      </c>
      <c r="C285" s="20">
        <v>45617</v>
      </c>
      <c r="D285" s="26" t="s">
        <v>1123</v>
      </c>
      <c r="E285" s="63" t="s">
        <v>760</v>
      </c>
      <c r="F285" s="6" t="s">
        <v>103</v>
      </c>
      <c r="G285" s="8" t="s">
        <v>16</v>
      </c>
      <c r="H285" s="20">
        <v>45635</v>
      </c>
      <c r="I285" s="6"/>
      <c r="J285" s="6"/>
      <c r="K285" s="6" t="s">
        <v>1119</v>
      </c>
      <c r="L285" s="6"/>
      <c r="M285" s="40">
        <f t="shared" si="16"/>
        <v>18</v>
      </c>
      <c r="N285" s="40">
        <f t="shared" si="17"/>
        <v>0</v>
      </c>
      <c r="O285" s="40">
        <f t="shared" si="18"/>
        <v>0</v>
      </c>
      <c r="P285" s="40">
        <f t="shared" si="19"/>
        <v>0</v>
      </c>
    </row>
    <row r="286" spans="2:16" ht="18.75">
      <c r="B286" s="7" t="s">
        <v>87</v>
      </c>
      <c r="C286" s="20">
        <v>45624</v>
      </c>
      <c r="D286" s="26" t="s">
        <v>1124</v>
      </c>
      <c r="E286" s="63" t="s">
        <v>771</v>
      </c>
      <c r="F286" s="6" t="s">
        <v>109</v>
      </c>
      <c r="G286" s="8" t="s">
        <v>16</v>
      </c>
      <c r="H286" s="12">
        <v>45628</v>
      </c>
      <c r="I286" s="12">
        <v>45677</v>
      </c>
      <c r="J286" s="12">
        <v>45699</v>
      </c>
      <c r="K286" s="6"/>
      <c r="L286" s="6"/>
      <c r="M286" s="40">
        <f t="shared" si="16"/>
        <v>4</v>
      </c>
      <c r="N286" s="40">
        <f t="shared" si="17"/>
        <v>49</v>
      </c>
      <c r="O286" s="40">
        <f t="shared" si="18"/>
        <v>22</v>
      </c>
      <c r="P286" s="40">
        <f t="shared" si="19"/>
        <v>75</v>
      </c>
    </row>
    <row r="287" spans="2:16" ht="18.75">
      <c r="B287" s="7" t="s">
        <v>87</v>
      </c>
      <c r="C287" s="20">
        <v>45624</v>
      </c>
      <c r="D287" s="26" t="s">
        <v>1125</v>
      </c>
      <c r="E287" s="63" t="s">
        <v>757</v>
      </c>
      <c r="F287" s="6" t="s">
        <v>101</v>
      </c>
      <c r="G287" s="8" t="s">
        <v>19</v>
      </c>
      <c r="H287" s="6"/>
      <c r="I287" s="6"/>
      <c r="J287" s="6"/>
      <c r="K287" s="6"/>
      <c r="L287" s="6"/>
      <c r="M287" s="40">
        <f t="shared" si="16"/>
        <v>0</v>
      </c>
      <c r="N287" s="40">
        <f t="shared" si="17"/>
        <v>0</v>
      </c>
      <c r="O287" s="40">
        <f t="shared" si="18"/>
        <v>0</v>
      </c>
      <c r="P287" s="40">
        <f t="shared" si="19"/>
        <v>0</v>
      </c>
    </row>
    <row r="288" spans="2:16" ht="18.75">
      <c r="B288" s="7" t="s">
        <v>87</v>
      </c>
      <c r="C288" s="20">
        <v>45624</v>
      </c>
      <c r="D288" s="26" t="s">
        <v>1126</v>
      </c>
      <c r="E288" s="63" t="s">
        <v>753</v>
      </c>
      <c r="F288" s="6" t="s">
        <v>103</v>
      </c>
      <c r="G288" s="8" t="s">
        <v>16</v>
      </c>
      <c r="H288" s="20">
        <v>45709</v>
      </c>
      <c r="I288" s="12">
        <v>45726</v>
      </c>
      <c r="J288" s="6"/>
      <c r="K288" s="6" t="s">
        <v>1127</v>
      </c>
      <c r="L288" s="6"/>
      <c r="M288" s="40">
        <f t="shared" si="16"/>
        <v>85</v>
      </c>
      <c r="N288" s="40">
        <f t="shared" si="17"/>
        <v>17</v>
      </c>
      <c r="O288" s="40">
        <f t="shared" si="18"/>
        <v>0</v>
      </c>
      <c r="P288" s="40">
        <f t="shared" si="19"/>
        <v>0</v>
      </c>
    </row>
    <row r="289" spans="2:16" ht="18.75">
      <c r="B289" s="7" t="s">
        <v>87</v>
      </c>
      <c r="C289" s="20">
        <v>45624</v>
      </c>
      <c r="D289" s="26" t="s">
        <v>1128</v>
      </c>
      <c r="E289" s="63" t="s">
        <v>753</v>
      </c>
      <c r="F289" s="6" t="s">
        <v>109</v>
      </c>
      <c r="G289" s="8" t="s">
        <v>19</v>
      </c>
      <c r="H289" s="6"/>
      <c r="I289" s="6"/>
      <c r="J289" s="6"/>
      <c r="K289" s="6"/>
      <c r="L289" s="6"/>
      <c r="M289" s="40">
        <f t="shared" si="16"/>
        <v>0</v>
      </c>
      <c r="N289" s="40">
        <f t="shared" si="17"/>
        <v>0</v>
      </c>
      <c r="O289" s="40">
        <f t="shared" si="18"/>
        <v>0</v>
      </c>
      <c r="P289" s="40">
        <f t="shared" si="19"/>
        <v>0</v>
      </c>
    </row>
    <row r="290" spans="2:16" ht="18.75">
      <c r="B290" s="7" t="s">
        <v>173</v>
      </c>
      <c r="C290" s="20">
        <v>45631</v>
      </c>
      <c r="D290" s="26" t="s">
        <v>1129</v>
      </c>
      <c r="E290" s="63" t="s">
        <v>753</v>
      </c>
      <c r="F290" s="6" t="s">
        <v>1130</v>
      </c>
      <c r="G290" s="8" t="s">
        <v>19</v>
      </c>
      <c r="H290" s="6"/>
      <c r="I290" s="6"/>
      <c r="J290" s="6"/>
      <c r="K290" s="6"/>
      <c r="L290" s="6"/>
      <c r="M290" s="40">
        <f t="shared" si="16"/>
        <v>0</v>
      </c>
      <c r="N290" s="40">
        <f t="shared" si="17"/>
        <v>0</v>
      </c>
      <c r="O290" s="40">
        <f t="shared" si="18"/>
        <v>0</v>
      </c>
      <c r="P290" s="40">
        <f t="shared" si="19"/>
        <v>0</v>
      </c>
    </row>
    <row r="291" spans="2:16" ht="18.75">
      <c r="B291" s="7" t="s">
        <v>173</v>
      </c>
      <c r="C291" s="20">
        <v>45631</v>
      </c>
      <c r="D291" s="26" t="s">
        <v>1131</v>
      </c>
      <c r="E291" s="63" t="s">
        <v>757</v>
      </c>
      <c r="F291" s="6" t="s">
        <v>1132</v>
      </c>
      <c r="G291" s="8" t="s">
        <v>19</v>
      </c>
      <c r="H291" s="6"/>
      <c r="I291" s="6"/>
      <c r="J291" s="6"/>
      <c r="K291" s="6"/>
      <c r="L291" s="6"/>
      <c r="M291" s="40">
        <f t="shared" si="16"/>
        <v>0</v>
      </c>
      <c r="N291" s="40">
        <f t="shared" si="17"/>
        <v>0</v>
      </c>
      <c r="O291" s="40">
        <f t="shared" si="18"/>
        <v>0</v>
      </c>
      <c r="P291" s="40">
        <f t="shared" si="19"/>
        <v>0</v>
      </c>
    </row>
    <row r="292" spans="2:16" ht="18.75">
      <c r="B292" s="7" t="s">
        <v>173</v>
      </c>
      <c r="C292" s="20">
        <v>45638</v>
      </c>
      <c r="D292" s="26" t="s">
        <v>1133</v>
      </c>
      <c r="E292" s="63" t="s">
        <v>763</v>
      </c>
      <c r="F292" s="6" t="s">
        <v>1134</v>
      </c>
      <c r="G292" s="8" t="s">
        <v>19</v>
      </c>
      <c r="H292" s="6"/>
      <c r="I292" s="6"/>
      <c r="J292" s="6"/>
      <c r="K292" s="6"/>
      <c r="L292" s="6"/>
      <c r="M292" s="40">
        <f t="shared" si="16"/>
        <v>0</v>
      </c>
      <c r="N292" s="40">
        <f t="shared" si="17"/>
        <v>0</v>
      </c>
      <c r="O292" s="40">
        <f t="shared" si="18"/>
        <v>0</v>
      </c>
      <c r="P292" s="40">
        <f t="shared" si="19"/>
        <v>0</v>
      </c>
    </row>
    <row r="293" spans="2:16" ht="18.75">
      <c r="B293" s="7" t="s">
        <v>173</v>
      </c>
      <c r="C293" s="20">
        <v>45638</v>
      </c>
      <c r="D293" s="26" t="s">
        <v>1135</v>
      </c>
      <c r="E293" s="63" t="s">
        <v>753</v>
      </c>
      <c r="F293" s="6" t="s">
        <v>1136</v>
      </c>
      <c r="G293" s="8" t="s">
        <v>19</v>
      </c>
      <c r="H293" s="6"/>
      <c r="I293" s="6"/>
      <c r="J293" s="6"/>
      <c r="K293" s="6"/>
      <c r="L293" s="6"/>
      <c r="M293" s="40">
        <f t="shared" si="16"/>
        <v>0</v>
      </c>
      <c r="N293" s="40">
        <f t="shared" si="17"/>
        <v>0</v>
      </c>
      <c r="O293" s="40">
        <f t="shared" si="18"/>
        <v>0</v>
      </c>
      <c r="P293" s="40">
        <f t="shared" si="19"/>
        <v>0</v>
      </c>
    </row>
    <row r="294" spans="2:16" ht="18.75">
      <c r="B294" s="7" t="s">
        <v>173</v>
      </c>
      <c r="C294" s="20">
        <v>45638</v>
      </c>
      <c r="D294" s="26" t="s">
        <v>1137</v>
      </c>
      <c r="E294" s="63" t="s">
        <v>771</v>
      </c>
      <c r="F294" s="6" t="s">
        <v>103</v>
      </c>
      <c r="G294" s="8" t="s">
        <v>19</v>
      </c>
      <c r="H294" s="6"/>
      <c r="I294" s="6"/>
      <c r="J294" s="6"/>
      <c r="K294" s="6"/>
      <c r="L294" s="6"/>
      <c r="M294" s="40">
        <f t="shared" si="16"/>
        <v>0</v>
      </c>
      <c r="N294" s="40">
        <f t="shared" si="17"/>
        <v>0</v>
      </c>
      <c r="O294" s="40">
        <f t="shared" si="18"/>
        <v>0</v>
      </c>
      <c r="P294" s="40">
        <f t="shared" si="19"/>
        <v>0</v>
      </c>
    </row>
    <row r="295" spans="2:16" ht="18.75">
      <c r="B295" s="7" t="s">
        <v>542</v>
      </c>
      <c r="C295" s="20">
        <v>45673</v>
      </c>
      <c r="D295" s="26" t="s">
        <v>1138</v>
      </c>
      <c r="E295" s="63" t="s">
        <v>760</v>
      </c>
      <c r="F295" s="6" t="s">
        <v>158</v>
      </c>
      <c r="G295" s="8" t="s">
        <v>19</v>
      </c>
      <c r="H295" s="6"/>
      <c r="I295" s="6"/>
      <c r="J295" s="6"/>
      <c r="K295" s="6"/>
      <c r="L295" s="6"/>
      <c r="M295" s="40">
        <f t="shared" si="16"/>
        <v>0</v>
      </c>
      <c r="N295" s="40">
        <f t="shared" si="17"/>
        <v>0</v>
      </c>
      <c r="O295" s="40">
        <f t="shared" si="18"/>
        <v>0</v>
      </c>
      <c r="P295" s="40">
        <f t="shared" si="19"/>
        <v>0</v>
      </c>
    </row>
    <row r="296" spans="2:16" ht="18.75">
      <c r="B296" s="7" t="s">
        <v>542</v>
      </c>
      <c r="C296" s="20">
        <v>45673</v>
      </c>
      <c r="D296" s="26" t="s">
        <v>1139</v>
      </c>
      <c r="E296" s="63" t="s">
        <v>757</v>
      </c>
      <c r="F296" s="6" t="s">
        <v>103</v>
      </c>
      <c r="G296" s="8" t="s">
        <v>16</v>
      </c>
      <c r="H296" s="12">
        <v>45677</v>
      </c>
      <c r="I296" s="12">
        <v>45691</v>
      </c>
      <c r="J296" s="20">
        <v>45727</v>
      </c>
      <c r="K296" s="6"/>
      <c r="L296" s="6"/>
      <c r="M296" s="40">
        <f t="shared" si="16"/>
        <v>4</v>
      </c>
      <c r="N296" s="40">
        <f t="shared" si="17"/>
        <v>14</v>
      </c>
      <c r="O296" s="40">
        <f t="shared" si="18"/>
        <v>36</v>
      </c>
      <c r="P296" s="40">
        <f t="shared" si="19"/>
        <v>54</v>
      </c>
    </row>
    <row r="297" spans="2:16" ht="18.75">
      <c r="B297" s="7" t="s">
        <v>542</v>
      </c>
      <c r="C297" s="20">
        <v>45673</v>
      </c>
      <c r="D297" s="26" t="s">
        <v>1140</v>
      </c>
      <c r="E297" s="63" t="s">
        <v>757</v>
      </c>
      <c r="F297" s="6" t="s">
        <v>103</v>
      </c>
      <c r="G297" s="8" t="s">
        <v>19</v>
      </c>
      <c r="H297" s="6"/>
      <c r="I297" s="6"/>
      <c r="J297" s="6"/>
      <c r="K297" s="6"/>
      <c r="L297" s="6"/>
      <c r="M297" s="40">
        <f t="shared" si="16"/>
        <v>0</v>
      </c>
      <c r="N297" s="40">
        <f t="shared" si="17"/>
        <v>0</v>
      </c>
      <c r="O297" s="40">
        <f t="shared" si="18"/>
        <v>0</v>
      </c>
      <c r="P297" s="40">
        <f t="shared" si="19"/>
        <v>0</v>
      </c>
    </row>
    <row r="298" spans="2:16" ht="18.75">
      <c r="B298" s="7" t="s">
        <v>542</v>
      </c>
      <c r="C298" s="20">
        <v>45673</v>
      </c>
      <c r="D298" s="26" t="s">
        <v>1141</v>
      </c>
      <c r="E298" s="63" t="s">
        <v>753</v>
      </c>
      <c r="F298" s="6" t="s">
        <v>103</v>
      </c>
      <c r="G298" s="8" t="s">
        <v>16</v>
      </c>
      <c r="H298" s="20">
        <v>45680</v>
      </c>
      <c r="I298" s="12">
        <v>45691</v>
      </c>
      <c r="J298" s="6"/>
      <c r="K298" s="6" t="s">
        <v>1142</v>
      </c>
      <c r="L298" s="6"/>
      <c r="M298" s="40">
        <f t="shared" ref="M298:M319" si="20">IF(H298&gt;0,H298-C298,0)</f>
        <v>7</v>
      </c>
      <c r="N298" s="40">
        <f t="shared" ref="N298:N319" si="21">IF(I298&gt;0,I298-H298,0)</f>
        <v>11</v>
      </c>
      <c r="O298" s="40">
        <f t="shared" ref="O298:O319" si="22">IF(J298&gt;0,J298-I298,0)</f>
        <v>0</v>
      </c>
      <c r="P298" s="40">
        <f t="shared" ref="P298:P319" si="23">IF(J298&gt;0,J298-C298,0)</f>
        <v>0</v>
      </c>
    </row>
    <row r="299" spans="2:16" ht="18.75">
      <c r="B299" s="7" t="s">
        <v>542</v>
      </c>
      <c r="C299" s="20">
        <v>45673</v>
      </c>
      <c r="D299" s="26" t="s">
        <v>1143</v>
      </c>
      <c r="E299" s="63" t="s">
        <v>757</v>
      </c>
      <c r="F299" s="6" t="s">
        <v>103</v>
      </c>
      <c r="G299" s="8" t="s">
        <v>16</v>
      </c>
      <c r="H299" s="20">
        <v>45680</v>
      </c>
      <c r="I299" s="6"/>
      <c r="J299" s="6"/>
      <c r="K299" s="6" t="s">
        <v>1144</v>
      </c>
      <c r="L299" s="6"/>
      <c r="M299" s="40">
        <f t="shared" si="20"/>
        <v>7</v>
      </c>
      <c r="N299" s="40">
        <f t="shared" si="21"/>
        <v>0</v>
      </c>
      <c r="O299" s="40">
        <f t="shared" si="22"/>
        <v>0</v>
      </c>
      <c r="P299" s="40">
        <f t="shared" si="23"/>
        <v>0</v>
      </c>
    </row>
    <row r="300" spans="2:16" ht="18.75">
      <c r="B300" s="7" t="s">
        <v>542</v>
      </c>
      <c r="C300" s="20">
        <v>45673</v>
      </c>
      <c r="D300" s="26" t="s">
        <v>1145</v>
      </c>
      <c r="E300" s="63" t="s">
        <v>755</v>
      </c>
      <c r="F300" s="6" t="s">
        <v>103</v>
      </c>
      <c r="G300" s="8" t="s">
        <v>19</v>
      </c>
      <c r="H300" s="6"/>
      <c r="I300" s="6"/>
      <c r="J300" s="6"/>
      <c r="K300" s="6"/>
      <c r="L300" s="6"/>
      <c r="M300" s="40">
        <f t="shared" si="20"/>
        <v>0</v>
      </c>
      <c r="N300" s="40">
        <f t="shared" si="21"/>
        <v>0</v>
      </c>
      <c r="O300" s="40">
        <f t="shared" si="22"/>
        <v>0</v>
      </c>
      <c r="P300" s="40">
        <f t="shared" si="23"/>
        <v>0</v>
      </c>
    </row>
    <row r="301" spans="2:16" ht="18.75">
      <c r="B301" s="7" t="s">
        <v>542</v>
      </c>
      <c r="C301" s="20">
        <v>45680</v>
      </c>
      <c r="D301" s="26" t="s">
        <v>1146</v>
      </c>
      <c r="E301" s="63" t="s">
        <v>753</v>
      </c>
      <c r="F301" s="6" t="s">
        <v>1147</v>
      </c>
      <c r="G301" s="8" t="s">
        <v>19</v>
      </c>
      <c r="H301" s="6"/>
      <c r="I301" s="6"/>
      <c r="J301" s="6"/>
      <c r="K301" s="6"/>
      <c r="L301" s="6"/>
      <c r="M301" s="40">
        <f t="shared" si="20"/>
        <v>0</v>
      </c>
      <c r="N301" s="40">
        <f t="shared" si="21"/>
        <v>0</v>
      </c>
      <c r="O301" s="40">
        <f t="shared" si="22"/>
        <v>0</v>
      </c>
      <c r="P301" s="40">
        <f t="shared" si="23"/>
        <v>0</v>
      </c>
    </row>
    <row r="302" spans="2:16" ht="18.75">
      <c r="B302" s="7" t="s">
        <v>542</v>
      </c>
      <c r="C302" s="20">
        <v>45680</v>
      </c>
      <c r="D302" s="26" t="s">
        <v>1148</v>
      </c>
      <c r="E302" s="63" t="s">
        <v>760</v>
      </c>
      <c r="F302" s="6" t="s">
        <v>101</v>
      </c>
      <c r="G302" s="8" t="s">
        <v>16</v>
      </c>
      <c r="H302" s="20">
        <v>45684</v>
      </c>
      <c r="I302" s="12">
        <v>45688</v>
      </c>
      <c r="J302" s="20">
        <v>45771</v>
      </c>
      <c r="K302" s="6"/>
      <c r="L302" s="6"/>
      <c r="M302" s="40">
        <f t="shared" si="20"/>
        <v>4</v>
      </c>
      <c r="N302" s="40">
        <f t="shared" si="21"/>
        <v>4</v>
      </c>
      <c r="O302" s="40">
        <f t="shared" si="22"/>
        <v>83</v>
      </c>
      <c r="P302" s="40">
        <f t="shared" si="23"/>
        <v>91</v>
      </c>
    </row>
    <row r="303" spans="2:16" ht="18.75">
      <c r="B303" s="7" t="s">
        <v>542</v>
      </c>
      <c r="C303" s="20">
        <v>45680</v>
      </c>
      <c r="D303" s="26" t="s">
        <v>1149</v>
      </c>
      <c r="E303" s="63" t="s">
        <v>763</v>
      </c>
      <c r="F303" s="6" t="s">
        <v>1150</v>
      </c>
      <c r="G303" s="8" t="s">
        <v>19</v>
      </c>
      <c r="H303" s="6"/>
      <c r="I303" s="6"/>
      <c r="J303" s="6"/>
      <c r="K303" s="6"/>
      <c r="L303" s="6"/>
      <c r="M303" s="40">
        <f t="shared" si="20"/>
        <v>0</v>
      </c>
      <c r="N303" s="40">
        <f t="shared" si="21"/>
        <v>0</v>
      </c>
      <c r="O303" s="40">
        <f t="shared" si="22"/>
        <v>0</v>
      </c>
      <c r="P303" s="40">
        <f t="shared" si="23"/>
        <v>0</v>
      </c>
    </row>
    <row r="304" spans="2:16" ht="18.75">
      <c r="B304" s="7" t="s">
        <v>542</v>
      </c>
      <c r="C304" s="20">
        <v>45687</v>
      </c>
      <c r="D304" s="26" t="s">
        <v>1151</v>
      </c>
      <c r="E304" s="63" t="s">
        <v>753</v>
      </c>
      <c r="F304" s="6" t="s">
        <v>101</v>
      </c>
      <c r="G304" s="8" t="s">
        <v>16</v>
      </c>
      <c r="H304" s="12">
        <v>45694</v>
      </c>
      <c r="I304" s="12">
        <v>45712</v>
      </c>
      <c r="J304" s="20">
        <v>45728</v>
      </c>
      <c r="K304" s="6"/>
      <c r="L304" s="6"/>
      <c r="M304" s="40">
        <f t="shared" si="20"/>
        <v>7</v>
      </c>
      <c r="N304" s="40">
        <f t="shared" si="21"/>
        <v>18</v>
      </c>
      <c r="O304" s="40">
        <f t="shared" si="22"/>
        <v>16</v>
      </c>
      <c r="P304" s="40">
        <f t="shared" si="23"/>
        <v>41</v>
      </c>
    </row>
    <row r="305" spans="2:16" ht="18.75">
      <c r="B305" s="7" t="s">
        <v>542</v>
      </c>
      <c r="C305" s="20">
        <v>45687</v>
      </c>
      <c r="D305" s="26" t="s">
        <v>1152</v>
      </c>
      <c r="E305" s="63" t="s">
        <v>755</v>
      </c>
      <c r="F305" s="6" t="s">
        <v>101</v>
      </c>
      <c r="G305" s="8" t="s">
        <v>19</v>
      </c>
      <c r="H305" s="6"/>
      <c r="I305" s="6"/>
      <c r="J305" s="6"/>
      <c r="K305" s="6"/>
      <c r="L305" s="6"/>
      <c r="M305" s="40">
        <f t="shared" si="20"/>
        <v>0</v>
      </c>
      <c r="N305" s="40">
        <f t="shared" si="21"/>
        <v>0</v>
      </c>
      <c r="O305" s="40">
        <f t="shared" si="22"/>
        <v>0</v>
      </c>
      <c r="P305" s="40">
        <f t="shared" si="23"/>
        <v>0</v>
      </c>
    </row>
    <row r="306" spans="2:16" ht="18.75">
      <c r="B306" s="7" t="s">
        <v>542</v>
      </c>
      <c r="C306" s="20">
        <v>45687</v>
      </c>
      <c r="D306" s="26" t="s">
        <v>1153</v>
      </c>
      <c r="E306" s="63" t="s">
        <v>760</v>
      </c>
      <c r="F306" s="6" t="s">
        <v>101</v>
      </c>
      <c r="G306" s="8" t="s">
        <v>19</v>
      </c>
      <c r="H306" s="6"/>
      <c r="I306" s="6"/>
      <c r="J306" s="6"/>
      <c r="K306" s="6"/>
      <c r="L306" s="6"/>
      <c r="M306" s="40">
        <f t="shared" si="20"/>
        <v>0</v>
      </c>
      <c r="N306" s="40">
        <f t="shared" si="21"/>
        <v>0</v>
      </c>
      <c r="O306" s="40">
        <f t="shared" si="22"/>
        <v>0</v>
      </c>
      <c r="P306" s="40">
        <f t="shared" si="23"/>
        <v>0</v>
      </c>
    </row>
    <row r="307" spans="2:16" ht="18.75">
      <c r="B307" s="7" t="s">
        <v>542</v>
      </c>
      <c r="C307" s="20">
        <v>45687</v>
      </c>
      <c r="D307" s="26" t="s">
        <v>1154</v>
      </c>
      <c r="E307" s="63" t="s">
        <v>757</v>
      </c>
      <c r="F307" s="6" t="s">
        <v>1155</v>
      </c>
      <c r="G307" s="8" t="s">
        <v>16</v>
      </c>
      <c r="H307" s="20">
        <v>45688</v>
      </c>
      <c r="I307" s="12">
        <v>45705</v>
      </c>
      <c r="J307" s="12">
        <v>45730</v>
      </c>
      <c r="K307" s="6"/>
      <c r="L307" s="6"/>
      <c r="M307" s="40">
        <f t="shared" si="20"/>
        <v>1</v>
      </c>
      <c r="N307" s="40">
        <f t="shared" si="21"/>
        <v>17</v>
      </c>
      <c r="O307" s="40">
        <f t="shared" si="22"/>
        <v>25</v>
      </c>
      <c r="P307" s="40">
        <f t="shared" si="23"/>
        <v>43</v>
      </c>
    </row>
    <row r="308" spans="2:16" ht="18.75">
      <c r="B308" s="7" t="s">
        <v>542</v>
      </c>
      <c r="C308" s="20">
        <v>45687</v>
      </c>
      <c r="D308" s="26" t="s">
        <v>1156</v>
      </c>
      <c r="E308" s="63" t="s">
        <v>760</v>
      </c>
      <c r="F308" s="6" t="s">
        <v>101</v>
      </c>
      <c r="G308" s="8" t="s">
        <v>19</v>
      </c>
      <c r="H308" s="6"/>
      <c r="I308" s="6"/>
      <c r="J308" s="6"/>
      <c r="K308" s="6"/>
      <c r="L308" s="6"/>
      <c r="M308" s="40">
        <f t="shared" si="20"/>
        <v>0</v>
      </c>
      <c r="N308" s="40">
        <f t="shared" si="21"/>
        <v>0</v>
      </c>
      <c r="O308" s="40">
        <f t="shared" si="22"/>
        <v>0</v>
      </c>
      <c r="P308" s="40">
        <f t="shared" si="23"/>
        <v>0</v>
      </c>
    </row>
    <row r="309" spans="2:16" ht="18.75">
      <c r="B309" s="7" t="s">
        <v>24</v>
      </c>
      <c r="C309" s="20">
        <v>45694</v>
      </c>
      <c r="D309" s="26" t="s">
        <v>1157</v>
      </c>
      <c r="E309" s="63" t="s">
        <v>755</v>
      </c>
      <c r="F309" s="6" t="s">
        <v>109</v>
      </c>
      <c r="G309" s="8" t="s">
        <v>19</v>
      </c>
      <c r="H309" s="6"/>
      <c r="I309" s="6"/>
      <c r="J309" s="6"/>
      <c r="K309" s="6"/>
      <c r="L309" s="6"/>
      <c r="M309" s="40">
        <f t="shared" si="20"/>
        <v>0</v>
      </c>
      <c r="N309" s="40">
        <f t="shared" si="21"/>
        <v>0</v>
      </c>
      <c r="O309" s="40">
        <f t="shared" si="22"/>
        <v>0</v>
      </c>
      <c r="P309" s="40">
        <f t="shared" si="23"/>
        <v>0</v>
      </c>
    </row>
    <row r="310" spans="2:16" ht="18.75">
      <c r="B310" s="7" t="s">
        <v>24</v>
      </c>
      <c r="C310" s="20">
        <v>45701</v>
      </c>
      <c r="D310" s="26" t="s">
        <v>1158</v>
      </c>
      <c r="E310" s="63" t="s">
        <v>757</v>
      </c>
      <c r="F310" s="6" t="s">
        <v>1159</v>
      </c>
      <c r="G310" s="8" t="s">
        <v>19</v>
      </c>
      <c r="H310" s="6"/>
      <c r="I310" s="6"/>
      <c r="J310" s="6"/>
      <c r="K310" s="6"/>
      <c r="L310" s="6"/>
      <c r="M310" s="40">
        <f t="shared" si="20"/>
        <v>0</v>
      </c>
      <c r="N310" s="40">
        <f t="shared" si="21"/>
        <v>0</v>
      </c>
      <c r="O310" s="40">
        <f t="shared" si="22"/>
        <v>0</v>
      </c>
      <c r="P310" s="40">
        <f t="shared" si="23"/>
        <v>0</v>
      </c>
    </row>
    <row r="311" spans="2:16" ht="18.75">
      <c r="B311" s="7" t="s">
        <v>24</v>
      </c>
      <c r="C311" s="20">
        <v>45708</v>
      </c>
      <c r="D311" s="26" t="s">
        <v>1160</v>
      </c>
      <c r="E311" s="63" t="s">
        <v>760</v>
      </c>
      <c r="F311" s="6" t="s">
        <v>1161</v>
      </c>
      <c r="G311" s="8" t="s">
        <v>19</v>
      </c>
      <c r="H311" s="6"/>
      <c r="I311" s="6"/>
      <c r="J311" s="6"/>
      <c r="K311" s="6"/>
      <c r="L311" s="6"/>
      <c r="M311" s="40">
        <f t="shared" si="20"/>
        <v>0</v>
      </c>
      <c r="N311" s="40">
        <f t="shared" si="21"/>
        <v>0</v>
      </c>
      <c r="O311" s="40">
        <f t="shared" si="22"/>
        <v>0</v>
      </c>
      <c r="P311" s="40">
        <f t="shared" si="23"/>
        <v>0</v>
      </c>
    </row>
    <row r="312" spans="2:16" ht="18.75">
      <c r="B312" s="7" t="s">
        <v>24</v>
      </c>
      <c r="C312" s="20">
        <v>45715</v>
      </c>
      <c r="D312" s="26" t="s">
        <v>1162</v>
      </c>
      <c r="E312" s="63" t="s">
        <v>757</v>
      </c>
      <c r="F312" s="6" t="s">
        <v>109</v>
      </c>
      <c r="G312" s="8" t="s">
        <v>19</v>
      </c>
      <c r="H312" s="6"/>
      <c r="I312" s="6"/>
      <c r="J312" s="6"/>
      <c r="K312" s="6"/>
      <c r="L312" s="6"/>
      <c r="M312" s="40">
        <f t="shared" si="20"/>
        <v>0</v>
      </c>
      <c r="N312" s="40">
        <f t="shared" si="21"/>
        <v>0</v>
      </c>
      <c r="O312" s="40">
        <f t="shared" si="22"/>
        <v>0</v>
      </c>
      <c r="P312" s="40">
        <f t="shared" si="23"/>
        <v>0</v>
      </c>
    </row>
    <row r="313" spans="2:16" ht="18.75">
      <c r="B313" s="7" t="s">
        <v>568</v>
      </c>
      <c r="C313" s="20">
        <v>45729</v>
      </c>
      <c r="D313" s="26" t="s">
        <v>1163</v>
      </c>
      <c r="E313" s="63" t="s">
        <v>760</v>
      </c>
      <c r="F313" s="6" t="s">
        <v>1164</v>
      </c>
      <c r="G313" s="8" t="s">
        <v>16</v>
      </c>
      <c r="H313" s="20">
        <v>45733</v>
      </c>
      <c r="I313" s="12">
        <v>45747</v>
      </c>
      <c r="J313" s="20">
        <v>45772</v>
      </c>
      <c r="K313" s="6"/>
      <c r="L313" s="6"/>
      <c r="M313" s="40">
        <f t="shared" si="20"/>
        <v>4</v>
      </c>
      <c r="N313" s="40">
        <f t="shared" si="21"/>
        <v>14</v>
      </c>
      <c r="O313" s="40">
        <f t="shared" si="22"/>
        <v>25</v>
      </c>
      <c r="P313" s="40">
        <f t="shared" si="23"/>
        <v>43</v>
      </c>
    </row>
    <row r="314" spans="2:16" ht="18.75">
      <c r="B314" s="7" t="s">
        <v>568</v>
      </c>
      <c r="C314" s="20">
        <v>45736</v>
      </c>
      <c r="D314" s="26" t="s">
        <v>1165</v>
      </c>
      <c r="E314" s="63" t="s">
        <v>757</v>
      </c>
      <c r="F314" s="6" t="s">
        <v>109</v>
      </c>
      <c r="G314" s="8" t="s">
        <v>19</v>
      </c>
      <c r="H314" s="6"/>
      <c r="I314" s="6"/>
      <c r="J314" s="6"/>
      <c r="K314" s="6"/>
      <c r="L314" s="6"/>
      <c r="M314" s="40">
        <f t="shared" si="20"/>
        <v>0</v>
      </c>
      <c r="N314" s="40">
        <f t="shared" si="21"/>
        <v>0</v>
      </c>
      <c r="O314" s="40">
        <f t="shared" si="22"/>
        <v>0</v>
      </c>
      <c r="P314" s="40">
        <f t="shared" si="23"/>
        <v>0</v>
      </c>
    </row>
    <row r="315" spans="2:16" ht="18.75">
      <c r="B315" s="7" t="s">
        <v>568</v>
      </c>
      <c r="C315" s="20">
        <v>45736</v>
      </c>
      <c r="D315" s="26" t="s">
        <v>1166</v>
      </c>
      <c r="E315" s="63" t="s">
        <v>763</v>
      </c>
      <c r="F315" s="6" t="s">
        <v>109</v>
      </c>
      <c r="G315" s="8" t="s">
        <v>16</v>
      </c>
      <c r="H315" s="20">
        <v>45744</v>
      </c>
      <c r="I315" s="6"/>
      <c r="J315" s="6"/>
      <c r="K315" s="6" t="s">
        <v>369</v>
      </c>
      <c r="L315" s="6"/>
      <c r="M315" s="40">
        <f t="shared" si="20"/>
        <v>8</v>
      </c>
      <c r="N315" s="40">
        <f t="shared" si="21"/>
        <v>0</v>
      </c>
      <c r="O315" s="40">
        <f t="shared" si="22"/>
        <v>0</v>
      </c>
      <c r="P315" s="40">
        <f t="shared" si="23"/>
        <v>0</v>
      </c>
    </row>
    <row r="316" spans="2:16" ht="18.75">
      <c r="B316" s="27" t="s">
        <v>568</v>
      </c>
      <c r="C316" s="98">
        <v>45736</v>
      </c>
      <c r="D316" s="95" t="s">
        <v>1167</v>
      </c>
      <c r="E316" s="96" t="s">
        <v>771</v>
      </c>
      <c r="F316" s="29" t="s">
        <v>1168</v>
      </c>
      <c r="G316" s="97" t="s">
        <v>16</v>
      </c>
      <c r="H316" s="98">
        <v>45754</v>
      </c>
      <c r="I316" s="62">
        <v>45768</v>
      </c>
      <c r="J316" s="98">
        <v>45859</v>
      </c>
      <c r="K316" s="29"/>
      <c r="L316" s="29"/>
      <c r="M316" s="40">
        <f t="shared" si="20"/>
        <v>18</v>
      </c>
      <c r="N316" s="40">
        <f t="shared" si="21"/>
        <v>14</v>
      </c>
      <c r="O316" s="40">
        <f t="shared" si="22"/>
        <v>91</v>
      </c>
      <c r="P316" s="40">
        <f t="shared" si="23"/>
        <v>123</v>
      </c>
    </row>
    <row r="317" spans="2:16" ht="18.75">
      <c r="B317" s="148" t="s">
        <v>568</v>
      </c>
      <c r="C317" s="157">
        <v>45743</v>
      </c>
      <c r="D317" s="158" t="s">
        <v>1169</v>
      </c>
      <c r="E317" s="164" t="s">
        <v>771</v>
      </c>
      <c r="F317" s="160" t="s">
        <v>1170</v>
      </c>
      <c r="G317" s="161" t="s">
        <v>16</v>
      </c>
      <c r="H317" s="157">
        <v>45775</v>
      </c>
      <c r="I317" s="163">
        <v>45845</v>
      </c>
      <c r="J317" s="98">
        <v>45859</v>
      </c>
      <c r="K317" s="160"/>
      <c r="L317" s="160"/>
      <c r="M317" s="40">
        <f t="shared" si="20"/>
        <v>32</v>
      </c>
      <c r="N317" s="40">
        <f t="shared" si="21"/>
        <v>70</v>
      </c>
      <c r="O317" s="40">
        <f t="shared" si="22"/>
        <v>14</v>
      </c>
      <c r="P317" s="40">
        <f t="shared" si="23"/>
        <v>116</v>
      </c>
    </row>
    <row r="318" spans="2:16" ht="18.75">
      <c r="B318" s="148" t="s">
        <v>568</v>
      </c>
      <c r="C318" s="157">
        <v>45743</v>
      </c>
      <c r="D318" s="158" t="s">
        <v>1171</v>
      </c>
      <c r="E318" s="164" t="s">
        <v>771</v>
      </c>
      <c r="F318" s="160" t="s">
        <v>1172</v>
      </c>
      <c r="G318" s="161" t="s">
        <v>16</v>
      </c>
      <c r="H318" s="157">
        <v>45747</v>
      </c>
      <c r="I318" s="163">
        <v>45768</v>
      </c>
      <c r="J318" s="160"/>
      <c r="K318" s="160" t="s">
        <v>1173</v>
      </c>
      <c r="L318" s="160"/>
      <c r="M318" s="40">
        <f t="shared" si="20"/>
        <v>4</v>
      </c>
      <c r="N318" s="40">
        <f t="shared" si="21"/>
        <v>21</v>
      </c>
      <c r="O318" s="40">
        <f t="shared" si="22"/>
        <v>0</v>
      </c>
      <c r="P318" s="40">
        <f t="shared" si="23"/>
        <v>0</v>
      </c>
    </row>
    <row r="319" spans="2:16" ht="18.75">
      <c r="B319" s="148" t="s">
        <v>568</v>
      </c>
      <c r="C319" s="157">
        <v>45743</v>
      </c>
      <c r="D319" s="158" t="s">
        <v>1174</v>
      </c>
      <c r="E319" s="164" t="s">
        <v>771</v>
      </c>
      <c r="F319" s="160" t="s">
        <v>1172</v>
      </c>
      <c r="G319" s="161" t="s">
        <v>16</v>
      </c>
      <c r="H319" s="157">
        <v>45747</v>
      </c>
      <c r="I319" s="163">
        <v>45782</v>
      </c>
      <c r="J319" s="160"/>
      <c r="K319" s="160" t="s">
        <v>1173</v>
      </c>
      <c r="L319" s="160"/>
      <c r="M319" s="40">
        <f t="shared" si="20"/>
        <v>4</v>
      </c>
      <c r="N319" s="40">
        <f t="shared" si="21"/>
        <v>35</v>
      </c>
      <c r="O319" s="40">
        <f t="shared" si="22"/>
        <v>0</v>
      </c>
      <c r="P319" s="40">
        <f t="shared" si="23"/>
        <v>0</v>
      </c>
    </row>
    <row r="320" spans="2:16" ht="18.75">
      <c r="B320" s="148" t="s">
        <v>568</v>
      </c>
      <c r="C320" s="157">
        <v>45744</v>
      </c>
      <c r="D320" s="158" t="s">
        <v>1175</v>
      </c>
      <c r="E320" s="164" t="s">
        <v>760</v>
      </c>
      <c r="F320" s="160" t="s">
        <v>1176</v>
      </c>
      <c r="G320" s="161" t="s">
        <v>16</v>
      </c>
      <c r="H320" s="157">
        <v>45755</v>
      </c>
      <c r="I320" s="163">
        <v>45817</v>
      </c>
      <c r="J320" s="157">
        <v>45853</v>
      </c>
      <c r="K320" s="160"/>
      <c r="L320" s="160"/>
      <c r="M320" s="40">
        <f t="shared" ref="M320" si="24">IF(H320&gt;0,H320-C320,0)</f>
        <v>11</v>
      </c>
      <c r="N320" s="40">
        <f t="shared" ref="N320" si="25">IF(I320&gt;0,I320-H320,0)</f>
        <v>62</v>
      </c>
      <c r="O320" s="40">
        <f t="shared" ref="O320" si="26">IF(J320&gt;0,J320-I320,0)</f>
        <v>36</v>
      </c>
      <c r="P320" s="40">
        <f t="shared" ref="P320" si="27">IF(J320&gt;0,J320-C320,0)</f>
        <v>109</v>
      </c>
    </row>
    <row r="321" spans="2:13" ht="18.75">
      <c r="B321" s="148" t="s">
        <v>1177</v>
      </c>
      <c r="C321" s="157">
        <v>45750</v>
      </c>
      <c r="D321" s="158" t="s">
        <v>1178</v>
      </c>
      <c r="E321" s="164" t="s">
        <v>757</v>
      </c>
      <c r="F321" s="160" t="s">
        <v>103</v>
      </c>
      <c r="G321" s="161" t="s">
        <v>16</v>
      </c>
      <c r="H321" s="157">
        <v>45754</v>
      </c>
      <c r="I321" s="163">
        <v>45757</v>
      </c>
      <c r="J321" s="157">
        <v>45789</v>
      </c>
      <c r="K321" s="160"/>
      <c r="L321" s="160"/>
    </row>
    <row r="322" spans="2:13" ht="18.75">
      <c r="B322" s="148" t="s">
        <v>1177</v>
      </c>
      <c r="C322" s="157">
        <v>45750</v>
      </c>
      <c r="D322" s="158" t="s">
        <v>1179</v>
      </c>
      <c r="E322" s="164" t="s">
        <v>760</v>
      </c>
      <c r="F322" s="160" t="s">
        <v>103</v>
      </c>
      <c r="G322" s="161" t="s">
        <v>16</v>
      </c>
      <c r="H322" s="157">
        <v>45754</v>
      </c>
      <c r="I322" s="160"/>
      <c r="J322" s="160"/>
      <c r="K322" s="160" t="s">
        <v>1180</v>
      </c>
      <c r="L322" s="160"/>
    </row>
    <row r="323" spans="2:13" ht="18.75">
      <c r="B323" s="148" t="s">
        <v>1177</v>
      </c>
      <c r="C323" s="157">
        <v>45750</v>
      </c>
      <c r="D323" s="158" t="s">
        <v>1181</v>
      </c>
      <c r="E323" s="164" t="s">
        <v>757</v>
      </c>
      <c r="F323" s="160" t="s">
        <v>103</v>
      </c>
      <c r="G323" s="161" t="s">
        <v>19</v>
      </c>
      <c r="H323" s="160"/>
      <c r="I323" s="160"/>
      <c r="J323" s="160"/>
      <c r="K323" s="160"/>
      <c r="L323" s="160"/>
    </row>
    <row r="324" spans="2:13" ht="18.75">
      <c r="B324" s="152" t="s">
        <v>1177</v>
      </c>
      <c r="C324" s="165">
        <v>45750</v>
      </c>
      <c r="D324" s="166" t="s">
        <v>1182</v>
      </c>
      <c r="E324" s="167" t="s">
        <v>753</v>
      </c>
      <c r="F324" s="168" t="s">
        <v>103</v>
      </c>
      <c r="G324" s="169" t="s">
        <v>16</v>
      </c>
      <c r="H324" s="165">
        <v>45796</v>
      </c>
      <c r="I324" s="171">
        <v>45811</v>
      </c>
      <c r="J324" s="168"/>
      <c r="K324" s="168" t="s">
        <v>51</v>
      </c>
      <c r="L324" s="168"/>
    </row>
    <row r="325" spans="2:13" ht="18.75">
      <c r="B325" s="148" t="s">
        <v>1177</v>
      </c>
      <c r="C325" s="157">
        <v>45750</v>
      </c>
      <c r="D325" s="158" t="s">
        <v>1183</v>
      </c>
      <c r="E325" s="164" t="s">
        <v>760</v>
      </c>
      <c r="F325" s="160" t="s">
        <v>101</v>
      </c>
      <c r="G325" s="161" t="s">
        <v>16</v>
      </c>
      <c r="H325" s="157">
        <v>45825</v>
      </c>
      <c r="I325" s="160"/>
      <c r="J325" s="160"/>
      <c r="K325" s="160" t="s">
        <v>583</v>
      </c>
      <c r="L325" s="160"/>
      <c r="M325" s="160"/>
    </row>
    <row r="326" spans="2:13" ht="18.75">
      <c r="B326" s="148" t="s">
        <v>1177</v>
      </c>
      <c r="C326" s="157">
        <v>45757</v>
      </c>
      <c r="D326" s="158" t="s">
        <v>1184</v>
      </c>
      <c r="E326" s="164" t="s">
        <v>757</v>
      </c>
      <c r="F326" s="160" t="s">
        <v>103</v>
      </c>
      <c r="G326" s="161" t="s">
        <v>19</v>
      </c>
      <c r="H326" s="160"/>
      <c r="I326" s="160"/>
      <c r="J326" s="160"/>
      <c r="K326" s="160"/>
      <c r="L326" s="160"/>
      <c r="M326" s="160"/>
    </row>
    <row r="327" spans="2:13" ht="18.75">
      <c r="B327" s="148" t="s">
        <v>1177</v>
      </c>
      <c r="C327" s="157">
        <v>45757</v>
      </c>
      <c r="D327" s="158" t="s">
        <v>1185</v>
      </c>
      <c r="E327" s="164" t="s">
        <v>760</v>
      </c>
      <c r="F327" s="160" t="s">
        <v>103</v>
      </c>
      <c r="G327" s="161" t="s">
        <v>16</v>
      </c>
      <c r="H327" s="163">
        <v>45758</v>
      </c>
      <c r="I327" s="160"/>
      <c r="J327" s="160"/>
      <c r="K327" s="160" t="s">
        <v>369</v>
      </c>
      <c r="L327" s="160"/>
      <c r="M327" s="160"/>
    </row>
    <row r="328" spans="2:13" ht="18.75">
      <c r="B328" s="148" t="s">
        <v>1177</v>
      </c>
      <c r="C328" s="157">
        <v>45771</v>
      </c>
      <c r="D328" s="158" t="s">
        <v>1186</v>
      </c>
      <c r="E328" s="164" t="s">
        <v>771</v>
      </c>
      <c r="F328" s="160" t="s">
        <v>103</v>
      </c>
      <c r="G328" s="161" t="s">
        <v>16</v>
      </c>
      <c r="H328" s="157">
        <v>45789</v>
      </c>
      <c r="I328" s="160"/>
      <c r="J328" s="160"/>
      <c r="K328" s="160" t="s">
        <v>1187</v>
      </c>
      <c r="L328" s="160"/>
      <c r="M328" s="160"/>
    </row>
    <row r="329" spans="2:13" ht="18.75">
      <c r="B329" s="148" t="s">
        <v>1177</v>
      </c>
      <c r="C329" s="157">
        <v>45771</v>
      </c>
      <c r="D329" s="158" t="s">
        <v>1188</v>
      </c>
      <c r="E329" s="164" t="s">
        <v>757</v>
      </c>
      <c r="F329" s="160" t="s">
        <v>103</v>
      </c>
      <c r="G329" s="161" t="s">
        <v>19</v>
      </c>
      <c r="H329" s="160"/>
      <c r="I329" s="160"/>
      <c r="J329" s="160"/>
      <c r="K329" s="160"/>
      <c r="L329" s="160"/>
      <c r="M329" s="160"/>
    </row>
    <row r="330" spans="2:13" ht="18.75">
      <c r="B330" s="148" t="s">
        <v>1177</v>
      </c>
      <c r="C330" s="157">
        <v>45777</v>
      </c>
      <c r="D330" s="158" t="s">
        <v>1189</v>
      </c>
      <c r="E330" s="164" t="s">
        <v>753</v>
      </c>
      <c r="F330" s="160" t="s">
        <v>1190</v>
      </c>
      <c r="G330" s="161" t="s">
        <v>19</v>
      </c>
      <c r="H330" s="160"/>
      <c r="I330" s="160"/>
      <c r="J330" s="160"/>
      <c r="K330" s="160" t="s">
        <v>276</v>
      </c>
      <c r="L330" s="160"/>
      <c r="M330" s="160"/>
    </row>
    <row r="331" spans="2:13" ht="18.75">
      <c r="B331" s="148" t="s">
        <v>599</v>
      </c>
      <c r="C331" s="157">
        <v>45785</v>
      </c>
      <c r="D331" s="166" t="s">
        <v>1191</v>
      </c>
      <c r="E331" s="164" t="s">
        <v>763</v>
      </c>
      <c r="F331" s="160" t="s">
        <v>1192</v>
      </c>
      <c r="G331" s="161" t="s">
        <v>16</v>
      </c>
      <c r="H331" s="163">
        <v>45791</v>
      </c>
      <c r="I331" s="163">
        <v>45817</v>
      </c>
      <c r="J331" s="157">
        <v>45859</v>
      </c>
      <c r="K331" s="160"/>
      <c r="L331" s="160"/>
      <c r="M331" s="160"/>
    </row>
    <row r="332" spans="2:13" ht="18.75">
      <c r="B332" s="148" t="s">
        <v>599</v>
      </c>
      <c r="C332" s="172">
        <v>45785</v>
      </c>
      <c r="D332" s="158" t="s">
        <v>1193</v>
      </c>
      <c r="E332" s="173" t="s">
        <v>760</v>
      </c>
      <c r="F332" s="160" t="s">
        <v>101</v>
      </c>
      <c r="G332" s="161" t="s">
        <v>16</v>
      </c>
      <c r="H332" s="157">
        <v>45824</v>
      </c>
      <c r="I332" s="163">
        <v>45873</v>
      </c>
      <c r="J332" s="157">
        <v>45901</v>
      </c>
      <c r="K332" s="160"/>
      <c r="L332" s="160"/>
      <c r="M332" s="160"/>
    </row>
    <row r="333" spans="2:13" ht="18.75">
      <c r="B333" s="148" t="s">
        <v>599</v>
      </c>
      <c r="C333" s="157">
        <v>45785</v>
      </c>
      <c r="D333" s="174" t="s">
        <v>1194</v>
      </c>
      <c r="E333" s="164" t="s">
        <v>760</v>
      </c>
      <c r="F333" s="160" t="s">
        <v>109</v>
      </c>
      <c r="G333" s="161" t="s">
        <v>19</v>
      </c>
      <c r="H333" s="160"/>
      <c r="I333" s="160"/>
      <c r="J333" s="160"/>
      <c r="K333" s="160"/>
      <c r="L333" s="160"/>
      <c r="M333" s="160"/>
    </row>
    <row r="334" spans="2:13" ht="18.75">
      <c r="B334" s="148" t="s">
        <v>599</v>
      </c>
      <c r="C334" s="157">
        <v>45785</v>
      </c>
      <c r="D334" s="158" t="s">
        <v>1195</v>
      </c>
      <c r="E334" s="164" t="s">
        <v>753</v>
      </c>
      <c r="F334" s="160" t="s">
        <v>222</v>
      </c>
      <c r="G334" s="161" t="s">
        <v>16</v>
      </c>
      <c r="H334" s="157">
        <v>45874</v>
      </c>
      <c r="I334" s="163">
        <v>45888</v>
      </c>
      <c r="J334" s="160"/>
      <c r="K334" s="160" t="s">
        <v>51</v>
      </c>
      <c r="L334" s="160"/>
      <c r="M334" s="160"/>
    </row>
    <row r="335" spans="2:13" ht="18.75">
      <c r="B335" s="148" t="s">
        <v>599</v>
      </c>
      <c r="C335" s="157">
        <v>45785</v>
      </c>
      <c r="D335" s="158" t="s">
        <v>1196</v>
      </c>
      <c r="E335" s="164" t="s">
        <v>763</v>
      </c>
      <c r="F335" s="160" t="s">
        <v>222</v>
      </c>
      <c r="G335" s="161" t="s">
        <v>16</v>
      </c>
      <c r="H335" s="157">
        <v>45874</v>
      </c>
      <c r="I335" s="163">
        <v>45888</v>
      </c>
      <c r="J335" s="160"/>
      <c r="K335" s="160" t="s">
        <v>51</v>
      </c>
      <c r="L335" s="160"/>
      <c r="M335" s="160"/>
    </row>
    <row r="336" spans="2:13" ht="18.75">
      <c r="B336" s="148" t="s">
        <v>599</v>
      </c>
      <c r="C336" s="157">
        <v>45785</v>
      </c>
      <c r="D336" s="158" t="s">
        <v>1197</v>
      </c>
      <c r="E336" s="164" t="s">
        <v>763</v>
      </c>
      <c r="F336" s="160" t="s">
        <v>1198</v>
      </c>
      <c r="G336" s="161" t="s">
        <v>19</v>
      </c>
      <c r="H336" s="160"/>
      <c r="I336" s="160"/>
      <c r="J336" s="160"/>
      <c r="K336" s="160"/>
      <c r="L336" s="160"/>
      <c r="M336" s="160"/>
    </row>
    <row r="337" spans="2:13" ht="18.75">
      <c r="B337" s="148" t="s">
        <v>599</v>
      </c>
      <c r="C337" s="157">
        <v>45789</v>
      </c>
      <c r="D337" s="158" t="s">
        <v>1199</v>
      </c>
      <c r="E337" s="164" t="s">
        <v>760</v>
      </c>
      <c r="F337" s="160"/>
      <c r="G337" s="161" t="s">
        <v>19</v>
      </c>
      <c r="H337" s="160"/>
      <c r="I337" s="160"/>
      <c r="J337" s="160"/>
      <c r="K337" s="160" t="s">
        <v>276</v>
      </c>
      <c r="L337" s="160"/>
      <c r="M337" s="160"/>
    </row>
    <row r="338" spans="2:13" ht="18.75">
      <c r="B338" s="148" t="s">
        <v>599</v>
      </c>
      <c r="C338" s="157">
        <v>45792</v>
      </c>
      <c r="D338" s="158" t="s">
        <v>1200</v>
      </c>
      <c r="E338" s="164" t="s">
        <v>771</v>
      </c>
      <c r="F338" s="160" t="s">
        <v>1201</v>
      </c>
      <c r="G338" s="161" t="s">
        <v>16</v>
      </c>
      <c r="H338" s="157">
        <v>45866</v>
      </c>
      <c r="I338" s="163">
        <v>45873</v>
      </c>
      <c r="J338" s="160"/>
      <c r="K338" s="160" t="s">
        <v>465</v>
      </c>
      <c r="L338" s="160"/>
      <c r="M338" s="160"/>
    </row>
    <row r="339" spans="2:13" ht="18.75">
      <c r="B339" s="148" t="s">
        <v>599</v>
      </c>
      <c r="C339" s="157">
        <v>45792</v>
      </c>
      <c r="D339" s="158" t="s">
        <v>1202</v>
      </c>
      <c r="E339" s="164" t="s">
        <v>753</v>
      </c>
      <c r="F339" s="160" t="s">
        <v>1203</v>
      </c>
      <c r="G339" s="161" t="s">
        <v>19</v>
      </c>
      <c r="H339" s="160"/>
      <c r="I339" s="160"/>
      <c r="J339" s="160"/>
      <c r="K339" s="160"/>
      <c r="L339" s="160"/>
      <c r="M339" s="160"/>
    </row>
    <row r="340" spans="2:13" ht="18.75">
      <c r="B340" s="148" t="s">
        <v>599</v>
      </c>
      <c r="C340" s="157">
        <v>45799</v>
      </c>
      <c r="D340" s="158" t="s">
        <v>1204</v>
      </c>
      <c r="E340" s="164" t="s">
        <v>753</v>
      </c>
      <c r="F340" s="160" t="s">
        <v>1205</v>
      </c>
      <c r="G340" s="161" t="s">
        <v>19</v>
      </c>
      <c r="H340" s="160"/>
      <c r="I340" s="160"/>
      <c r="J340" s="160"/>
      <c r="K340" s="161"/>
      <c r="L340" s="160"/>
      <c r="M340" s="160"/>
    </row>
    <row r="341" spans="2:13" ht="18.75">
      <c r="B341" s="148" t="s">
        <v>599</v>
      </c>
      <c r="C341" s="157">
        <v>45806</v>
      </c>
      <c r="D341" s="158" t="s">
        <v>1206</v>
      </c>
      <c r="E341" s="164" t="s">
        <v>760</v>
      </c>
      <c r="F341" s="160" t="s">
        <v>1207</v>
      </c>
      <c r="G341" s="161" t="s">
        <v>19</v>
      </c>
      <c r="H341" s="160"/>
      <c r="I341" s="160"/>
      <c r="J341" s="160"/>
      <c r="K341" s="160"/>
      <c r="L341" s="160"/>
      <c r="M341" s="160"/>
    </row>
    <row r="342" spans="2:13" ht="18.75">
      <c r="B342" s="152" t="s">
        <v>599</v>
      </c>
      <c r="C342" s="165">
        <v>45806</v>
      </c>
      <c r="D342" s="166" t="s">
        <v>1208</v>
      </c>
      <c r="E342" s="167" t="s">
        <v>753</v>
      </c>
      <c r="F342" s="168" t="s">
        <v>1209</v>
      </c>
      <c r="G342" s="169" t="s">
        <v>16</v>
      </c>
      <c r="H342" s="165">
        <v>45807</v>
      </c>
      <c r="I342" s="171">
        <v>45985</v>
      </c>
      <c r="J342" s="165">
        <v>46036</v>
      </c>
      <c r="K342" s="168"/>
      <c r="L342" s="168"/>
      <c r="M342" s="168"/>
    </row>
    <row r="343" spans="2:13" ht="18.75">
      <c r="B343" s="148" t="s">
        <v>57</v>
      </c>
      <c r="C343" s="157">
        <v>45813</v>
      </c>
      <c r="D343" s="158" t="s">
        <v>1210</v>
      </c>
      <c r="E343" s="164" t="s">
        <v>760</v>
      </c>
      <c r="F343" s="160" t="s">
        <v>109</v>
      </c>
      <c r="G343" s="161" t="s">
        <v>16</v>
      </c>
      <c r="H343" s="157">
        <v>45824</v>
      </c>
      <c r="I343" s="163">
        <v>45845</v>
      </c>
      <c r="J343" s="163">
        <v>45888</v>
      </c>
      <c r="K343" s="160"/>
      <c r="L343" s="160"/>
      <c r="M343" s="160"/>
    </row>
    <row r="344" spans="2:13" ht="18.75">
      <c r="B344" s="148" t="s">
        <v>57</v>
      </c>
      <c r="C344" s="157">
        <v>45813</v>
      </c>
      <c r="D344" s="158" t="s">
        <v>1211</v>
      </c>
      <c r="E344" s="164" t="s">
        <v>760</v>
      </c>
      <c r="F344" s="160" t="s">
        <v>222</v>
      </c>
      <c r="G344" s="161" t="s">
        <v>19</v>
      </c>
      <c r="H344" s="160"/>
      <c r="I344" s="160"/>
      <c r="J344" s="160"/>
      <c r="K344" s="160"/>
      <c r="L344" s="160"/>
      <c r="M344" s="160"/>
    </row>
    <row r="345" spans="2:13" s="210" customFormat="1" ht="18.75">
      <c r="B345" s="206" t="s">
        <v>57</v>
      </c>
      <c r="C345" s="207">
        <v>45820</v>
      </c>
      <c r="D345" s="166" t="s">
        <v>1212</v>
      </c>
      <c r="E345" s="167" t="s">
        <v>763</v>
      </c>
      <c r="F345" s="208" t="s">
        <v>101</v>
      </c>
      <c r="G345" s="209" t="s">
        <v>19</v>
      </c>
      <c r="H345" s="208"/>
      <c r="I345" s="208"/>
      <c r="J345" s="208"/>
      <c r="K345" s="208"/>
      <c r="L345" s="208"/>
      <c r="M345" s="208"/>
    </row>
    <row r="346" spans="2:13" s="210" customFormat="1" ht="18.75">
      <c r="B346" s="211" t="s">
        <v>57</v>
      </c>
      <c r="C346" s="212">
        <v>45820</v>
      </c>
      <c r="D346" s="158" t="s">
        <v>1213</v>
      </c>
      <c r="E346" s="164" t="s">
        <v>771</v>
      </c>
      <c r="F346" s="213" t="s">
        <v>101</v>
      </c>
      <c r="G346" s="214" t="s">
        <v>16</v>
      </c>
      <c r="H346" s="212">
        <v>45824</v>
      </c>
      <c r="I346" s="215">
        <v>45852</v>
      </c>
      <c r="J346" s="212">
        <v>45894</v>
      </c>
      <c r="K346" s="213"/>
      <c r="L346" s="213"/>
      <c r="M346" s="213"/>
    </row>
    <row r="347" spans="2:13" s="210" customFormat="1" ht="18.75">
      <c r="B347" s="216" t="s">
        <v>57</v>
      </c>
      <c r="C347" s="212">
        <v>45824</v>
      </c>
      <c r="D347" s="158" t="s">
        <v>1214</v>
      </c>
      <c r="E347" s="214" t="s">
        <v>757</v>
      </c>
      <c r="F347" s="213" t="s">
        <v>1215</v>
      </c>
      <c r="G347" s="214" t="s">
        <v>16</v>
      </c>
      <c r="H347" s="212">
        <v>45826</v>
      </c>
      <c r="I347" s="215">
        <v>45870</v>
      </c>
      <c r="J347" s="212">
        <v>45894</v>
      </c>
      <c r="K347" s="213"/>
      <c r="L347" s="213"/>
      <c r="M347" s="213"/>
    </row>
    <row r="348" spans="2:13" s="210" customFormat="1" ht="18.75">
      <c r="B348" s="211" t="s">
        <v>57</v>
      </c>
      <c r="C348" s="212">
        <v>45827</v>
      </c>
      <c r="D348" s="158" t="s">
        <v>1216</v>
      </c>
      <c r="E348" s="214" t="s">
        <v>771</v>
      </c>
      <c r="F348" s="213" t="s">
        <v>101</v>
      </c>
      <c r="G348" s="214" t="s">
        <v>19</v>
      </c>
      <c r="H348" s="213"/>
      <c r="I348" s="213"/>
      <c r="J348" s="213"/>
      <c r="K348" s="213"/>
      <c r="L348" s="213"/>
      <c r="M348" s="213"/>
    </row>
    <row r="349" spans="2:13" s="210" customFormat="1" ht="18.75">
      <c r="B349" s="211" t="s">
        <v>57</v>
      </c>
      <c r="C349" s="212">
        <v>45827</v>
      </c>
      <c r="D349" s="158" t="s">
        <v>1217</v>
      </c>
      <c r="E349" s="214" t="s">
        <v>763</v>
      </c>
      <c r="F349" s="213" t="s">
        <v>1218</v>
      </c>
      <c r="G349" s="214" t="s">
        <v>16</v>
      </c>
      <c r="H349" s="212">
        <v>45846</v>
      </c>
      <c r="I349" s="215">
        <v>45849</v>
      </c>
      <c r="J349" s="212">
        <v>45867</v>
      </c>
      <c r="K349" s="213"/>
      <c r="L349" s="213"/>
      <c r="M349" s="213"/>
    </row>
    <row r="350" spans="2:13" s="210" customFormat="1" ht="18.75">
      <c r="B350" s="211" t="s">
        <v>62</v>
      </c>
      <c r="C350" s="212">
        <v>45840</v>
      </c>
      <c r="D350" s="158" t="s">
        <v>1219</v>
      </c>
      <c r="E350" s="164" t="s">
        <v>753</v>
      </c>
      <c r="F350" s="213" t="s">
        <v>1220</v>
      </c>
      <c r="G350" s="214" t="s">
        <v>16</v>
      </c>
      <c r="H350" s="212">
        <v>45845</v>
      </c>
      <c r="I350" s="215">
        <v>45880</v>
      </c>
      <c r="J350" s="212">
        <v>45912</v>
      </c>
      <c r="K350" s="213"/>
      <c r="L350" s="213"/>
      <c r="M350" s="213"/>
    </row>
    <row r="351" spans="2:13" s="210" customFormat="1" ht="18.75">
      <c r="B351" s="206" t="s">
        <v>62</v>
      </c>
      <c r="C351" s="207">
        <v>45845</v>
      </c>
      <c r="D351" s="166" t="s">
        <v>1221</v>
      </c>
      <c r="E351" s="167" t="s">
        <v>753</v>
      </c>
      <c r="F351" s="208" t="s">
        <v>1222</v>
      </c>
      <c r="G351" s="209" t="s">
        <v>16</v>
      </c>
      <c r="H351" s="207">
        <v>45874</v>
      </c>
      <c r="I351" s="217">
        <v>45888</v>
      </c>
      <c r="J351" s="207">
        <v>45911</v>
      </c>
      <c r="K351" s="208"/>
      <c r="L351" s="208"/>
      <c r="M351" s="208"/>
    </row>
    <row r="352" spans="2:13" s="210" customFormat="1" ht="18.75">
      <c r="B352" s="211" t="s">
        <v>62</v>
      </c>
      <c r="C352" s="212">
        <v>45846</v>
      </c>
      <c r="D352" s="158" t="s">
        <v>1223</v>
      </c>
      <c r="E352" s="214" t="s">
        <v>763</v>
      </c>
      <c r="F352" s="213" t="s">
        <v>109</v>
      </c>
      <c r="G352" s="214" t="s">
        <v>19</v>
      </c>
      <c r="H352" s="213"/>
      <c r="I352" s="213"/>
      <c r="J352" s="213"/>
      <c r="K352" s="213"/>
      <c r="L352" s="213"/>
      <c r="M352" s="213"/>
    </row>
    <row r="353" spans="2:13" s="210" customFormat="1" ht="18.75">
      <c r="B353" s="211" t="s">
        <v>62</v>
      </c>
      <c r="C353" s="212">
        <v>45849</v>
      </c>
      <c r="D353" s="158" t="s">
        <v>1224</v>
      </c>
      <c r="E353" s="214" t="s">
        <v>760</v>
      </c>
      <c r="F353" s="213" t="s">
        <v>1225</v>
      </c>
      <c r="G353" s="214" t="s">
        <v>16</v>
      </c>
      <c r="H353" s="212">
        <v>45859</v>
      </c>
      <c r="I353" s="215"/>
      <c r="J353" s="213"/>
      <c r="K353" s="213" t="s">
        <v>1226</v>
      </c>
      <c r="L353" s="213"/>
      <c r="M353" s="213"/>
    </row>
    <row r="354" spans="2:13" s="210" customFormat="1" ht="18.75">
      <c r="B354" s="211" t="s">
        <v>62</v>
      </c>
      <c r="C354" s="212">
        <v>45852</v>
      </c>
      <c r="D354" s="158" t="s">
        <v>1227</v>
      </c>
      <c r="E354" s="214" t="s">
        <v>755</v>
      </c>
      <c r="F354" s="213" t="s">
        <v>1228</v>
      </c>
      <c r="G354" s="214" t="s">
        <v>16</v>
      </c>
      <c r="H354" s="215">
        <v>45855</v>
      </c>
      <c r="I354" s="213"/>
      <c r="J354" s="213"/>
      <c r="K354" s="213" t="s">
        <v>1226</v>
      </c>
      <c r="L354" s="213"/>
      <c r="M354" s="213"/>
    </row>
    <row r="355" spans="2:13" s="210" customFormat="1" ht="18.75">
      <c r="B355" s="211" t="s">
        <v>62</v>
      </c>
      <c r="C355" s="212">
        <v>45853</v>
      </c>
      <c r="D355" s="158" t="s">
        <v>1229</v>
      </c>
      <c r="E355" s="214" t="s">
        <v>763</v>
      </c>
      <c r="F355" s="213" t="s">
        <v>1083</v>
      </c>
      <c r="G355" s="214" t="s">
        <v>16</v>
      </c>
      <c r="H355" s="212">
        <v>45856</v>
      </c>
      <c r="I355" s="215">
        <v>45866</v>
      </c>
      <c r="J355" s="213"/>
      <c r="K355" s="213" t="s">
        <v>465</v>
      </c>
      <c r="L355" s="213"/>
      <c r="M355" s="213"/>
    </row>
    <row r="356" spans="2:13" s="210" customFormat="1" ht="18.75">
      <c r="B356" s="206" t="s">
        <v>62</v>
      </c>
      <c r="C356" s="207">
        <v>45853</v>
      </c>
      <c r="D356" s="166" t="s">
        <v>1230</v>
      </c>
      <c r="E356" s="209" t="s">
        <v>760</v>
      </c>
      <c r="F356" s="208" t="s">
        <v>101</v>
      </c>
      <c r="G356" s="209" t="s">
        <v>19</v>
      </c>
      <c r="H356" s="208"/>
      <c r="I356" s="208"/>
      <c r="J356" s="208"/>
      <c r="K356" s="208"/>
      <c r="L356" s="208"/>
      <c r="M356" s="208"/>
    </row>
    <row r="357" spans="2:13" s="210" customFormat="1" ht="18.75">
      <c r="B357" s="211" t="s">
        <v>62</v>
      </c>
      <c r="C357" s="212">
        <v>45854</v>
      </c>
      <c r="D357" s="158" t="s">
        <v>1231</v>
      </c>
      <c r="E357" s="214" t="s">
        <v>771</v>
      </c>
      <c r="F357" s="213" t="s">
        <v>1232</v>
      </c>
      <c r="G357" s="214" t="s">
        <v>16</v>
      </c>
      <c r="H357" s="212">
        <v>46007</v>
      </c>
      <c r="I357" s="215">
        <v>46052</v>
      </c>
      <c r="J357" s="212">
        <v>46087</v>
      </c>
      <c r="K357" s="213"/>
      <c r="L357" s="213"/>
      <c r="M357" s="213"/>
    </row>
    <row r="358" spans="2:13" s="210" customFormat="1" ht="18.75">
      <c r="B358" s="211" t="s">
        <v>62</v>
      </c>
      <c r="C358" s="212">
        <v>45854</v>
      </c>
      <c r="D358" s="158" t="s">
        <v>1233</v>
      </c>
      <c r="E358" s="214" t="s">
        <v>753</v>
      </c>
      <c r="F358" s="213" t="s">
        <v>1232</v>
      </c>
      <c r="G358" s="214" t="s">
        <v>16</v>
      </c>
      <c r="H358" s="212">
        <v>46007</v>
      </c>
      <c r="I358" s="213"/>
      <c r="J358" s="213"/>
      <c r="K358" s="213" t="s">
        <v>1234</v>
      </c>
      <c r="L358" s="213"/>
      <c r="M358" s="213"/>
    </row>
    <row r="359" spans="2:13" s="210" customFormat="1" ht="18.75">
      <c r="B359" s="211" t="s">
        <v>62</v>
      </c>
      <c r="C359" s="212">
        <v>45855</v>
      </c>
      <c r="D359" s="158" t="s">
        <v>1235</v>
      </c>
      <c r="E359" s="214" t="s">
        <v>757</v>
      </c>
      <c r="F359" s="213"/>
      <c r="G359" s="214" t="s">
        <v>19</v>
      </c>
      <c r="H359" s="213"/>
      <c r="I359" s="213"/>
      <c r="J359" s="213"/>
      <c r="K359" s="213"/>
      <c r="L359" s="213"/>
      <c r="M359" s="213"/>
    </row>
    <row r="360" spans="2:13" s="210" customFormat="1" ht="18.75">
      <c r="B360" s="211" t="s">
        <v>62</v>
      </c>
      <c r="C360" s="212">
        <v>45860</v>
      </c>
      <c r="D360" s="158" t="s">
        <v>1236</v>
      </c>
      <c r="E360" s="214" t="s">
        <v>771</v>
      </c>
      <c r="F360" s="213" t="s">
        <v>1237</v>
      </c>
      <c r="G360" s="214" t="s">
        <v>16</v>
      </c>
      <c r="H360" s="212">
        <v>45869</v>
      </c>
      <c r="I360" s="215">
        <v>45880</v>
      </c>
      <c r="J360" s="213"/>
      <c r="K360" s="213" t="s">
        <v>465</v>
      </c>
      <c r="L360" s="213"/>
      <c r="M360" s="213"/>
    </row>
    <row r="361" spans="2:13" s="210" customFormat="1" ht="18.75">
      <c r="B361" s="211" t="s">
        <v>62</v>
      </c>
      <c r="C361" s="212">
        <v>45862</v>
      </c>
      <c r="D361" s="158" t="s">
        <v>1238</v>
      </c>
      <c r="E361" s="214" t="s">
        <v>757</v>
      </c>
      <c r="F361" s="213" t="s">
        <v>1239</v>
      </c>
      <c r="G361" s="214" t="s">
        <v>19</v>
      </c>
      <c r="H361" s="213"/>
      <c r="I361" s="213"/>
      <c r="J361" s="213"/>
      <c r="K361" s="213"/>
      <c r="L361" s="213"/>
      <c r="M361" s="213"/>
    </row>
    <row r="362" spans="2:13" s="210" customFormat="1" ht="18.75">
      <c r="B362" s="211" t="s">
        <v>62</v>
      </c>
      <c r="C362" s="212">
        <v>45862</v>
      </c>
      <c r="D362" s="158" t="s">
        <v>1240</v>
      </c>
      <c r="E362" s="214" t="s">
        <v>757</v>
      </c>
      <c r="F362" s="213" t="s">
        <v>1239</v>
      </c>
      <c r="G362" s="214" t="s">
        <v>19</v>
      </c>
      <c r="H362" s="213"/>
      <c r="I362" s="213"/>
      <c r="J362" s="213"/>
      <c r="K362" s="213"/>
      <c r="L362" s="213"/>
      <c r="M362" s="213"/>
    </row>
    <row r="363" spans="2:13" s="210" customFormat="1" ht="18.75">
      <c r="B363" s="211" t="s">
        <v>62</v>
      </c>
      <c r="C363" s="212">
        <v>45866</v>
      </c>
      <c r="D363" s="158" t="s">
        <v>1241</v>
      </c>
      <c r="E363" s="214" t="s">
        <v>771</v>
      </c>
      <c r="F363" s="213" t="s">
        <v>101</v>
      </c>
      <c r="G363" s="214" t="s">
        <v>19</v>
      </c>
      <c r="H363" s="213"/>
      <c r="I363" s="213"/>
      <c r="J363" s="213"/>
      <c r="K363" s="213"/>
      <c r="L363" s="213"/>
      <c r="M363" s="213"/>
    </row>
    <row r="364" spans="2:13" s="210" customFormat="1" ht="18.75">
      <c r="B364" s="211" t="s">
        <v>62</v>
      </c>
      <c r="C364" s="207">
        <v>45866</v>
      </c>
      <c r="D364" s="166" t="s">
        <v>1242</v>
      </c>
      <c r="E364" s="209" t="s">
        <v>760</v>
      </c>
      <c r="F364" s="208" t="s">
        <v>101</v>
      </c>
      <c r="G364" s="209" t="s">
        <v>19</v>
      </c>
      <c r="H364" s="208"/>
      <c r="I364" s="208"/>
      <c r="J364" s="208"/>
      <c r="K364" s="208"/>
      <c r="L364" s="208"/>
      <c r="M364" s="208"/>
    </row>
    <row r="365" spans="2:13" s="210" customFormat="1" ht="18.75">
      <c r="B365" s="218" t="s">
        <v>62</v>
      </c>
      <c r="C365" s="212">
        <v>45866</v>
      </c>
      <c r="D365" s="158" t="s">
        <v>1243</v>
      </c>
      <c r="E365" s="214" t="s">
        <v>757</v>
      </c>
      <c r="F365" s="208" t="s">
        <v>101</v>
      </c>
      <c r="G365" s="209" t="s">
        <v>19</v>
      </c>
      <c r="H365" s="208"/>
      <c r="I365" s="208"/>
      <c r="J365" s="208"/>
      <c r="K365" s="208"/>
      <c r="L365" s="208"/>
      <c r="M365" s="213"/>
    </row>
    <row r="366" spans="2:13" s="210" customFormat="1" ht="18.75">
      <c r="B366" s="218" t="s">
        <v>62</v>
      </c>
      <c r="C366" s="212">
        <v>45866</v>
      </c>
      <c r="D366" s="158" t="s">
        <v>1244</v>
      </c>
      <c r="E366" s="219" t="s">
        <v>760</v>
      </c>
      <c r="F366" s="213" t="s">
        <v>1245</v>
      </c>
      <c r="G366" s="214" t="s">
        <v>19</v>
      </c>
      <c r="H366" s="213"/>
      <c r="I366" s="213"/>
      <c r="J366" s="213"/>
      <c r="K366" s="213"/>
      <c r="L366" s="213"/>
      <c r="M366" s="220"/>
    </row>
    <row r="367" spans="2:13" s="210" customFormat="1" ht="18.75">
      <c r="B367" s="218" t="s">
        <v>62</v>
      </c>
      <c r="C367" s="212">
        <v>45868</v>
      </c>
      <c r="D367" s="158" t="s">
        <v>1246</v>
      </c>
      <c r="E367" s="219" t="s">
        <v>763</v>
      </c>
      <c r="F367" s="213" t="s">
        <v>1247</v>
      </c>
      <c r="G367" s="214" t="s">
        <v>19</v>
      </c>
      <c r="H367" s="213"/>
      <c r="I367" s="213"/>
      <c r="J367" s="213"/>
      <c r="K367" s="213"/>
      <c r="L367" s="213"/>
      <c r="M367" s="220"/>
    </row>
    <row r="368" spans="2:13" s="210" customFormat="1" ht="18.75">
      <c r="B368" s="218" t="s">
        <v>62</v>
      </c>
      <c r="C368" s="212">
        <v>45869</v>
      </c>
      <c r="D368" s="158" t="s">
        <v>1248</v>
      </c>
      <c r="E368" s="219" t="s">
        <v>760</v>
      </c>
      <c r="F368" s="213" t="s">
        <v>109</v>
      </c>
      <c r="G368" s="214" t="s">
        <v>16</v>
      </c>
      <c r="H368" s="212">
        <v>45870</v>
      </c>
      <c r="I368" s="215">
        <v>45880</v>
      </c>
      <c r="J368" s="212">
        <v>45910</v>
      </c>
      <c r="K368" s="213"/>
      <c r="L368" s="213"/>
      <c r="M368" s="220"/>
    </row>
    <row r="369" spans="1:13" s="210" customFormat="1" ht="18.75">
      <c r="B369" s="148" t="s">
        <v>68</v>
      </c>
      <c r="C369" s="157">
        <v>45870</v>
      </c>
      <c r="D369" s="158" t="s">
        <v>1249</v>
      </c>
      <c r="E369" s="219" t="s">
        <v>760</v>
      </c>
      <c r="F369" s="160" t="s">
        <v>1250</v>
      </c>
      <c r="G369" s="161" t="s">
        <v>19</v>
      </c>
      <c r="H369" s="160"/>
      <c r="I369" s="160"/>
      <c r="J369" s="160"/>
      <c r="K369" s="160"/>
      <c r="L369" s="213"/>
      <c r="M369" s="220"/>
    </row>
    <row r="370" spans="1:13" s="210" customFormat="1" ht="18.75">
      <c r="B370" s="221" t="s">
        <v>68</v>
      </c>
      <c r="C370" s="212">
        <v>45873</v>
      </c>
      <c r="D370" s="158" t="s">
        <v>1251</v>
      </c>
      <c r="E370" s="164" t="s">
        <v>763</v>
      </c>
      <c r="F370" s="213" t="s">
        <v>109</v>
      </c>
      <c r="G370" s="214" t="s">
        <v>19</v>
      </c>
      <c r="H370" s="213"/>
      <c r="I370" s="213"/>
      <c r="J370" s="213"/>
      <c r="K370" s="213" t="s">
        <v>1252</v>
      </c>
      <c r="L370" s="213"/>
      <c r="M370" s="220"/>
    </row>
    <row r="371" spans="1:13" s="210" customFormat="1" ht="18.75">
      <c r="B371" s="221" t="s">
        <v>68</v>
      </c>
      <c r="C371" s="212">
        <v>45874</v>
      </c>
      <c r="D371" s="158" t="s">
        <v>1253</v>
      </c>
      <c r="E371" s="219" t="s">
        <v>763</v>
      </c>
      <c r="F371" s="213" t="s">
        <v>101</v>
      </c>
      <c r="G371" s="214" t="s">
        <v>19</v>
      </c>
      <c r="H371" s="213"/>
      <c r="I371" s="213"/>
      <c r="J371" s="213"/>
      <c r="K371" s="213" t="s">
        <v>673</v>
      </c>
      <c r="L371" s="213"/>
      <c r="M371" s="220"/>
    </row>
    <row r="372" spans="1:13" s="210" customFormat="1" ht="18.75">
      <c r="B372" s="221" t="s">
        <v>68</v>
      </c>
      <c r="C372" s="212">
        <v>45875</v>
      </c>
      <c r="D372" s="158" t="s">
        <v>1254</v>
      </c>
      <c r="E372" s="219" t="s">
        <v>753</v>
      </c>
      <c r="F372" s="213" t="s">
        <v>1255</v>
      </c>
      <c r="G372" s="214" t="s">
        <v>16</v>
      </c>
      <c r="H372" s="212">
        <v>45974</v>
      </c>
      <c r="I372" s="215">
        <v>45989</v>
      </c>
      <c r="J372" s="212">
        <v>46038</v>
      </c>
      <c r="K372" s="213"/>
      <c r="L372" s="213"/>
      <c r="M372" s="220"/>
    </row>
    <row r="373" spans="1:13" s="210" customFormat="1" ht="18.75">
      <c r="B373" s="221" t="s">
        <v>68</v>
      </c>
      <c r="C373" s="212">
        <v>45880</v>
      </c>
      <c r="D373" s="158" t="s">
        <v>1256</v>
      </c>
      <c r="E373" s="219" t="s">
        <v>763</v>
      </c>
      <c r="F373" s="213" t="s">
        <v>109</v>
      </c>
      <c r="G373" s="214" t="s">
        <v>16</v>
      </c>
      <c r="H373" s="212">
        <v>45884</v>
      </c>
      <c r="I373" s="215">
        <v>45957</v>
      </c>
      <c r="J373" s="213"/>
      <c r="K373" s="213" t="s">
        <v>51</v>
      </c>
      <c r="L373" s="213"/>
      <c r="M373" s="220"/>
    </row>
    <row r="374" spans="1:13" s="210" customFormat="1" ht="18.75">
      <c r="B374" s="221" t="s">
        <v>68</v>
      </c>
      <c r="C374" s="212">
        <v>45880</v>
      </c>
      <c r="D374" s="158" t="s">
        <v>1257</v>
      </c>
      <c r="E374" s="219" t="s">
        <v>760</v>
      </c>
      <c r="F374" s="213" t="s">
        <v>499</v>
      </c>
      <c r="G374" s="214" t="s">
        <v>19</v>
      </c>
      <c r="H374" s="213"/>
      <c r="I374" s="213"/>
      <c r="J374" s="213"/>
      <c r="K374" s="213" t="s">
        <v>1258</v>
      </c>
      <c r="L374" s="213"/>
      <c r="M374" s="220"/>
    </row>
    <row r="375" spans="1:13" s="210" customFormat="1" ht="18.75">
      <c r="B375" s="221" t="s">
        <v>68</v>
      </c>
      <c r="C375" s="212">
        <v>45880</v>
      </c>
      <c r="D375" s="166" t="s">
        <v>658</v>
      </c>
      <c r="E375" s="222" t="s">
        <v>760</v>
      </c>
      <c r="F375" s="213" t="s">
        <v>499</v>
      </c>
      <c r="G375" s="214" t="s">
        <v>19</v>
      </c>
      <c r="H375" s="208"/>
      <c r="I375" s="208"/>
      <c r="J375" s="208"/>
      <c r="K375" s="213" t="s">
        <v>1259</v>
      </c>
      <c r="L375" s="208"/>
      <c r="M375" s="223"/>
    </row>
    <row r="376" spans="1:13" s="210" customFormat="1" ht="18.75">
      <c r="B376" s="224" t="s">
        <v>68</v>
      </c>
      <c r="C376" s="207">
        <v>45882</v>
      </c>
      <c r="D376" s="166" t="s">
        <v>1260</v>
      </c>
      <c r="E376" s="222" t="s">
        <v>763</v>
      </c>
      <c r="F376" s="208" t="s">
        <v>1261</v>
      </c>
      <c r="G376" s="209" t="s">
        <v>16</v>
      </c>
      <c r="H376" s="207">
        <v>45915</v>
      </c>
      <c r="I376" s="207"/>
      <c r="J376" s="208"/>
      <c r="K376" s="208" t="s">
        <v>1262</v>
      </c>
      <c r="L376" s="208"/>
      <c r="M376" s="223"/>
    </row>
    <row r="377" spans="1:13" s="210" customFormat="1" ht="18.75">
      <c r="B377" s="211" t="s">
        <v>68</v>
      </c>
      <c r="C377" s="212">
        <v>45883</v>
      </c>
      <c r="D377" s="158" t="s">
        <v>1263</v>
      </c>
      <c r="E377" s="214" t="s">
        <v>763</v>
      </c>
      <c r="F377" s="213" t="s">
        <v>1264</v>
      </c>
      <c r="G377" s="214" t="s">
        <v>19</v>
      </c>
      <c r="H377" s="213"/>
      <c r="I377" s="213"/>
      <c r="J377" s="213"/>
      <c r="K377" s="213" t="s">
        <v>1265</v>
      </c>
      <c r="L377" s="213"/>
      <c r="M377" s="213"/>
    </row>
    <row r="378" spans="1:13" s="210" customFormat="1" ht="18.75">
      <c r="B378" s="211" t="s">
        <v>68</v>
      </c>
      <c r="C378" s="212">
        <v>45883</v>
      </c>
      <c r="D378" s="158" t="s">
        <v>1266</v>
      </c>
      <c r="E378" s="214" t="s">
        <v>755</v>
      </c>
      <c r="F378" s="213" t="s">
        <v>1264</v>
      </c>
      <c r="G378" s="214" t="s">
        <v>19</v>
      </c>
      <c r="H378" s="213"/>
      <c r="I378" s="213"/>
      <c r="J378" s="213"/>
      <c r="K378" s="213" t="s">
        <v>1265</v>
      </c>
      <c r="L378" s="213"/>
      <c r="M378" s="213"/>
    </row>
    <row r="379" spans="1:13" s="210" customFormat="1" ht="18.75">
      <c r="B379" s="206" t="s">
        <v>68</v>
      </c>
      <c r="C379" s="207">
        <v>45883</v>
      </c>
      <c r="D379" s="166" t="s">
        <v>1267</v>
      </c>
      <c r="E379" s="209" t="s">
        <v>757</v>
      </c>
      <c r="F379" s="208" t="s">
        <v>1268</v>
      </c>
      <c r="G379" s="209" t="s">
        <v>16</v>
      </c>
      <c r="H379" s="207">
        <v>45890</v>
      </c>
      <c r="I379" s="217">
        <v>45901</v>
      </c>
      <c r="J379" s="208"/>
      <c r="K379" s="208" t="s">
        <v>465</v>
      </c>
      <c r="L379" s="208"/>
      <c r="M379" s="208"/>
    </row>
    <row r="380" spans="1:13" s="210" customFormat="1" ht="18.75">
      <c r="A380" s="213"/>
      <c r="B380" s="211" t="s">
        <v>68</v>
      </c>
      <c r="C380" s="212">
        <v>45888</v>
      </c>
      <c r="D380" s="158" t="s">
        <v>1269</v>
      </c>
      <c r="E380" s="214" t="s">
        <v>755</v>
      </c>
      <c r="F380" s="213" t="s">
        <v>702</v>
      </c>
      <c r="G380" s="214" t="s">
        <v>16</v>
      </c>
      <c r="H380" s="212">
        <v>45894</v>
      </c>
      <c r="I380" s="215">
        <v>45908</v>
      </c>
      <c r="J380" s="212">
        <v>45923</v>
      </c>
      <c r="K380" s="213"/>
      <c r="L380" s="213"/>
      <c r="M380" s="213"/>
    </row>
    <row r="381" spans="1:13" s="210" customFormat="1" ht="18.75">
      <c r="B381" s="225" t="s">
        <v>68</v>
      </c>
      <c r="C381" s="226">
        <v>45890</v>
      </c>
      <c r="D381" s="178" t="s">
        <v>1270</v>
      </c>
      <c r="E381" s="227" t="s">
        <v>757</v>
      </c>
      <c r="F381" s="228" t="s">
        <v>1271</v>
      </c>
      <c r="G381" s="227" t="s">
        <v>16</v>
      </c>
      <c r="H381" s="226">
        <v>45909</v>
      </c>
      <c r="I381" s="229">
        <v>45922</v>
      </c>
      <c r="J381" s="226">
        <v>46076</v>
      </c>
      <c r="K381" s="228"/>
      <c r="L381" s="228"/>
      <c r="M381" s="228"/>
    </row>
    <row r="382" spans="1:13" s="210" customFormat="1" ht="18.75">
      <c r="A382" s="213"/>
      <c r="B382" s="211" t="s">
        <v>68</v>
      </c>
      <c r="C382" s="212">
        <v>45898</v>
      </c>
      <c r="D382" s="158" t="s">
        <v>1272</v>
      </c>
      <c r="E382" s="214" t="s">
        <v>760</v>
      </c>
      <c r="F382" s="213" t="s">
        <v>103</v>
      </c>
      <c r="G382" s="214" t="s">
        <v>16</v>
      </c>
      <c r="H382" s="212">
        <v>45901</v>
      </c>
      <c r="I382" s="215">
        <v>45912</v>
      </c>
      <c r="J382" s="213"/>
      <c r="K382" s="213" t="s">
        <v>962</v>
      </c>
      <c r="L382" s="213"/>
      <c r="M382" s="213"/>
    </row>
    <row r="383" spans="1:13" s="210" customFormat="1" ht="18.75">
      <c r="B383" s="225" t="s">
        <v>68</v>
      </c>
      <c r="C383" s="226">
        <v>45898</v>
      </c>
      <c r="D383" s="178" t="s">
        <v>1273</v>
      </c>
      <c r="E383" s="227" t="s">
        <v>757</v>
      </c>
      <c r="F383" s="228" t="s">
        <v>1274</v>
      </c>
      <c r="G383" s="227" t="s">
        <v>19</v>
      </c>
      <c r="H383" s="228"/>
      <c r="I383" s="228"/>
      <c r="J383" s="228"/>
      <c r="K383" s="228" t="s">
        <v>1275</v>
      </c>
      <c r="L383" s="228"/>
      <c r="M383" s="228"/>
    </row>
    <row r="384" spans="1:13" s="210" customFormat="1" ht="18.75">
      <c r="A384" s="213"/>
      <c r="B384" s="211" t="s">
        <v>77</v>
      </c>
      <c r="C384" s="212">
        <v>45901</v>
      </c>
      <c r="D384" s="158" t="s">
        <v>1276</v>
      </c>
      <c r="E384" s="214" t="s">
        <v>763</v>
      </c>
      <c r="F384" s="213" t="s">
        <v>1277</v>
      </c>
      <c r="G384" s="214" t="s">
        <v>16</v>
      </c>
      <c r="H384" s="212">
        <v>45919</v>
      </c>
      <c r="I384" s="215">
        <v>45924</v>
      </c>
      <c r="J384" s="213"/>
      <c r="K384" s="213" t="s">
        <v>1278</v>
      </c>
      <c r="L384" s="213"/>
      <c r="M384" s="213"/>
    </row>
    <row r="385" spans="1:13" s="210" customFormat="1" ht="18.75">
      <c r="A385" s="213"/>
      <c r="B385" s="211" t="s">
        <v>77</v>
      </c>
      <c r="C385" s="212">
        <v>45902</v>
      </c>
      <c r="D385" s="158" t="s">
        <v>1279</v>
      </c>
      <c r="E385" s="214" t="s">
        <v>763</v>
      </c>
      <c r="F385" s="213" t="s">
        <v>103</v>
      </c>
      <c r="G385" s="214" t="s">
        <v>16</v>
      </c>
      <c r="H385" s="212">
        <v>45909</v>
      </c>
      <c r="I385" s="215">
        <v>45923</v>
      </c>
      <c r="J385" s="212">
        <v>46041</v>
      </c>
      <c r="K385" s="213"/>
      <c r="L385" s="213"/>
      <c r="M385" s="213"/>
    </row>
    <row r="386" spans="1:13" s="210" customFormat="1" ht="18.75">
      <c r="A386" s="213"/>
      <c r="B386" s="211" t="s">
        <v>77</v>
      </c>
      <c r="C386" s="212">
        <v>45908</v>
      </c>
      <c r="D386" s="158" t="s">
        <v>1280</v>
      </c>
      <c r="E386" s="214" t="s">
        <v>760</v>
      </c>
      <c r="F386" s="213" t="s">
        <v>109</v>
      </c>
      <c r="G386" s="214" t="s">
        <v>16</v>
      </c>
      <c r="H386" s="230">
        <v>45909</v>
      </c>
      <c r="I386" s="215">
        <v>45915</v>
      </c>
      <c r="J386" s="212">
        <v>45936</v>
      </c>
      <c r="K386" s="213"/>
      <c r="L386" s="213"/>
      <c r="M386" s="213"/>
    </row>
    <row r="387" spans="1:13" s="210" customFormat="1" ht="18.75">
      <c r="A387" s="213"/>
      <c r="B387" s="211" t="s">
        <v>77</v>
      </c>
      <c r="C387" s="212">
        <v>45908</v>
      </c>
      <c r="D387" s="158" t="s">
        <v>1281</v>
      </c>
      <c r="E387" s="214" t="s">
        <v>771</v>
      </c>
      <c r="F387" s="213" t="s">
        <v>296</v>
      </c>
      <c r="G387" s="214" t="s">
        <v>16</v>
      </c>
      <c r="H387" s="215">
        <v>46042</v>
      </c>
      <c r="I387" s="215">
        <v>46048</v>
      </c>
      <c r="J387" s="213"/>
      <c r="K387" s="213" t="s">
        <v>1282</v>
      </c>
      <c r="L387" s="213"/>
      <c r="M387" s="213"/>
    </row>
    <row r="388" spans="1:13" s="210" customFormat="1" ht="18.75">
      <c r="A388" s="213"/>
      <c r="B388" s="211" t="s">
        <v>77</v>
      </c>
      <c r="C388" s="212">
        <v>45909</v>
      </c>
      <c r="D388" s="158" t="s">
        <v>1283</v>
      </c>
      <c r="E388" s="214" t="s">
        <v>757</v>
      </c>
      <c r="F388" s="213" t="s">
        <v>109</v>
      </c>
      <c r="G388" s="214" t="s">
        <v>19</v>
      </c>
      <c r="H388" s="214"/>
      <c r="I388" s="214"/>
      <c r="J388" s="213"/>
      <c r="K388" s="213"/>
      <c r="L388" s="213"/>
      <c r="M388" s="213"/>
    </row>
    <row r="389" spans="1:13" s="210" customFormat="1" ht="18.75">
      <c r="A389" s="213"/>
      <c r="B389" s="206" t="s">
        <v>77</v>
      </c>
      <c r="C389" s="207">
        <v>45911</v>
      </c>
      <c r="D389" s="166" t="s">
        <v>1284</v>
      </c>
      <c r="E389" s="209" t="s">
        <v>760</v>
      </c>
      <c r="F389" s="208" t="s">
        <v>109</v>
      </c>
      <c r="G389" s="209" t="s">
        <v>16</v>
      </c>
      <c r="H389" s="207">
        <v>45944</v>
      </c>
      <c r="I389" s="217">
        <v>45957</v>
      </c>
      <c r="J389" s="207">
        <v>45986</v>
      </c>
      <c r="K389" s="208"/>
      <c r="L389" s="208"/>
      <c r="M389" s="208"/>
    </row>
    <row r="390" spans="1:13" s="210" customFormat="1" ht="18.75">
      <c r="A390" s="231"/>
      <c r="B390" s="211" t="s">
        <v>77</v>
      </c>
      <c r="C390" s="212">
        <v>45911</v>
      </c>
      <c r="D390" s="158" t="s">
        <v>1285</v>
      </c>
      <c r="E390" s="214" t="s">
        <v>755</v>
      </c>
      <c r="F390" s="213" t="s">
        <v>749</v>
      </c>
      <c r="G390" s="214" t="s">
        <v>16</v>
      </c>
      <c r="H390" s="212">
        <v>45922</v>
      </c>
      <c r="I390" s="215">
        <v>45944</v>
      </c>
      <c r="J390" s="212">
        <v>45967</v>
      </c>
      <c r="K390" s="213"/>
      <c r="L390" s="213"/>
      <c r="M390" s="213"/>
    </row>
    <row r="391" spans="1:13" s="210" customFormat="1" ht="18.75">
      <c r="A391" s="213"/>
      <c r="B391" s="232" t="s">
        <v>77</v>
      </c>
      <c r="C391" s="233">
        <v>45912</v>
      </c>
      <c r="D391" s="174" t="s">
        <v>1286</v>
      </c>
      <c r="E391" s="234" t="s">
        <v>753</v>
      </c>
      <c r="F391" s="235" t="s">
        <v>109</v>
      </c>
      <c r="G391" s="234" t="s">
        <v>19</v>
      </c>
      <c r="H391" s="235"/>
      <c r="I391" s="235"/>
      <c r="J391" s="235"/>
      <c r="K391" s="235" t="s">
        <v>220</v>
      </c>
      <c r="L391" s="235"/>
      <c r="M391" s="235"/>
    </row>
    <row r="392" spans="1:13" s="210" customFormat="1" ht="18.75">
      <c r="A392" s="213"/>
      <c r="B392" s="211" t="s">
        <v>77</v>
      </c>
      <c r="C392" s="212">
        <v>45917</v>
      </c>
      <c r="D392" s="158" t="s">
        <v>1287</v>
      </c>
      <c r="E392" s="214" t="s">
        <v>763</v>
      </c>
      <c r="F392" s="213" t="s">
        <v>103</v>
      </c>
      <c r="G392" s="214" t="s">
        <v>19</v>
      </c>
      <c r="H392" s="213"/>
      <c r="I392" s="213"/>
      <c r="J392" s="213"/>
      <c r="K392" s="213"/>
      <c r="L392" s="213"/>
      <c r="M392" s="213"/>
    </row>
    <row r="393" spans="1:13" s="210" customFormat="1" ht="18.75">
      <c r="A393" s="213"/>
      <c r="B393" s="206" t="s">
        <v>77</v>
      </c>
      <c r="C393" s="207">
        <v>45919</v>
      </c>
      <c r="D393" s="166" t="s">
        <v>1288</v>
      </c>
      <c r="E393" s="209" t="s">
        <v>763</v>
      </c>
      <c r="F393" s="208" t="s">
        <v>109</v>
      </c>
      <c r="G393" s="209" t="s">
        <v>19</v>
      </c>
      <c r="H393" s="208"/>
      <c r="I393" s="208"/>
      <c r="J393" s="208"/>
      <c r="K393" s="208"/>
      <c r="L393" s="208"/>
      <c r="M393" s="208"/>
    </row>
    <row r="394" spans="1:13" s="210" customFormat="1" ht="18.75">
      <c r="B394" s="211" t="s">
        <v>77</v>
      </c>
      <c r="C394" s="212">
        <v>45912</v>
      </c>
      <c r="D394" s="158" t="s">
        <v>1286</v>
      </c>
      <c r="E394" s="214" t="s">
        <v>753</v>
      </c>
      <c r="F394" s="213" t="s">
        <v>1289</v>
      </c>
      <c r="G394" s="214" t="s">
        <v>19</v>
      </c>
      <c r="H394" s="213"/>
      <c r="I394" s="213"/>
      <c r="J394" s="213"/>
      <c r="K394" s="213"/>
      <c r="L394" s="213"/>
      <c r="M394" s="213"/>
    </row>
    <row r="395" spans="1:13" s="210" customFormat="1" ht="18.75">
      <c r="B395" s="211" t="s">
        <v>77</v>
      </c>
      <c r="C395" s="212">
        <v>45917</v>
      </c>
      <c r="D395" s="158" t="s">
        <v>1290</v>
      </c>
      <c r="E395" s="214" t="s">
        <v>763</v>
      </c>
      <c r="F395" s="213" t="s">
        <v>103</v>
      </c>
      <c r="G395" s="214" t="s">
        <v>16</v>
      </c>
      <c r="H395" s="212">
        <v>46041</v>
      </c>
      <c r="I395" s="213"/>
      <c r="J395" s="213"/>
      <c r="K395" s="213"/>
      <c r="L395" s="213"/>
      <c r="M395" s="213"/>
    </row>
    <row r="396" spans="1:13" s="210" customFormat="1" ht="18.75">
      <c r="B396" s="211" t="s">
        <v>77</v>
      </c>
      <c r="C396" s="212">
        <v>45919</v>
      </c>
      <c r="D396" s="158" t="s">
        <v>1288</v>
      </c>
      <c r="E396" s="214" t="s">
        <v>763</v>
      </c>
      <c r="F396" s="213" t="s">
        <v>1291</v>
      </c>
      <c r="G396" s="214" t="s">
        <v>19</v>
      </c>
      <c r="H396" s="213"/>
      <c r="I396" s="213"/>
      <c r="J396" s="213"/>
      <c r="K396" s="213" t="s">
        <v>1292</v>
      </c>
      <c r="L396" s="213"/>
      <c r="M396" s="213"/>
    </row>
    <row r="397" spans="1:13" s="210" customFormat="1" ht="18.75">
      <c r="B397" s="211" t="s">
        <v>77</v>
      </c>
      <c r="C397" s="212">
        <v>45919</v>
      </c>
      <c r="D397" s="158" t="s">
        <v>1293</v>
      </c>
      <c r="E397" s="214" t="s">
        <v>760</v>
      </c>
      <c r="F397" s="213" t="s">
        <v>1294</v>
      </c>
      <c r="G397" s="214" t="s">
        <v>19</v>
      </c>
      <c r="H397" s="213"/>
      <c r="I397" s="213"/>
      <c r="J397" s="213"/>
      <c r="K397" s="213" t="s">
        <v>819</v>
      </c>
      <c r="L397" s="213"/>
      <c r="M397" s="213"/>
    </row>
    <row r="398" spans="1:13" s="210" customFormat="1" ht="18.75">
      <c r="B398" s="211" t="s">
        <v>77</v>
      </c>
      <c r="C398" s="212">
        <v>45923</v>
      </c>
      <c r="D398" s="158" t="s">
        <v>1295</v>
      </c>
      <c r="E398" s="214" t="s">
        <v>763</v>
      </c>
      <c r="F398" s="213" t="s">
        <v>103</v>
      </c>
      <c r="G398" s="214" t="s">
        <v>19</v>
      </c>
      <c r="H398" s="213"/>
      <c r="I398" s="213"/>
      <c r="J398" s="213"/>
      <c r="K398" s="213" t="s">
        <v>1296</v>
      </c>
      <c r="L398" s="213"/>
      <c r="M398" s="213"/>
    </row>
    <row r="399" spans="1:13" s="210" customFormat="1" ht="18.75">
      <c r="B399" s="211" t="s">
        <v>77</v>
      </c>
      <c r="C399" s="212">
        <v>45924</v>
      </c>
      <c r="D399" s="158" t="s">
        <v>1297</v>
      </c>
      <c r="E399" s="214" t="s">
        <v>755</v>
      </c>
      <c r="F399" s="213" t="s">
        <v>1298</v>
      </c>
      <c r="G399" s="214" t="s">
        <v>19</v>
      </c>
      <c r="H399" s="213"/>
      <c r="I399" s="213"/>
      <c r="J399" s="213"/>
      <c r="K399" s="213"/>
      <c r="L399" s="213"/>
      <c r="M399" s="213"/>
    </row>
    <row r="400" spans="1:13" s="210" customFormat="1" ht="18.75">
      <c r="B400" s="211" t="s">
        <v>77</v>
      </c>
      <c r="C400" s="212">
        <v>45925</v>
      </c>
      <c r="D400" s="158" t="s">
        <v>1299</v>
      </c>
      <c r="E400" s="214" t="s">
        <v>771</v>
      </c>
      <c r="F400" s="213" t="s">
        <v>101</v>
      </c>
      <c r="G400" s="214" t="s">
        <v>16</v>
      </c>
      <c r="H400" s="212">
        <v>45929</v>
      </c>
      <c r="I400" s="213"/>
      <c r="J400" s="213"/>
      <c r="K400" s="213" t="s">
        <v>583</v>
      </c>
      <c r="L400" s="213"/>
      <c r="M400" s="213"/>
    </row>
    <row r="401" spans="2:13" s="210" customFormat="1" ht="18.75">
      <c r="B401" s="211" t="s">
        <v>77</v>
      </c>
      <c r="C401" s="212">
        <v>45929</v>
      </c>
      <c r="D401" s="158" t="s">
        <v>1300</v>
      </c>
      <c r="E401" s="214" t="s">
        <v>771</v>
      </c>
      <c r="F401" s="213" t="s">
        <v>101</v>
      </c>
      <c r="G401" s="214" t="s">
        <v>16</v>
      </c>
      <c r="H401" s="212">
        <v>45932</v>
      </c>
      <c r="I401" s="213"/>
      <c r="J401" s="213"/>
      <c r="K401" s="213" t="s">
        <v>1301</v>
      </c>
      <c r="L401" s="213"/>
      <c r="M401" s="213"/>
    </row>
    <row r="402" spans="2:13" s="210" customFormat="1" ht="18.75">
      <c r="B402" s="211" t="s">
        <v>77</v>
      </c>
      <c r="C402" s="212">
        <v>45930</v>
      </c>
      <c r="D402" s="158" t="s">
        <v>1302</v>
      </c>
      <c r="E402" s="214" t="s">
        <v>757</v>
      </c>
      <c r="F402" s="213" t="s">
        <v>101</v>
      </c>
      <c r="G402" s="214" t="s">
        <v>16</v>
      </c>
      <c r="H402" s="212">
        <v>46042</v>
      </c>
      <c r="I402" s="244">
        <v>46048</v>
      </c>
      <c r="J402" s="244">
        <v>46066</v>
      </c>
      <c r="K402" s="213"/>
      <c r="L402" s="213"/>
      <c r="M402" s="213"/>
    </row>
    <row r="403" spans="2:13" s="210" customFormat="1" ht="18.75">
      <c r="B403" s="206" t="s">
        <v>84</v>
      </c>
      <c r="C403" s="207">
        <v>45944</v>
      </c>
      <c r="D403" s="166" t="s">
        <v>1303</v>
      </c>
      <c r="E403" s="209" t="s">
        <v>771</v>
      </c>
      <c r="F403" s="208" t="s">
        <v>109</v>
      </c>
      <c r="G403" s="209" t="s">
        <v>16</v>
      </c>
      <c r="H403" s="207">
        <v>45945</v>
      </c>
      <c r="I403" s="217">
        <v>45957</v>
      </c>
      <c r="J403" s="207">
        <v>45985</v>
      </c>
      <c r="K403" s="208"/>
      <c r="L403" s="208"/>
      <c r="M403" s="208"/>
    </row>
    <row r="404" spans="2:13" s="210" customFormat="1" ht="18.75">
      <c r="B404" s="211" t="s">
        <v>84</v>
      </c>
      <c r="C404" s="212">
        <v>45944</v>
      </c>
      <c r="D404" s="158" t="s">
        <v>1304</v>
      </c>
      <c r="E404" s="214" t="s">
        <v>771</v>
      </c>
      <c r="F404" s="213" t="s">
        <v>103</v>
      </c>
      <c r="G404" s="214" t="s">
        <v>16</v>
      </c>
      <c r="H404" s="212">
        <v>45952</v>
      </c>
      <c r="I404" s="213"/>
      <c r="J404" s="213"/>
      <c r="K404" s="213" t="s">
        <v>1305</v>
      </c>
      <c r="L404" s="213"/>
      <c r="M404" s="213"/>
    </row>
    <row r="405" spans="2:13" s="210" customFormat="1" ht="18.75">
      <c r="B405" s="211" t="s">
        <v>84</v>
      </c>
      <c r="C405" s="212">
        <v>45945</v>
      </c>
      <c r="D405" s="158" t="s">
        <v>1306</v>
      </c>
      <c r="E405" s="214" t="s">
        <v>771</v>
      </c>
      <c r="F405" s="213" t="s">
        <v>101</v>
      </c>
      <c r="G405" s="214" t="s">
        <v>16</v>
      </c>
      <c r="H405" s="212">
        <v>46057</v>
      </c>
      <c r="I405" s="215">
        <v>46069</v>
      </c>
      <c r="J405" s="213"/>
      <c r="K405" s="213"/>
      <c r="L405" s="213"/>
      <c r="M405" s="213"/>
    </row>
    <row r="406" spans="2:13" s="210" customFormat="1" ht="18.75">
      <c r="B406" s="211" t="s">
        <v>84</v>
      </c>
      <c r="C406" s="212">
        <v>45947</v>
      </c>
      <c r="D406" s="158" t="s">
        <v>1307</v>
      </c>
      <c r="E406" s="214" t="s">
        <v>757</v>
      </c>
      <c r="F406" s="213" t="s">
        <v>103</v>
      </c>
      <c r="G406" s="214" t="s">
        <v>16</v>
      </c>
      <c r="H406" s="212">
        <v>45961</v>
      </c>
      <c r="I406" s="215">
        <v>45971</v>
      </c>
      <c r="J406" s="213"/>
      <c r="K406" s="213" t="s">
        <v>1308</v>
      </c>
      <c r="L406" s="213"/>
      <c r="M406" s="213"/>
    </row>
    <row r="407" spans="2:13" s="210" customFormat="1" ht="18.75">
      <c r="B407" s="211" t="s">
        <v>84</v>
      </c>
      <c r="C407" s="212">
        <v>45946</v>
      </c>
      <c r="D407" s="158" t="s">
        <v>1309</v>
      </c>
      <c r="E407" s="214" t="s">
        <v>763</v>
      </c>
      <c r="F407" s="213" t="s">
        <v>109</v>
      </c>
      <c r="G407" s="214" t="s">
        <v>19</v>
      </c>
      <c r="H407" s="213"/>
      <c r="I407" s="213"/>
      <c r="J407" s="213"/>
      <c r="K407" s="213" t="s">
        <v>1265</v>
      </c>
      <c r="L407" s="213"/>
      <c r="M407" s="213"/>
    </row>
    <row r="408" spans="2:13" s="210" customFormat="1" ht="18.75">
      <c r="B408" s="211" t="s">
        <v>84</v>
      </c>
      <c r="C408" s="212">
        <v>45950</v>
      </c>
      <c r="D408" s="158" t="s">
        <v>1310</v>
      </c>
      <c r="E408" s="214" t="s">
        <v>763</v>
      </c>
      <c r="F408" s="213" t="s">
        <v>1311</v>
      </c>
      <c r="G408" s="214" t="s">
        <v>16</v>
      </c>
      <c r="H408" s="212">
        <v>45965</v>
      </c>
      <c r="I408" s="213"/>
      <c r="J408" s="213"/>
      <c r="K408" s="213" t="s">
        <v>1312</v>
      </c>
      <c r="L408" s="213"/>
      <c r="M408" s="213"/>
    </row>
    <row r="409" spans="2:13" s="210" customFormat="1" ht="18.75">
      <c r="B409" s="206" t="s">
        <v>84</v>
      </c>
      <c r="C409" s="207">
        <v>45951</v>
      </c>
      <c r="D409" s="166" t="s">
        <v>1313</v>
      </c>
      <c r="E409" s="209" t="s">
        <v>757</v>
      </c>
      <c r="F409" s="208" t="s">
        <v>109</v>
      </c>
      <c r="G409" s="209" t="s">
        <v>16</v>
      </c>
      <c r="H409" s="207">
        <v>45979</v>
      </c>
      <c r="I409" s="217">
        <v>45986</v>
      </c>
      <c r="J409" s="208"/>
      <c r="K409" s="208" t="s">
        <v>465</v>
      </c>
      <c r="L409" s="208"/>
      <c r="M409" s="208"/>
    </row>
    <row r="410" spans="2:13" s="210" customFormat="1" ht="18.75">
      <c r="B410" s="211" t="s">
        <v>84</v>
      </c>
      <c r="C410" s="212">
        <v>45957</v>
      </c>
      <c r="D410" s="158" t="s">
        <v>1314</v>
      </c>
      <c r="E410" s="214" t="s">
        <v>763</v>
      </c>
      <c r="F410" s="213" t="s">
        <v>109</v>
      </c>
      <c r="G410" s="214" t="s">
        <v>19</v>
      </c>
      <c r="H410" s="213"/>
      <c r="I410" s="213"/>
      <c r="J410" s="213"/>
      <c r="K410" s="213"/>
      <c r="L410" s="213"/>
      <c r="M410" s="213"/>
    </row>
    <row r="411" spans="2:13" s="210" customFormat="1" ht="18.75">
      <c r="B411" s="206" t="s">
        <v>84</v>
      </c>
      <c r="C411" s="207">
        <v>45958</v>
      </c>
      <c r="D411" s="166" t="s">
        <v>1315</v>
      </c>
      <c r="E411" s="209" t="s">
        <v>760</v>
      </c>
      <c r="F411" s="208" t="s">
        <v>1316</v>
      </c>
      <c r="G411" s="209" t="s">
        <v>19</v>
      </c>
      <c r="H411" s="208"/>
      <c r="I411" s="208"/>
      <c r="J411" s="208"/>
      <c r="K411" s="208"/>
      <c r="L411" s="208"/>
      <c r="M411" s="208"/>
    </row>
    <row r="412" spans="2:13" ht="18.75">
      <c r="B412" s="211" t="s">
        <v>87</v>
      </c>
      <c r="C412" s="157">
        <v>45965</v>
      </c>
      <c r="D412" s="158" t="s">
        <v>1317</v>
      </c>
      <c r="E412" s="214" t="s">
        <v>763</v>
      </c>
      <c r="F412" s="213" t="s">
        <v>1318</v>
      </c>
      <c r="G412" s="214" t="s">
        <v>16</v>
      </c>
      <c r="H412" s="157">
        <v>45980</v>
      </c>
      <c r="I412" s="163">
        <v>46041</v>
      </c>
      <c r="J412" s="160"/>
      <c r="K412" s="208" t="s">
        <v>465</v>
      </c>
      <c r="L412" s="160"/>
      <c r="M412" s="160"/>
    </row>
    <row r="413" spans="2:13" ht="18.75">
      <c r="B413" s="211" t="s">
        <v>87</v>
      </c>
      <c r="C413" s="157">
        <v>45966</v>
      </c>
      <c r="D413" s="158" t="s">
        <v>1319</v>
      </c>
      <c r="E413" s="214" t="s">
        <v>771</v>
      </c>
      <c r="F413" s="213" t="s">
        <v>1320</v>
      </c>
      <c r="G413" s="214" t="s">
        <v>16</v>
      </c>
      <c r="H413" s="163">
        <v>46042</v>
      </c>
      <c r="I413" s="163">
        <v>46048</v>
      </c>
      <c r="J413" s="163">
        <v>46076</v>
      </c>
      <c r="K413" s="160"/>
      <c r="L413" s="160"/>
      <c r="M413" s="160"/>
    </row>
    <row r="414" spans="2:13" ht="18.75">
      <c r="B414" s="206" t="s">
        <v>87</v>
      </c>
      <c r="C414" s="165">
        <v>45967</v>
      </c>
      <c r="D414" s="166" t="s">
        <v>1321</v>
      </c>
      <c r="E414" s="209" t="s">
        <v>757</v>
      </c>
      <c r="F414" s="208" t="s">
        <v>1322</v>
      </c>
      <c r="G414" s="209" t="s">
        <v>19</v>
      </c>
      <c r="H414" s="168"/>
      <c r="I414" s="169"/>
      <c r="J414" s="168"/>
      <c r="K414" s="168"/>
      <c r="L414" s="168"/>
      <c r="M414" s="160"/>
    </row>
    <row r="415" spans="2:13" ht="18.75">
      <c r="B415" s="211" t="s">
        <v>87</v>
      </c>
      <c r="C415" s="157">
        <v>45967</v>
      </c>
      <c r="D415" s="158" t="s">
        <v>1323</v>
      </c>
      <c r="E415" s="214" t="s">
        <v>757</v>
      </c>
      <c r="F415" s="213" t="s">
        <v>749</v>
      </c>
      <c r="G415" s="161" t="s">
        <v>16</v>
      </c>
      <c r="H415" s="157">
        <v>45971</v>
      </c>
      <c r="I415" s="163">
        <v>45979</v>
      </c>
      <c r="J415" s="157">
        <v>46044</v>
      </c>
      <c r="K415" s="160"/>
      <c r="L415" s="160"/>
      <c r="M415" s="236"/>
    </row>
    <row r="416" spans="2:13" ht="18.75">
      <c r="B416" s="211" t="s">
        <v>87</v>
      </c>
      <c r="C416" s="157">
        <v>45973</v>
      </c>
      <c r="D416" s="158" t="s">
        <v>1324</v>
      </c>
      <c r="E416" s="214" t="s">
        <v>760</v>
      </c>
      <c r="F416" s="160" t="s">
        <v>101</v>
      </c>
      <c r="G416" s="209" t="s">
        <v>19</v>
      </c>
      <c r="H416" s="160"/>
      <c r="I416" s="161"/>
      <c r="J416" s="160"/>
      <c r="K416" s="160"/>
      <c r="L416" s="160"/>
      <c r="M416" s="236"/>
    </row>
    <row r="417" spans="2:12" ht="18.75">
      <c r="B417" s="211" t="s">
        <v>87</v>
      </c>
      <c r="C417" s="157">
        <v>45975</v>
      </c>
      <c r="D417" s="158" t="s">
        <v>1325</v>
      </c>
      <c r="E417" s="214" t="s">
        <v>753</v>
      </c>
      <c r="F417" s="168" t="s">
        <v>1326</v>
      </c>
      <c r="G417" s="209" t="s">
        <v>19</v>
      </c>
      <c r="H417" s="168"/>
      <c r="I417" s="169"/>
      <c r="J417" s="168"/>
      <c r="K417" s="168"/>
      <c r="L417" s="160"/>
    </row>
    <row r="418" spans="2:12" ht="18.75">
      <c r="B418" s="211" t="s">
        <v>87</v>
      </c>
      <c r="C418" s="157">
        <v>45980</v>
      </c>
      <c r="D418" s="158" t="s">
        <v>1327</v>
      </c>
      <c r="E418" s="219" t="s">
        <v>757</v>
      </c>
      <c r="F418" s="160" t="s">
        <v>1328</v>
      </c>
      <c r="G418" s="161" t="s">
        <v>16</v>
      </c>
      <c r="H418" s="163">
        <v>45982</v>
      </c>
      <c r="I418" s="163">
        <v>45987</v>
      </c>
      <c r="J418" s="157">
        <v>46052</v>
      </c>
      <c r="K418" s="160"/>
      <c r="L418" s="236"/>
    </row>
    <row r="419" spans="2:12" ht="18.75">
      <c r="B419" s="211" t="s">
        <v>87</v>
      </c>
      <c r="C419" s="157">
        <v>45981</v>
      </c>
      <c r="D419" s="158" t="s">
        <v>1329</v>
      </c>
      <c r="E419" s="219" t="s">
        <v>753</v>
      </c>
      <c r="F419" s="160" t="s">
        <v>158</v>
      </c>
      <c r="G419" s="214" t="s">
        <v>19</v>
      </c>
      <c r="H419" s="160"/>
      <c r="I419" s="161"/>
      <c r="J419" s="160"/>
      <c r="K419" s="160"/>
      <c r="L419" s="236"/>
    </row>
    <row r="420" spans="2:12" ht="18.75">
      <c r="B420" s="211" t="s">
        <v>87</v>
      </c>
      <c r="C420" s="157">
        <v>45981</v>
      </c>
      <c r="D420" s="158" t="s">
        <v>1330</v>
      </c>
      <c r="E420" s="219" t="s">
        <v>763</v>
      </c>
      <c r="F420" s="160" t="s">
        <v>1331</v>
      </c>
      <c r="G420" s="161" t="s">
        <v>16</v>
      </c>
      <c r="H420" s="157">
        <v>45982</v>
      </c>
      <c r="I420" s="161"/>
      <c r="J420" s="160"/>
      <c r="K420" s="160" t="s">
        <v>1332</v>
      </c>
      <c r="L420" s="236"/>
    </row>
    <row r="421" spans="2:12" ht="18.75">
      <c r="B421" s="211" t="s">
        <v>87</v>
      </c>
      <c r="C421" s="157">
        <v>45982</v>
      </c>
      <c r="D421" s="158" t="s">
        <v>1333</v>
      </c>
      <c r="E421" s="219" t="s">
        <v>771</v>
      </c>
      <c r="F421" s="160" t="s">
        <v>749</v>
      </c>
      <c r="G421" s="214" t="s">
        <v>19</v>
      </c>
      <c r="H421" s="160"/>
      <c r="I421" s="160"/>
      <c r="J421" s="160"/>
      <c r="K421" s="160"/>
      <c r="L421" s="236"/>
    </row>
    <row r="422" spans="2:12" ht="18.75">
      <c r="B422" s="211" t="s">
        <v>87</v>
      </c>
      <c r="C422" s="157">
        <v>45986</v>
      </c>
      <c r="D422" s="158" t="s">
        <v>1334</v>
      </c>
      <c r="E422" s="219" t="s">
        <v>757</v>
      </c>
      <c r="F422" s="160" t="s">
        <v>158</v>
      </c>
      <c r="G422" s="214" t="s">
        <v>19</v>
      </c>
      <c r="H422" s="160"/>
      <c r="I422" s="160"/>
      <c r="J422" s="160"/>
      <c r="K422" s="160"/>
      <c r="L422" s="236"/>
    </row>
    <row r="423" spans="2:12" ht="18.75">
      <c r="B423" s="206" t="s">
        <v>87</v>
      </c>
      <c r="C423" s="165">
        <v>45986</v>
      </c>
      <c r="D423" s="166" t="s">
        <v>1335</v>
      </c>
      <c r="E423" s="222" t="s">
        <v>755</v>
      </c>
      <c r="F423" s="168" t="s">
        <v>1336</v>
      </c>
      <c r="G423" s="209" t="s">
        <v>19</v>
      </c>
      <c r="H423" s="168"/>
      <c r="I423" s="168"/>
      <c r="J423" s="168"/>
      <c r="K423" s="168"/>
      <c r="L423" s="237"/>
    </row>
    <row r="424" spans="2:12" ht="18.75">
      <c r="B424" s="211" t="s">
        <v>87</v>
      </c>
      <c r="C424" s="157">
        <v>45986</v>
      </c>
      <c r="D424" s="158" t="s">
        <v>1337</v>
      </c>
      <c r="E424" s="214" t="s">
        <v>753</v>
      </c>
      <c r="F424" s="160" t="s">
        <v>103</v>
      </c>
      <c r="G424" s="214" t="s">
        <v>19</v>
      </c>
      <c r="H424" s="160"/>
      <c r="I424" s="160"/>
      <c r="J424" s="160"/>
      <c r="K424" s="160"/>
      <c r="L424" s="160"/>
    </row>
    <row r="425" spans="2:12" ht="18.75">
      <c r="B425" s="211" t="s">
        <v>87</v>
      </c>
      <c r="C425" s="157">
        <v>45986</v>
      </c>
      <c r="D425" s="158" t="s">
        <v>1338</v>
      </c>
      <c r="E425" s="214" t="s">
        <v>757</v>
      </c>
      <c r="F425" s="160" t="s">
        <v>109</v>
      </c>
      <c r="G425" s="214" t="s">
        <v>19</v>
      </c>
      <c r="H425" s="160"/>
      <c r="I425" s="160"/>
      <c r="J425" s="160"/>
      <c r="K425" s="160"/>
      <c r="L425" s="160"/>
    </row>
    <row r="426" spans="2:12" ht="18.75">
      <c r="B426" s="211" t="s">
        <v>87</v>
      </c>
      <c r="C426" s="157">
        <v>45987</v>
      </c>
      <c r="D426" s="158" t="s">
        <v>1339</v>
      </c>
      <c r="E426" s="214" t="s">
        <v>760</v>
      </c>
      <c r="F426" s="160" t="s">
        <v>101</v>
      </c>
      <c r="G426" s="214" t="s">
        <v>19</v>
      </c>
      <c r="H426" s="160"/>
      <c r="I426" s="160"/>
      <c r="J426" s="160"/>
      <c r="K426" s="160"/>
      <c r="L426" s="160"/>
    </row>
    <row r="427" spans="2:12" ht="18.75">
      <c r="B427" s="211" t="s">
        <v>173</v>
      </c>
      <c r="C427" s="157">
        <v>45992</v>
      </c>
      <c r="D427" s="158" t="s">
        <v>1340</v>
      </c>
      <c r="E427" s="214" t="s">
        <v>757</v>
      </c>
      <c r="F427" s="160" t="s">
        <v>1341</v>
      </c>
      <c r="G427" s="214" t="s">
        <v>16</v>
      </c>
      <c r="H427" s="157">
        <v>46006</v>
      </c>
      <c r="I427" s="160"/>
      <c r="J427" s="160"/>
      <c r="K427" s="160" t="s">
        <v>1342</v>
      </c>
      <c r="L427" s="160"/>
    </row>
    <row r="428" spans="2:12" ht="18.75">
      <c r="B428" s="211" t="s">
        <v>173</v>
      </c>
      <c r="C428" s="157">
        <v>45992</v>
      </c>
      <c r="D428" s="158" t="s">
        <v>1343</v>
      </c>
      <c r="E428" s="214" t="s">
        <v>771</v>
      </c>
      <c r="F428" s="160" t="s">
        <v>1344</v>
      </c>
      <c r="G428" s="214" t="s">
        <v>16</v>
      </c>
      <c r="H428" s="157">
        <v>45992</v>
      </c>
      <c r="I428" s="163">
        <v>46041</v>
      </c>
      <c r="J428" s="157">
        <v>46059</v>
      </c>
      <c r="K428" s="160"/>
      <c r="L428" s="160"/>
    </row>
    <row r="429" spans="2:12" ht="18.75">
      <c r="B429" s="211" t="s">
        <v>173</v>
      </c>
      <c r="C429" s="157">
        <v>45992</v>
      </c>
      <c r="D429" s="158" t="s">
        <v>1345</v>
      </c>
      <c r="E429" s="214" t="s">
        <v>771</v>
      </c>
      <c r="F429" s="160" t="s">
        <v>1346</v>
      </c>
      <c r="G429" s="214" t="s">
        <v>19</v>
      </c>
      <c r="H429" s="160"/>
      <c r="I429" s="160"/>
      <c r="J429" s="160"/>
      <c r="K429" s="160"/>
      <c r="L429" s="160"/>
    </row>
    <row r="430" spans="2:12" ht="18.75">
      <c r="B430" s="211" t="s">
        <v>173</v>
      </c>
      <c r="C430" s="157">
        <v>45992</v>
      </c>
      <c r="D430" s="158" t="s">
        <v>1347</v>
      </c>
      <c r="E430" s="214" t="s">
        <v>763</v>
      </c>
      <c r="F430" s="160" t="s">
        <v>1348</v>
      </c>
      <c r="G430" s="161" t="s">
        <v>16</v>
      </c>
      <c r="H430" s="157">
        <v>45995</v>
      </c>
      <c r="I430" s="163">
        <v>46041</v>
      </c>
      <c r="J430" s="157">
        <v>46056</v>
      </c>
      <c r="K430" s="160"/>
      <c r="L430" s="160"/>
    </row>
    <row r="431" spans="2:12" ht="18.75">
      <c r="B431" s="211" t="s">
        <v>173</v>
      </c>
      <c r="C431" s="165">
        <v>45993</v>
      </c>
      <c r="D431" s="166" t="s">
        <v>1349</v>
      </c>
      <c r="E431" s="209" t="s">
        <v>763</v>
      </c>
      <c r="F431" s="168" t="s">
        <v>1350</v>
      </c>
      <c r="G431" s="209" t="s">
        <v>19</v>
      </c>
      <c r="H431" s="168"/>
      <c r="I431" s="168"/>
      <c r="J431" s="168"/>
      <c r="K431" s="168"/>
      <c r="L431" s="168"/>
    </row>
    <row r="432" spans="2:12" ht="18.75">
      <c r="B432" s="218" t="s">
        <v>173</v>
      </c>
      <c r="C432" s="157">
        <v>45993</v>
      </c>
      <c r="D432" s="158" t="s">
        <v>1351</v>
      </c>
      <c r="E432" s="214" t="s">
        <v>760</v>
      </c>
      <c r="F432" s="160" t="s">
        <v>1352</v>
      </c>
      <c r="G432" s="214" t="s">
        <v>19</v>
      </c>
      <c r="H432" s="160"/>
      <c r="I432" s="160"/>
      <c r="J432" s="160"/>
      <c r="K432" s="160"/>
      <c r="L432" s="160"/>
    </row>
    <row r="433" spans="2:12" ht="18.75">
      <c r="B433" s="218" t="s">
        <v>173</v>
      </c>
      <c r="C433" s="157">
        <v>45993</v>
      </c>
      <c r="D433" s="158" t="s">
        <v>1353</v>
      </c>
      <c r="E433" s="214" t="s">
        <v>757</v>
      </c>
      <c r="F433" s="160" t="s">
        <v>1352</v>
      </c>
      <c r="G433" s="214" t="s">
        <v>19</v>
      </c>
      <c r="H433" s="160"/>
      <c r="I433" s="160"/>
      <c r="J433" s="160"/>
      <c r="K433" s="160"/>
      <c r="L433" s="160"/>
    </row>
    <row r="434" spans="2:12" ht="18.75">
      <c r="B434" s="218" t="s">
        <v>173</v>
      </c>
      <c r="C434" s="157">
        <v>45995</v>
      </c>
      <c r="D434" s="158" t="s">
        <v>1354</v>
      </c>
      <c r="E434" s="214" t="s">
        <v>753</v>
      </c>
      <c r="F434" s="160" t="s">
        <v>1355</v>
      </c>
      <c r="G434" s="214" t="s">
        <v>19</v>
      </c>
      <c r="H434" s="160"/>
      <c r="I434" s="160"/>
      <c r="J434" s="160"/>
      <c r="K434" s="160"/>
      <c r="L434" s="160"/>
    </row>
    <row r="435" spans="2:12" ht="18.75">
      <c r="B435" s="218" t="s">
        <v>173</v>
      </c>
      <c r="C435" s="157">
        <v>45995</v>
      </c>
      <c r="D435" s="158" t="s">
        <v>1356</v>
      </c>
      <c r="E435" s="214" t="s">
        <v>753</v>
      </c>
      <c r="F435" s="160" t="s">
        <v>1357</v>
      </c>
      <c r="G435" s="214" t="s">
        <v>19</v>
      </c>
      <c r="H435" s="160"/>
      <c r="I435" s="160"/>
      <c r="J435" s="160"/>
      <c r="K435" s="160"/>
      <c r="L435" s="160"/>
    </row>
    <row r="436" spans="2:12" ht="18.75">
      <c r="B436" s="243" t="s">
        <v>173</v>
      </c>
      <c r="C436" s="165">
        <v>45995</v>
      </c>
      <c r="D436" s="166" t="s">
        <v>1358</v>
      </c>
      <c r="E436" s="209" t="s">
        <v>771</v>
      </c>
      <c r="F436" s="168" t="s">
        <v>1341</v>
      </c>
      <c r="G436" s="209" t="s">
        <v>19</v>
      </c>
      <c r="H436" s="168"/>
      <c r="I436" s="168"/>
      <c r="J436" s="168"/>
      <c r="K436" s="168"/>
      <c r="L436" s="160"/>
    </row>
    <row r="437" spans="2:12" ht="18.75">
      <c r="B437" s="211" t="s">
        <v>173</v>
      </c>
      <c r="C437" s="157">
        <v>46000</v>
      </c>
      <c r="D437" s="158" t="s">
        <v>1359</v>
      </c>
      <c r="E437" s="214" t="s">
        <v>753</v>
      </c>
      <c r="F437" s="160" t="s">
        <v>1360</v>
      </c>
      <c r="G437" s="214" t="s">
        <v>19</v>
      </c>
      <c r="H437" s="160"/>
      <c r="I437" s="160"/>
      <c r="J437" s="160"/>
      <c r="K437" s="160"/>
      <c r="L437" s="236"/>
    </row>
    <row r="438" spans="2:12" ht="18.75">
      <c r="B438" s="211" t="s">
        <v>173</v>
      </c>
      <c r="C438" s="157">
        <v>46002</v>
      </c>
      <c r="D438" s="158" t="s">
        <v>1361</v>
      </c>
      <c r="E438" s="214" t="s">
        <v>760</v>
      </c>
      <c r="F438" s="160" t="s">
        <v>1362</v>
      </c>
      <c r="G438" s="214" t="s">
        <v>16</v>
      </c>
      <c r="H438" s="157">
        <v>46056</v>
      </c>
      <c r="I438" s="163">
        <v>46062</v>
      </c>
      <c r="J438" s="157">
        <v>46085</v>
      </c>
      <c r="K438" s="160"/>
      <c r="L438" s="236"/>
    </row>
    <row r="439" spans="2:12" ht="18.75">
      <c r="B439" s="211" t="s">
        <v>173</v>
      </c>
      <c r="C439" s="157">
        <v>46003</v>
      </c>
      <c r="D439" s="166" t="s">
        <v>1363</v>
      </c>
      <c r="E439" s="209" t="s">
        <v>757</v>
      </c>
      <c r="F439" s="168" t="s">
        <v>1364</v>
      </c>
      <c r="G439" s="209" t="s">
        <v>16</v>
      </c>
      <c r="H439" s="165">
        <v>46038</v>
      </c>
      <c r="I439" s="168"/>
      <c r="J439" s="168"/>
      <c r="K439" s="168" t="s">
        <v>1365</v>
      </c>
      <c r="L439" s="237"/>
    </row>
    <row r="440" spans="2:12" ht="18.75">
      <c r="B440" s="211" t="s">
        <v>173</v>
      </c>
      <c r="C440" s="172">
        <v>46006</v>
      </c>
      <c r="D440" s="158" t="s">
        <v>1366</v>
      </c>
      <c r="E440" s="160" t="s">
        <v>771</v>
      </c>
      <c r="F440" s="160" t="s">
        <v>1367</v>
      </c>
      <c r="G440" s="161" t="s">
        <v>19</v>
      </c>
      <c r="H440" s="160"/>
      <c r="I440" s="160"/>
      <c r="J440" s="160"/>
      <c r="K440" s="160"/>
      <c r="L440" s="160"/>
    </row>
    <row r="441" spans="2:12" ht="18.75">
      <c r="B441" s="211" t="s">
        <v>13</v>
      </c>
      <c r="C441" s="172">
        <v>46036</v>
      </c>
      <c r="D441" s="158" t="s">
        <v>1368</v>
      </c>
      <c r="E441" s="160" t="s">
        <v>760</v>
      </c>
      <c r="F441" s="160" t="s">
        <v>1369</v>
      </c>
      <c r="G441" s="161" t="s">
        <v>19</v>
      </c>
      <c r="H441" s="160"/>
      <c r="I441" s="160"/>
      <c r="J441" s="160"/>
      <c r="K441" s="160"/>
      <c r="L441" s="160"/>
    </row>
    <row r="442" spans="2:12" ht="18.75">
      <c r="B442" s="211" t="s">
        <v>13</v>
      </c>
      <c r="C442" s="172">
        <v>46036</v>
      </c>
      <c r="D442" s="158" t="s">
        <v>1370</v>
      </c>
      <c r="E442" s="160" t="s">
        <v>757</v>
      </c>
      <c r="F442" s="160" t="s">
        <v>1369</v>
      </c>
      <c r="G442" s="161" t="s">
        <v>19</v>
      </c>
      <c r="H442" s="160"/>
      <c r="I442" s="160"/>
      <c r="J442" s="160"/>
      <c r="K442" s="160"/>
      <c r="L442" s="160"/>
    </row>
    <row r="443" spans="2:12" ht="18.75">
      <c r="B443" s="211" t="s">
        <v>13</v>
      </c>
      <c r="C443" s="172">
        <v>46038</v>
      </c>
      <c r="D443" s="158" t="s">
        <v>1371</v>
      </c>
      <c r="E443" s="160" t="s">
        <v>771</v>
      </c>
      <c r="F443" s="160" t="s">
        <v>1372</v>
      </c>
      <c r="G443" s="209" t="s">
        <v>16</v>
      </c>
      <c r="H443" s="157">
        <v>46041</v>
      </c>
      <c r="I443" s="163">
        <v>46044</v>
      </c>
      <c r="J443" s="160"/>
      <c r="K443" s="160" t="s">
        <v>465</v>
      </c>
      <c r="L443" s="160"/>
    </row>
    <row r="444" spans="2:12" ht="18.75">
      <c r="B444" s="211" t="s">
        <v>13</v>
      </c>
      <c r="C444" s="172">
        <v>46038</v>
      </c>
      <c r="D444" s="158" t="s">
        <v>1373</v>
      </c>
      <c r="E444" s="160" t="s">
        <v>771</v>
      </c>
      <c r="F444" s="160" t="s">
        <v>1374</v>
      </c>
      <c r="G444" s="161" t="s">
        <v>19</v>
      </c>
      <c r="H444" s="160"/>
      <c r="I444" s="160"/>
      <c r="J444" s="160"/>
      <c r="K444" s="160"/>
      <c r="L444" s="160"/>
    </row>
    <row r="445" spans="2:12" ht="18.75">
      <c r="B445" s="211" t="s">
        <v>13</v>
      </c>
      <c r="C445" s="172">
        <v>46041</v>
      </c>
      <c r="D445" s="158" t="s">
        <v>1375</v>
      </c>
      <c r="E445" s="160" t="s">
        <v>757</v>
      </c>
      <c r="F445" s="160" t="s">
        <v>1376</v>
      </c>
      <c r="G445" s="161" t="s">
        <v>16</v>
      </c>
      <c r="H445" s="157">
        <v>46076</v>
      </c>
      <c r="I445" s="163">
        <v>46083</v>
      </c>
      <c r="J445" s="160"/>
      <c r="K445" s="160" t="s">
        <v>1282</v>
      </c>
      <c r="L445" s="160"/>
    </row>
    <row r="446" spans="2:12" ht="18.75">
      <c r="B446" s="211" t="s">
        <v>13</v>
      </c>
      <c r="C446" s="172">
        <v>46042</v>
      </c>
      <c r="D446" s="158" t="s">
        <v>1377</v>
      </c>
      <c r="E446" s="160" t="s">
        <v>757</v>
      </c>
      <c r="F446" s="160" t="s">
        <v>103</v>
      </c>
      <c r="G446" s="161" t="s">
        <v>19</v>
      </c>
      <c r="H446" s="160"/>
      <c r="I446" s="160"/>
      <c r="J446" s="160"/>
      <c r="K446" s="160"/>
      <c r="L446" s="160"/>
    </row>
    <row r="447" spans="2:12" ht="18.75">
      <c r="B447" s="211" t="s">
        <v>13</v>
      </c>
      <c r="C447" s="172">
        <v>46042</v>
      </c>
      <c r="D447" s="158" t="s">
        <v>1378</v>
      </c>
      <c r="E447" s="160" t="s">
        <v>753</v>
      </c>
      <c r="F447" s="160" t="s">
        <v>586</v>
      </c>
      <c r="G447" s="161" t="s">
        <v>19</v>
      </c>
      <c r="H447" s="160"/>
      <c r="I447" s="160"/>
      <c r="J447" s="160"/>
      <c r="K447" s="160"/>
      <c r="L447" s="160"/>
    </row>
    <row r="448" spans="2:12" ht="18.75">
      <c r="B448" s="211" t="s">
        <v>13</v>
      </c>
      <c r="C448" s="172">
        <v>46043</v>
      </c>
      <c r="D448" s="158" t="s">
        <v>1379</v>
      </c>
      <c r="E448" s="160" t="s">
        <v>760</v>
      </c>
      <c r="F448" s="160" t="s">
        <v>101</v>
      </c>
      <c r="G448" s="161" t="s">
        <v>16</v>
      </c>
      <c r="H448" s="157">
        <v>46069</v>
      </c>
      <c r="I448" s="163">
        <v>46097</v>
      </c>
      <c r="J448" s="160"/>
      <c r="K448" s="160" t="s">
        <v>1282</v>
      </c>
      <c r="L448" s="160"/>
    </row>
    <row r="449" spans="2:12" ht="18.75">
      <c r="B449" s="211" t="s">
        <v>13</v>
      </c>
      <c r="C449" s="172">
        <v>46048</v>
      </c>
      <c r="D449" s="158" t="s">
        <v>1380</v>
      </c>
      <c r="E449" s="160" t="s">
        <v>760</v>
      </c>
      <c r="F449" s="160" t="s">
        <v>103</v>
      </c>
      <c r="G449" s="161" t="s">
        <v>19</v>
      </c>
      <c r="H449" s="160"/>
      <c r="I449" s="160"/>
      <c r="J449" s="160"/>
      <c r="K449" s="160"/>
      <c r="L449" s="160"/>
    </row>
    <row r="450" spans="2:12" ht="18.75">
      <c r="B450" s="206" t="s">
        <v>13</v>
      </c>
      <c r="C450" s="245">
        <v>46049</v>
      </c>
      <c r="D450" s="166" t="s">
        <v>1381</v>
      </c>
      <c r="E450" s="168" t="s">
        <v>763</v>
      </c>
      <c r="F450" s="168" t="s">
        <v>1382</v>
      </c>
      <c r="G450" s="169" t="s">
        <v>19</v>
      </c>
      <c r="H450" s="168"/>
      <c r="I450" s="168"/>
      <c r="J450" s="168"/>
      <c r="K450" s="168"/>
      <c r="L450" s="168"/>
    </row>
    <row r="451" spans="2:12" ht="18.75">
      <c r="B451" s="211" t="s">
        <v>13</v>
      </c>
      <c r="C451" s="157">
        <v>46049</v>
      </c>
      <c r="D451" s="158" t="s">
        <v>1383</v>
      </c>
      <c r="E451" s="160" t="s">
        <v>771</v>
      </c>
      <c r="F451" s="160" t="s">
        <v>103</v>
      </c>
      <c r="G451" s="161" t="s">
        <v>19</v>
      </c>
      <c r="H451" s="160"/>
      <c r="I451" s="160"/>
      <c r="J451" s="160"/>
      <c r="K451" s="160"/>
      <c r="L451" s="160"/>
    </row>
    <row r="452" spans="2:12" ht="18.75">
      <c r="B452" s="211" t="s">
        <v>24</v>
      </c>
      <c r="C452" s="157">
        <v>46056</v>
      </c>
      <c r="D452" s="158" t="s">
        <v>1384</v>
      </c>
      <c r="E452" s="160" t="s">
        <v>753</v>
      </c>
      <c r="F452" s="160" t="s">
        <v>1385</v>
      </c>
      <c r="G452" s="161" t="s">
        <v>19</v>
      </c>
      <c r="H452" s="160"/>
      <c r="I452" s="160"/>
      <c r="J452" s="160"/>
      <c r="K452" s="160"/>
      <c r="L452" s="160"/>
    </row>
    <row r="453" spans="2:12" ht="18.75">
      <c r="B453" s="211" t="s">
        <v>24</v>
      </c>
      <c r="C453" s="157">
        <v>46056</v>
      </c>
      <c r="D453" s="158" t="s">
        <v>1386</v>
      </c>
      <c r="E453" s="160" t="s">
        <v>757</v>
      </c>
      <c r="F453" s="160" t="s">
        <v>1387</v>
      </c>
      <c r="G453" s="214" t="s">
        <v>16</v>
      </c>
      <c r="H453" s="157">
        <v>46058</v>
      </c>
      <c r="I453" s="160"/>
      <c r="J453" s="160"/>
      <c r="K453" s="160"/>
      <c r="L453" s="160"/>
    </row>
    <row r="454" spans="2:12" ht="18.75">
      <c r="B454" s="211" t="s">
        <v>24</v>
      </c>
      <c r="C454" s="157">
        <v>46056</v>
      </c>
      <c r="D454" s="158" t="s">
        <v>1388</v>
      </c>
      <c r="E454" s="160" t="s">
        <v>763</v>
      </c>
      <c r="F454" s="160" t="s">
        <v>103</v>
      </c>
      <c r="G454" s="161" t="s">
        <v>19</v>
      </c>
      <c r="H454" s="160"/>
      <c r="I454" s="160"/>
      <c r="J454" s="160"/>
      <c r="K454" s="160"/>
      <c r="L454" s="160"/>
    </row>
    <row r="455" spans="2:12" ht="18.75">
      <c r="B455" s="211" t="s">
        <v>24</v>
      </c>
      <c r="C455" s="157">
        <v>46056</v>
      </c>
      <c r="D455" s="158" t="s">
        <v>1389</v>
      </c>
      <c r="E455" s="160" t="s">
        <v>760</v>
      </c>
      <c r="F455" s="160" t="s">
        <v>103</v>
      </c>
      <c r="G455" s="161" t="s">
        <v>19</v>
      </c>
      <c r="H455" s="160"/>
      <c r="I455" s="160"/>
      <c r="J455" s="160"/>
      <c r="K455" s="160"/>
      <c r="L455" s="160"/>
    </row>
    <row r="456" spans="2:12" ht="18.75">
      <c r="B456" s="211" t="s">
        <v>24</v>
      </c>
      <c r="C456" s="157">
        <v>46062</v>
      </c>
      <c r="D456" s="158" t="s">
        <v>1390</v>
      </c>
      <c r="E456" s="160" t="s">
        <v>757</v>
      </c>
      <c r="F456" s="160" t="s">
        <v>101</v>
      </c>
      <c r="G456" s="161" t="s">
        <v>19</v>
      </c>
      <c r="H456" s="160"/>
      <c r="I456" s="160"/>
      <c r="J456" s="160"/>
      <c r="K456" s="160"/>
      <c r="L456" s="160"/>
    </row>
    <row r="457" spans="2:12" ht="18.75">
      <c r="B457" s="211" t="s">
        <v>24</v>
      </c>
      <c r="C457" s="157">
        <v>46065</v>
      </c>
      <c r="D457" s="158" t="s">
        <v>1391</v>
      </c>
      <c r="E457" s="160" t="s">
        <v>755</v>
      </c>
      <c r="F457" s="160" t="s">
        <v>103</v>
      </c>
      <c r="G457" s="161" t="s">
        <v>16</v>
      </c>
      <c r="H457" s="157">
        <v>46069</v>
      </c>
      <c r="I457" s="163">
        <v>46076</v>
      </c>
      <c r="J457" s="160"/>
      <c r="K457" s="160" t="s">
        <v>1282</v>
      </c>
      <c r="L457" s="160"/>
    </row>
    <row r="458" spans="2:12" ht="18.75">
      <c r="B458" s="206" t="s">
        <v>24</v>
      </c>
      <c r="C458" s="165">
        <v>46065</v>
      </c>
      <c r="D458" s="166" t="s">
        <v>1392</v>
      </c>
      <c r="E458" s="168" t="s">
        <v>757</v>
      </c>
      <c r="F458" s="168" t="s">
        <v>749</v>
      </c>
      <c r="G458" s="169" t="s">
        <v>19</v>
      </c>
      <c r="H458" s="168"/>
      <c r="I458" s="168"/>
      <c r="J458" s="168"/>
      <c r="K458" s="168"/>
      <c r="L458" s="168"/>
    </row>
    <row r="459" spans="2:12" ht="18.75">
      <c r="B459" s="211" t="s">
        <v>24</v>
      </c>
      <c r="C459" s="157">
        <v>46071</v>
      </c>
      <c r="D459" s="158" t="s">
        <v>1393</v>
      </c>
      <c r="E459" s="160" t="s">
        <v>753</v>
      </c>
      <c r="F459" s="160" t="s">
        <v>1394</v>
      </c>
      <c r="G459" s="161" t="s">
        <v>16</v>
      </c>
      <c r="H459" s="157">
        <v>46083</v>
      </c>
      <c r="I459" s="163">
        <v>46097</v>
      </c>
      <c r="J459" s="160"/>
      <c r="K459" s="160" t="s">
        <v>1282</v>
      </c>
      <c r="L459" s="160"/>
    </row>
    <row r="460" spans="2:12" ht="18.75">
      <c r="B460" s="211" t="s">
        <v>24</v>
      </c>
      <c r="C460" s="157">
        <v>46072</v>
      </c>
      <c r="D460" s="158" t="s">
        <v>1395</v>
      </c>
      <c r="E460" s="160" t="s">
        <v>763</v>
      </c>
      <c r="F460" s="160" t="s">
        <v>109</v>
      </c>
      <c r="G460" s="161" t="s">
        <v>19</v>
      </c>
      <c r="H460" s="160"/>
      <c r="I460" s="160"/>
      <c r="J460" s="160"/>
      <c r="K460" s="160"/>
      <c r="L460" s="160"/>
    </row>
    <row r="461" spans="2:12" ht="18.75">
      <c r="B461" s="211" t="s">
        <v>24</v>
      </c>
      <c r="C461" s="157">
        <v>46073</v>
      </c>
      <c r="D461" s="158" t="s">
        <v>1396</v>
      </c>
      <c r="E461" s="160" t="s">
        <v>753</v>
      </c>
      <c r="F461" s="160" t="s">
        <v>103</v>
      </c>
      <c r="G461" s="161" t="s">
        <v>19</v>
      </c>
      <c r="H461" s="160"/>
      <c r="I461" s="160"/>
      <c r="J461" s="160"/>
      <c r="K461" s="160"/>
      <c r="L461" s="160"/>
    </row>
    <row r="462" spans="2:12" ht="18.75">
      <c r="B462" s="211" t="s">
        <v>24</v>
      </c>
      <c r="C462" s="157">
        <v>46076</v>
      </c>
      <c r="D462" s="158" t="s">
        <v>1397</v>
      </c>
      <c r="E462" s="160" t="s">
        <v>760</v>
      </c>
      <c r="F462" s="160" t="s">
        <v>103</v>
      </c>
      <c r="G462" s="161" t="s">
        <v>19</v>
      </c>
      <c r="H462" s="160"/>
      <c r="I462" s="160"/>
      <c r="J462" s="160"/>
      <c r="K462" s="160"/>
      <c r="L462" s="160"/>
    </row>
    <row r="463" spans="2:12" ht="18.75">
      <c r="B463" s="206" t="s">
        <v>24</v>
      </c>
      <c r="C463" s="165">
        <v>46077</v>
      </c>
      <c r="D463" s="166" t="s">
        <v>1398</v>
      </c>
      <c r="E463" s="168" t="s">
        <v>763</v>
      </c>
      <c r="F463" s="168" t="s">
        <v>1399</v>
      </c>
      <c r="G463" s="169" t="s">
        <v>19</v>
      </c>
      <c r="H463" s="168"/>
      <c r="I463" s="168"/>
      <c r="J463" s="168"/>
      <c r="K463" s="168"/>
      <c r="L463" s="168"/>
    </row>
    <row r="464" spans="2:12" ht="18.75">
      <c r="B464" s="211" t="s">
        <v>24</v>
      </c>
      <c r="C464" s="157">
        <v>46079</v>
      </c>
      <c r="D464" s="158" t="s">
        <v>1400</v>
      </c>
      <c r="E464" s="160" t="s">
        <v>753</v>
      </c>
      <c r="F464" s="160" t="s">
        <v>103</v>
      </c>
      <c r="G464" s="161" t="s">
        <v>16</v>
      </c>
      <c r="H464" s="157">
        <v>46094</v>
      </c>
      <c r="I464" s="163">
        <v>46125</v>
      </c>
      <c r="J464" s="160"/>
      <c r="K464" s="160"/>
      <c r="L464" s="160"/>
    </row>
    <row r="465" spans="2:12" ht="18.75">
      <c r="B465" s="211" t="s">
        <v>34</v>
      </c>
      <c r="C465" s="157">
        <v>46084</v>
      </c>
      <c r="D465" s="158" t="s">
        <v>1401</v>
      </c>
      <c r="E465" s="160" t="s">
        <v>771</v>
      </c>
      <c r="F465" s="160" t="s">
        <v>103</v>
      </c>
      <c r="G465" s="161" t="s">
        <v>16</v>
      </c>
      <c r="H465" s="157">
        <v>46097</v>
      </c>
      <c r="I465" s="163">
        <v>46119</v>
      </c>
      <c r="J465" s="160"/>
      <c r="K465" s="160"/>
      <c r="L465" s="160"/>
    </row>
    <row r="466" spans="2:12" ht="18.75">
      <c r="B466" s="206" t="s">
        <v>34</v>
      </c>
      <c r="C466" s="165">
        <v>46091</v>
      </c>
      <c r="D466" s="166" t="s">
        <v>1402</v>
      </c>
      <c r="E466" s="168" t="s">
        <v>757</v>
      </c>
      <c r="F466" s="168" t="s">
        <v>101</v>
      </c>
      <c r="G466" s="169" t="s">
        <v>16</v>
      </c>
      <c r="H466" s="165">
        <v>46094</v>
      </c>
      <c r="I466" s="171">
        <v>46118</v>
      </c>
      <c r="J466" s="168"/>
      <c r="K466" s="168"/>
      <c r="L466" s="168"/>
    </row>
    <row r="467" spans="2:12" ht="18.75">
      <c r="B467" s="211" t="s">
        <v>34</v>
      </c>
      <c r="C467" s="157">
        <v>46093</v>
      </c>
      <c r="D467" s="158" t="s">
        <v>1403</v>
      </c>
      <c r="E467" s="160" t="s">
        <v>760</v>
      </c>
      <c r="F467" s="160" t="s">
        <v>101</v>
      </c>
      <c r="G467" s="161" t="s">
        <v>19</v>
      </c>
      <c r="H467" s="160"/>
      <c r="I467" s="160"/>
      <c r="J467" s="160"/>
      <c r="K467" s="160"/>
      <c r="L467" s="160"/>
    </row>
    <row r="468" spans="2:12" ht="18.75">
      <c r="B468" s="211" t="s">
        <v>34</v>
      </c>
      <c r="C468" s="157">
        <v>46105</v>
      </c>
      <c r="D468" s="158" t="s">
        <v>1404</v>
      </c>
      <c r="E468" s="160" t="s">
        <v>753</v>
      </c>
      <c r="F468" s="160" t="s">
        <v>101</v>
      </c>
      <c r="G468" s="161" t="s">
        <v>19</v>
      </c>
      <c r="H468" s="160"/>
      <c r="I468" s="160"/>
      <c r="J468" s="160"/>
      <c r="K468" s="160"/>
      <c r="L468" s="160"/>
    </row>
    <row r="469" spans="2:12" ht="18.75">
      <c r="B469" s="211" t="s">
        <v>34</v>
      </c>
      <c r="C469" s="157">
        <v>46107</v>
      </c>
      <c r="D469" s="158" t="s">
        <v>1405</v>
      </c>
      <c r="E469" s="160" t="s">
        <v>753</v>
      </c>
      <c r="F469" s="160" t="s">
        <v>1406</v>
      </c>
      <c r="G469" s="161" t="s">
        <v>16</v>
      </c>
      <c r="H469" s="157">
        <v>46108</v>
      </c>
      <c r="I469" s="160"/>
      <c r="J469" s="160"/>
      <c r="K469" s="160"/>
      <c r="L469" s="160"/>
    </row>
    <row r="470" spans="2:12" ht="18.75">
      <c r="B470" s="211" t="s">
        <v>34</v>
      </c>
      <c r="C470" s="157">
        <v>46108</v>
      </c>
      <c r="D470" s="158" t="s">
        <v>1407</v>
      </c>
      <c r="E470" s="160" t="s">
        <v>760</v>
      </c>
      <c r="F470" s="160" t="s">
        <v>742</v>
      </c>
      <c r="G470" s="161" t="s">
        <v>19</v>
      </c>
      <c r="H470" s="160"/>
      <c r="I470" s="160"/>
      <c r="J470" s="160"/>
      <c r="K470" s="160"/>
      <c r="L470" s="160"/>
    </row>
    <row r="471" spans="2:12" ht="18.75">
      <c r="B471" s="206" t="s">
        <v>38</v>
      </c>
      <c r="C471" s="165">
        <v>46119</v>
      </c>
      <c r="D471" s="166" t="s">
        <v>1408</v>
      </c>
      <c r="E471" s="168" t="s">
        <v>771</v>
      </c>
      <c r="F471" s="168" t="s">
        <v>101</v>
      </c>
      <c r="G471" s="169" t="s">
        <v>19</v>
      </c>
      <c r="H471" s="168"/>
      <c r="I471" s="168"/>
      <c r="J471" s="168"/>
      <c r="K471" s="168"/>
      <c r="L471" s="168"/>
    </row>
    <row r="472" spans="2:12" ht="18.75">
      <c r="B472" s="211" t="s">
        <v>38</v>
      </c>
      <c r="C472" s="157">
        <v>46120</v>
      </c>
      <c r="D472" s="158" t="s">
        <v>1409</v>
      </c>
      <c r="E472" s="160" t="s">
        <v>763</v>
      </c>
      <c r="F472" s="160" t="s">
        <v>740</v>
      </c>
      <c r="G472" s="161" t="s">
        <v>19</v>
      </c>
      <c r="H472" s="160"/>
      <c r="I472" s="160"/>
      <c r="J472" s="160"/>
      <c r="K472" s="160"/>
      <c r="L472" s="160"/>
    </row>
    <row r="473" spans="2:12" ht="18.75">
      <c r="B473" s="211" t="s">
        <v>38</v>
      </c>
      <c r="C473" s="157">
        <v>46120</v>
      </c>
      <c r="D473" s="158" t="s">
        <v>1410</v>
      </c>
      <c r="E473" s="160" t="s">
        <v>771</v>
      </c>
      <c r="F473" s="160" t="s">
        <v>1411</v>
      </c>
      <c r="G473" s="161" t="s">
        <v>19</v>
      </c>
      <c r="H473" s="160"/>
      <c r="I473" s="160"/>
      <c r="J473" s="160"/>
      <c r="K473" s="160"/>
      <c r="L473" s="160"/>
    </row>
    <row r="474" spans="2:12" ht="18.75">
      <c r="B474" s="211" t="s">
        <v>38</v>
      </c>
      <c r="C474" s="157">
        <v>46127</v>
      </c>
      <c r="D474" s="158" t="s">
        <v>1412</v>
      </c>
      <c r="E474" s="249" t="s">
        <v>753</v>
      </c>
      <c r="F474" s="160" t="s">
        <v>103</v>
      </c>
      <c r="G474" s="161" t="s">
        <v>19</v>
      </c>
      <c r="H474" s="160"/>
      <c r="I474" s="160"/>
      <c r="J474" s="160"/>
      <c r="K474" s="160"/>
      <c r="L474" s="160"/>
    </row>
    <row r="475" spans="2:12" ht="18.75">
      <c r="B475" s="211" t="s">
        <v>38</v>
      </c>
      <c r="C475" s="157">
        <v>46127</v>
      </c>
      <c r="D475" s="158" t="s">
        <v>1413</v>
      </c>
      <c r="E475" s="249" t="s">
        <v>753</v>
      </c>
      <c r="F475" s="160" t="s">
        <v>103</v>
      </c>
      <c r="G475" s="161" t="s">
        <v>19</v>
      </c>
      <c r="H475" s="160"/>
      <c r="I475" s="160"/>
      <c r="J475" s="160"/>
      <c r="K475" s="160"/>
      <c r="L475" s="160"/>
    </row>
    <row r="476" spans="2:12" ht="18.75">
      <c r="B476" s="211" t="s">
        <v>38</v>
      </c>
      <c r="C476" s="157">
        <v>46129</v>
      </c>
      <c r="D476" s="158" t="s">
        <v>1414</v>
      </c>
      <c r="E476" s="249" t="s">
        <v>760</v>
      </c>
      <c r="F476" s="160" t="s">
        <v>101</v>
      </c>
      <c r="G476" s="161" t="s">
        <v>19</v>
      </c>
      <c r="H476" s="160"/>
      <c r="I476" s="160"/>
      <c r="J476" s="160"/>
      <c r="K476" s="160"/>
      <c r="L476" s="160"/>
    </row>
    <row r="477" spans="2:12" ht="18.75">
      <c r="B477" s="211" t="s">
        <v>38</v>
      </c>
      <c r="C477" s="157">
        <v>46129</v>
      </c>
      <c r="D477" s="158" t="s">
        <v>1415</v>
      </c>
      <c r="E477" s="249" t="s">
        <v>757</v>
      </c>
      <c r="F477" s="160" t="s">
        <v>101</v>
      </c>
      <c r="G477" s="161" t="s">
        <v>19</v>
      </c>
      <c r="H477" s="160"/>
      <c r="I477" s="160"/>
      <c r="J477" s="160"/>
      <c r="K477" s="160"/>
      <c r="L477" s="160"/>
    </row>
    <row r="478" spans="2:12" ht="18.75">
      <c r="B478" s="211" t="s">
        <v>38</v>
      </c>
      <c r="C478" s="157">
        <v>46129</v>
      </c>
      <c r="D478" s="158" t="s">
        <v>1416</v>
      </c>
      <c r="E478" s="249" t="s">
        <v>755</v>
      </c>
      <c r="F478" s="160" t="s">
        <v>101</v>
      </c>
      <c r="G478" s="161" t="s">
        <v>19</v>
      </c>
      <c r="H478" s="160"/>
      <c r="I478" s="160"/>
      <c r="J478" s="160"/>
      <c r="K478" s="160"/>
      <c r="L478" s="160"/>
    </row>
    <row r="479" spans="2:12" ht="18.75">
      <c r="B479" s="211" t="s">
        <v>38</v>
      </c>
      <c r="C479" s="157">
        <v>46132</v>
      </c>
      <c r="D479" s="158" t="s">
        <v>1417</v>
      </c>
      <c r="E479" s="249" t="s">
        <v>760</v>
      </c>
      <c r="F479" s="160" t="s">
        <v>101</v>
      </c>
      <c r="G479" s="161" t="s">
        <v>19</v>
      </c>
      <c r="H479" s="160"/>
      <c r="I479" s="160"/>
      <c r="J479" s="160"/>
      <c r="K479" s="160"/>
      <c r="L479" s="160"/>
    </row>
    <row r="480" spans="2:12">
      <c r="G480"/>
    </row>
    <row r="481" spans="7:7">
      <c r="G481"/>
    </row>
  </sheetData>
  <conditionalFormatting sqref="M2:P320">
    <cfRule type="cellIs" dxfId="0" priority="1" operator="lessThan">
      <formula>0</formula>
    </cfRule>
  </conditionalFormatting>
  <dataValidations count="4">
    <dataValidation type="list" allowBlank="1" showInputMessage="1" showErrorMessage="1" sqref="B2:B289" xr:uid="{078AB604-774A-480D-9EAB-412C8197BE45}">
      <formula1>"Enero,Febrero,Marzo,Abril,Mayo,Junio,Julio,Agosto,Septiembre,Octubre,Noviembre,Diciembre"</formula1>
    </dataValidation>
    <dataValidation type="list" allowBlank="1" showInputMessage="1" showErrorMessage="1" sqref="E2:E295 E297:E319 E441:E455" xr:uid="{0AE7C41F-9E87-4B86-AC2C-3E3E60C6A281}">
      <formula1>"Prejardín,Jardín,Transición,1°,2°,3°,4°,5°,6°,7°,8°,9°,10°,11°"</formula1>
    </dataValidation>
    <dataValidation type="list" allowBlank="1" showInputMessage="1" showErrorMessage="1" sqref="F231" xr:uid="{0F7CE796-7366-422D-B53F-71349FFE48FF}">
      <formula1>"Referido,Internet,Vecinosdelsector,psicóloga"</formula1>
    </dataValidation>
    <dataValidation type="list" allowBlank="1" showInputMessage="1" showErrorMessage="1" sqref="F302 F304:F306 F308" xr:uid="{17AFC7E3-D456-49DA-88A3-D39BFECE7FF5}">
      <formula1>"Referido,Internet,Vecinosdelsector,psicóloga,exalumno"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E83F-3A20-4E53-A9A5-CA3976BA7A20}">
  <dimension ref="A1:T118"/>
  <sheetViews>
    <sheetView showGridLines="0" topLeftCell="A10" workbookViewId="0">
      <selection activeCell="E27" sqref="E27"/>
    </sheetView>
  </sheetViews>
  <sheetFormatPr defaultColWidth="10.85546875" defaultRowHeight="14.45"/>
  <cols>
    <col min="1" max="1" width="4.5703125" style="31" customWidth="1"/>
    <col min="2" max="2" width="11.5703125" style="31" customWidth="1"/>
    <col min="3" max="5" width="9.5703125" style="31" customWidth="1"/>
    <col min="6" max="6" width="6.5703125" style="37" customWidth="1"/>
    <col min="7" max="7" width="5.5703125" style="31" customWidth="1"/>
    <col min="8" max="8" width="4.5703125" style="31" customWidth="1"/>
    <col min="9" max="9" width="11.5703125" style="31" customWidth="1"/>
    <col min="10" max="12" width="9.5703125" style="31" customWidth="1"/>
    <col min="13" max="13" width="6.5703125" style="37" customWidth="1"/>
    <col min="14" max="15" width="4.5703125" style="31" customWidth="1"/>
    <col min="16" max="16" width="11.5703125" style="31" customWidth="1"/>
    <col min="17" max="19" width="9.5703125" style="31" customWidth="1"/>
    <col min="20" max="20" width="6.5703125" style="37" customWidth="1"/>
    <col min="21" max="16384" width="10.85546875" style="31"/>
  </cols>
  <sheetData>
    <row r="1" spans="1:20">
      <c r="B1" s="250" t="s">
        <v>1418</v>
      </c>
      <c r="C1" s="250"/>
      <c r="D1" s="250"/>
      <c r="E1" s="250"/>
      <c r="F1" s="250"/>
      <c r="I1" s="250" t="s">
        <v>1419</v>
      </c>
      <c r="J1" s="250"/>
      <c r="K1" s="250"/>
      <c r="L1" s="250"/>
      <c r="M1" s="250"/>
      <c r="P1" s="250" t="s">
        <v>1420</v>
      </c>
      <c r="Q1" s="250"/>
      <c r="R1" s="250"/>
      <c r="S1" s="250"/>
      <c r="T1" s="250"/>
    </row>
    <row r="2" spans="1:20">
      <c r="B2" s="32" t="s">
        <v>1421</v>
      </c>
      <c r="C2" s="32" t="s">
        <v>18</v>
      </c>
      <c r="D2" s="32" t="s">
        <v>32</v>
      </c>
      <c r="E2" s="32" t="s">
        <v>15</v>
      </c>
      <c r="F2" s="32" t="s">
        <v>1422</v>
      </c>
      <c r="I2" s="32" t="s">
        <v>1421</v>
      </c>
      <c r="J2" s="32" t="s">
        <v>18</v>
      </c>
      <c r="K2" s="32" t="s">
        <v>32</v>
      </c>
      <c r="L2" s="32" t="s">
        <v>15</v>
      </c>
      <c r="M2" s="32" t="s">
        <v>1422</v>
      </c>
      <c r="P2" s="32" t="s">
        <v>1421</v>
      </c>
      <c r="Q2" s="32" t="s">
        <v>18</v>
      </c>
      <c r="R2" s="32" t="s">
        <v>32</v>
      </c>
      <c r="S2" s="32" t="s">
        <v>15</v>
      </c>
      <c r="T2" s="32" t="s">
        <v>1422</v>
      </c>
    </row>
    <row r="3" spans="1:20">
      <c r="A3" s="251">
        <v>2023</v>
      </c>
      <c r="B3" s="33" t="s">
        <v>13</v>
      </c>
      <c r="C3" s="34">
        <f>COUNTIFS('Datos Preescolar'!$E:$E,C$2,'Datos Preescolar'!$C:$C,"&gt;=01/01/2023",'Datos Preescolar'!$C:$C,"&lt;=31/01/2023")</f>
        <v>5</v>
      </c>
      <c r="D3" s="34">
        <f>COUNTIFS('Datos Preescolar'!$E:$E,D$2,'Datos Preescolar'!$C:$C,"&gt;=01/01/2023",'Datos Preescolar'!$C:$C,"&lt;=31/01/2023")</f>
        <v>0</v>
      </c>
      <c r="E3" s="34">
        <f>COUNTIFS('Datos Preescolar'!$E:$E,E$2,'Datos Preescolar'!$C:$C,"&gt;=01/01/2023",'Datos Preescolar'!$C:$C,"&lt;=31/01/2023")</f>
        <v>1</v>
      </c>
      <c r="F3" s="36">
        <f>SUM(C3:E3)</f>
        <v>6</v>
      </c>
      <c r="H3" s="251">
        <f>A3</f>
        <v>2023</v>
      </c>
      <c r="I3" s="33" t="s">
        <v>13</v>
      </c>
      <c r="J3" s="34">
        <f>SUM(C$3:C3)</f>
        <v>5</v>
      </c>
      <c r="K3" s="34">
        <f>SUM(D$3:D3)</f>
        <v>0</v>
      </c>
      <c r="L3" s="34">
        <f>SUM(E$3:E3)</f>
        <v>1</v>
      </c>
      <c r="M3" s="36">
        <f>SUM(J3:L3)</f>
        <v>6</v>
      </c>
      <c r="O3" s="251">
        <f>A3</f>
        <v>2023</v>
      </c>
      <c r="P3" s="33" t="s">
        <v>13</v>
      </c>
      <c r="Q3" s="34">
        <f>SUM(C$3:C3)</f>
        <v>5</v>
      </c>
      <c r="R3" s="34">
        <f>SUM(D$3:D3)</f>
        <v>0</v>
      </c>
      <c r="S3" s="34">
        <f>SUM(E$3:E3)</f>
        <v>1</v>
      </c>
      <c r="T3" s="36">
        <f>SUM(Q3:S3)</f>
        <v>6</v>
      </c>
    </row>
    <row r="4" spans="1:20">
      <c r="A4" s="251"/>
      <c r="B4" s="33" t="s">
        <v>24</v>
      </c>
      <c r="C4" s="34">
        <f>COUNTIFS('Datos Preescolar'!$E:$E,C$2,'Datos Preescolar'!$C:$C,"&gt;=01/02/2023",'Datos Preescolar'!$C:$C,"&lt;=28/02/2023")</f>
        <v>4</v>
      </c>
      <c r="D4" s="34">
        <f>COUNTIFS('Datos Preescolar'!$E:$E,D$2,'Datos Preescolar'!$C:$C,"&gt;=01/02/2023",'Datos Preescolar'!$C:$C,"&lt;=28/02/2023")</f>
        <v>1</v>
      </c>
      <c r="E4" s="34">
        <f>COUNTIFS('Datos Preescolar'!$E:$E,E$2,'Datos Preescolar'!$C:$C,"&gt;=01/02/2023",'Datos Preescolar'!$C:$C,"&lt;=28/02/2023")</f>
        <v>2</v>
      </c>
      <c r="F4" s="36">
        <f t="shared" ref="F4:F14" si="0">SUM(C4:E4)</f>
        <v>7</v>
      </c>
      <c r="H4" s="251"/>
      <c r="I4" s="33" t="s">
        <v>24</v>
      </c>
      <c r="J4" s="34">
        <f>SUM(C$3:C4)</f>
        <v>9</v>
      </c>
      <c r="K4" s="34">
        <f>SUM(D$3:D4)</f>
        <v>1</v>
      </c>
      <c r="L4" s="34">
        <f>SUM(E$3:E4)</f>
        <v>3</v>
      </c>
      <c r="M4" s="36">
        <f t="shared" ref="M4:M14" si="1">SUM(J4:L4)</f>
        <v>13</v>
      </c>
      <c r="O4" s="251"/>
      <c r="P4" s="33" t="s">
        <v>24</v>
      </c>
      <c r="Q4" s="34">
        <f>SUM(C$3:C4)</f>
        <v>9</v>
      </c>
      <c r="R4" s="34">
        <f>SUM(D$3:D4)</f>
        <v>1</v>
      </c>
      <c r="S4" s="34">
        <f>SUM(E$3:E4)</f>
        <v>3</v>
      </c>
      <c r="T4" s="36">
        <f t="shared" ref="T4:T14" si="2">SUM(Q4:S4)</f>
        <v>13</v>
      </c>
    </row>
    <row r="5" spans="1:20">
      <c r="A5" s="251"/>
      <c r="B5" s="33" t="s">
        <v>34</v>
      </c>
      <c r="C5" s="34">
        <f>COUNTIFS('Datos Preescolar'!$E:$E,C$2,'Datos Preescolar'!$C:$C,"&gt;=01/03/2023",'Datos Preescolar'!$C:$C,"&lt;=31/03/2023")</f>
        <v>0</v>
      </c>
      <c r="D5" s="34">
        <f>COUNTIFS('Datos Preescolar'!$E:$E,D$2,'Datos Preescolar'!$C:$C,"&gt;=01/03/2023",'Datos Preescolar'!$C:$C,"&lt;=31/03/2023")</f>
        <v>0</v>
      </c>
      <c r="E5" s="34">
        <f>COUNTIFS('Datos Preescolar'!$E:$E,E$2,'Datos Preescolar'!$C:$C,"&gt;=01/03/2023",'Datos Preescolar'!$C:$C,"&lt;=31/03/2023")</f>
        <v>3</v>
      </c>
      <c r="F5" s="36">
        <f t="shared" si="0"/>
        <v>3</v>
      </c>
      <c r="H5" s="251"/>
      <c r="I5" s="33" t="s">
        <v>34</v>
      </c>
      <c r="J5" s="34">
        <f>SUM(C$3:C5)</f>
        <v>9</v>
      </c>
      <c r="K5" s="34">
        <f>SUM(D$3:D5)</f>
        <v>1</v>
      </c>
      <c r="L5" s="34">
        <f>SUM(E$3:E5)</f>
        <v>6</v>
      </c>
      <c r="M5" s="36">
        <f t="shared" si="1"/>
        <v>16</v>
      </c>
      <c r="O5" s="251"/>
      <c r="P5" s="33" t="s">
        <v>34</v>
      </c>
      <c r="Q5" s="34">
        <f>SUM(C$3:C5)</f>
        <v>9</v>
      </c>
      <c r="R5" s="34">
        <f>SUM(D$3:D5)</f>
        <v>1</v>
      </c>
      <c r="S5" s="34">
        <f>SUM(E$3:E5)</f>
        <v>6</v>
      </c>
      <c r="T5" s="36">
        <f t="shared" si="2"/>
        <v>16</v>
      </c>
    </row>
    <row r="6" spans="1:20">
      <c r="A6" s="251"/>
      <c r="B6" s="33" t="s">
        <v>38</v>
      </c>
      <c r="C6" s="34">
        <f>COUNTIFS('Datos Preescolar'!$E:$E,C$2,'Datos Preescolar'!$C:$C,"&gt;=01/04/2023",'Datos Preescolar'!$C:$C,"&lt;=30/04/2023")</f>
        <v>6</v>
      </c>
      <c r="D6" s="34">
        <f>COUNTIFS('Datos Preescolar'!$E:$E,D$2,'Datos Preescolar'!$C:$C,"&gt;=01/04/2023",'Datos Preescolar'!$C:$C,"&lt;=30/04/2023")</f>
        <v>2</v>
      </c>
      <c r="E6" s="34">
        <f>COUNTIFS('Datos Preescolar'!$E:$E,E$2,'Datos Preescolar'!$C:$C,"&gt;=01/04/2023",'Datos Preescolar'!$C:$C,"&lt;=30/04/2023")</f>
        <v>0</v>
      </c>
      <c r="F6" s="36">
        <f t="shared" si="0"/>
        <v>8</v>
      </c>
      <c r="H6" s="251"/>
      <c r="I6" s="33" t="s">
        <v>38</v>
      </c>
      <c r="J6" s="34">
        <f>SUM(C$3:C6)</f>
        <v>15</v>
      </c>
      <c r="K6" s="34">
        <f>SUM(D$3:D6)</f>
        <v>3</v>
      </c>
      <c r="L6" s="34">
        <f>SUM(E$3:E6)</f>
        <v>6</v>
      </c>
      <c r="M6" s="36">
        <f t="shared" si="1"/>
        <v>24</v>
      </c>
      <c r="O6" s="251"/>
      <c r="P6" s="33" t="s">
        <v>38</v>
      </c>
      <c r="Q6" s="34">
        <f>SUM(C$3:C6)</f>
        <v>15</v>
      </c>
      <c r="R6" s="34">
        <f>SUM(D$3:D6)</f>
        <v>3</v>
      </c>
      <c r="S6" s="34">
        <f>SUM(E$3:E6)</f>
        <v>6</v>
      </c>
      <c r="T6" s="36">
        <f t="shared" si="2"/>
        <v>24</v>
      </c>
    </row>
    <row r="7" spans="1:20">
      <c r="A7" s="251"/>
      <c r="B7" s="33" t="s">
        <v>47</v>
      </c>
      <c r="C7" s="34">
        <f>COUNTIFS('Datos Preescolar'!$E:$E,C$2,'Datos Preescolar'!$C:$C,"&gt;=01/05/2023",'Datos Preescolar'!$C:$C,"&lt;=31/05/2023")</f>
        <v>3</v>
      </c>
      <c r="D7" s="34">
        <f>COUNTIFS('Datos Preescolar'!$E:$E,D$2,'Datos Preescolar'!$C:$C,"&gt;=01/05/2023",'Datos Preescolar'!$C:$C,"&lt;=31/05/2023")</f>
        <v>2</v>
      </c>
      <c r="E7" s="34">
        <f>COUNTIFS('Datos Preescolar'!$E:$E,E$2,'Datos Preescolar'!$C:$C,"&gt;=01/05/2023",'Datos Preescolar'!$C:$C,"&lt;=31/05/2023")</f>
        <v>3</v>
      </c>
      <c r="F7" s="36">
        <f t="shared" si="0"/>
        <v>8</v>
      </c>
      <c r="H7" s="251"/>
      <c r="I7" s="33" t="s">
        <v>47</v>
      </c>
      <c r="J7" s="34">
        <f>SUM(C$3:C7)</f>
        <v>18</v>
      </c>
      <c r="K7" s="34">
        <f>SUM(D$3:D7)</f>
        <v>5</v>
      </c>
      <c r="L7" s="34">
        <f>SUM(E$3:E7)</f>
        <v>9</v>
      </c>
      <c r="M7" s="36">
        <f t="shared" si="1"/>
        <v>32</v>
      </c>
      <c r="O7" s="251"/>
      <c r="P7" s="33" t="s">
        <v>47</v>
      </c>
      <c r="Q7" s="34">
        <f>SUM(C$3:C7)</f>
        <v>18</v>
      </c>
      <c r="R7" s="34">
        <f>SUM(D$3:D7)</f>
        <v>5</v>
      </c>
      <c r="S7" s="34">
        <f>SUM(E$3:E7)</f>
        <v>9</v>
      </c>
      <c r="T7" s="36">
        <f t="shared" si="2"/>
        <v>32</v>
      </c>
    </row>
    <row r="8" spans="1:20">
      <c r="A8" s="251"/>
      <c r="B8" s="33" t="s">
        <v>57</v>
      </c>
      <c r="C8" s="34">
        <f>COUNTIFS('Datos Preescolar'!$E:$E,C$2,'Datos Preescolar'!$C:$C,"&gt;=01/06/2023",'Datos Preescolar'!$C:$C,"&lt;=30/06/2023")</f>
        <v>3</v>
      </c>
      <c r="D8" s="34">
        <f>COUNTIFS('Datos Preescolar'!$E:$E,D$2,'Datos Preescolar'!$C:$C,"&gt;=01/06/2023",'Datos Preescolar'!$C:$C,"&lt;=30/06/2023")</f>
        <v>1</v>
      </c>
      <c r="E8" s="34">
        <f>COUNTIFS('Datos Preescolar'!$E:$E,E$2,'Datos Preescolar'!$C:$C,"&gt;=01/06/2023",'Datos Preescolar'!$C:$C,"&lt;=30/06/2023")</f>
        <v>0</v>
      </c>
      <c r="F8" s="36">
        <f t="shared" si="0"/>
        <v>4</v>
      </c>
      <c r="H8" s="251"/>
      <c r="I8" s="33" t="s">
        <v>57</v>
      </c>
      <c r="J8" s="34">
        <f>SUM(C$3:C8)</f>
        <v>21</v>
      </c>
      <c r="K8" s="34">
        <f>SUM(D$3:D8)</f>
        <v>6</v>
      </c>
      <c r="L8" s="34">
        <f>SUM(E$3:E8)</f>
        <v>9</v>
      </c>
      <c r="M8" s="36">
        <f t="shared" si="1"/>
        <v>36</v>
      </c>
      <c r="O8" s="251"/>
      <c r="P8" s="33" t="s">
        <v>57</v>
      </c>
      <c r="Q8" s="34">
        <f>SUM(C$3:C8)</f>
        <v>21</v>
      </c>
      <c r="R8" s="34">
        <f>SUM(D$3:D8)</f>
        <v>6</v>
      </c>
      <c r="S8" s="34">
        <f>SUM(E$3:E8)</f>
        <v>9</v>
      </c>
      <c r="T8" s="36">
        <f t="shared" si="2"/>
        <v>36</v>
      </c>
    </row>
    <row r="9" spans="1:20">
      <c r="A9" s="251"/>
      <c r="B9" s="33" t="s">
        <v>62</v>
      </c>
      <c r="C9" s="34">
        <f>COUNTIFS('Datos Preescolar'!$E:$E,C$2,'Datos Preescolar'!$C:$C,"&gt;=01/07/2023",'Datos Preescolar'!$C:$C,"&lt;=31/07/2023")</f>
        <v>1</v>
      </c>
      <c r="D9" s="34">
        <f>COUNTIFS('Datos Preescolar'!$E:$E,D$2,'Datos Preescolar'!$C:$C,"&gt;=01/07/2023",'Datos Preescolar'!$C:$C,"&lt;=31/07/2023")</f>
        <v>1</v>
      </c>
      <c r="E9" s="34">
        <f>COUNTIFS('Datos Preescolar'!$E:$E,E$2,'Datos Preescolar'!$C:$C,"&gt;=01/07/2023",'Datos Preescolar'!$C:$C,"&lt;=31/07/2023")</f>
        <v>3</v>
      </c>
      <c r="F9" s="36">
        <f t="shared" si="0"/>
        <v>5</v>
      </c>
      <c r="H9" s="251"/>
      <c r="I9" s="33" t="s">
        <v>62</v>
      </c>
      <c r="J9" s="34">
        <f>SUM(C$3:C9)</f>
        <v>22</v>
      </c>
      <c r="K9" s="34">
        <f>SUM(D$3:D9)</f>
        <v>7</v>
      </c>
      <c r="L9" s="34">
        <f>SUM(E$3:E9)</f>
        <v>12</v>
      </c>
      <c r="M9" s="36">
        <f t="shared" si="1"/>
        <v>41</v>
      </c>
      <c r="O9" s="251"/>
      <c r="P9" s="33" t="s">
        <v>62</v>
      </c>
      <c r="Q9" s="34">
        <f>SUM(C$3:C9)</f>
        <v>22</v>
      </c>
      <c r="R9" s="34">
        <f>SUM(D$3:D9)</f>
        <v>7</v>
      </c>
      <c r="S9" s="34">
        <f>SUM(E$3:E9)</f>
        <v>12</v>
      </c>
      <c r="T9" s="36">
        <f t="shared" si="2"/>
        <v>41</v>
      </c>
    </row>
    <row r="10" spans="1:20">
      <c r="A10" s="251"/>
      <c r="B10" s="33" t="s">
        <v>68</v>
      </c>
      <c r="C10" s="34">
        <f>COUNTIFS('Datos Preescolar'!$E:$E,C$2,'Datos Preescolar'!$C:$C,"&gt;=01/08/2023",'Datos Preescolar'!$C:$C,"&lt;=31/08/2023")</f>
        <v>2</v>
      </c>
      <c r="D10" s="34">
        <f>COUNTIFS('Datos Preescolar'!$E:$E,D$2,'Datos Preescolar'!$C:$C,"&gt;=01/08/2023",'Datos Preescolar'!$C:$C,"&lt;=31/08/2023")</f>
        <v>1</v>
      </c>
      <c r="E10" s="34">
        <f>COUNTIFS('Datos Preescolar'!$E:$E,E$2,'Datos Preescolar'!$C:$C,"&gt;=01/08/2023",'Datos Preescolar'!$C:$C,"&lt;=31/08/2023")</f>
        <v>4</v>
      </c>
      <c r="F10" s="36">
        <f t="shared" si="0"/>
        <v>7</v>
      </c>
      <c r="H10" s="251"/>
      <c r="I10" s="33" t="s">
        <v>68</v>
      </c>
      <c r="J10" s="34">
        <f>SUM(C$3:C10)</f>
        <v>24</v>
      </c>
      <c r="K10" s="34">
        <f>SUM(D$3:D10)</f>
        <v>8</v>
      </c>
      <c r="L10" s="34">
        <f>SUM(E$3:E10)</f>
        <v>16</v>
      </c>
      <c r="M10" s="36">
        <f t="shared" si="1"/>
        <v>48</v>
      </c>
      <c r="O10" s="251"/>
      <c r="P10" s="33" t="s">
        <v>68</v>
      </c>
      <c r="Q10" s="34">
        <f>SUM(C$3:C10)</f>
        <v>24</v>
      </c>
      <c r="R10" s="34">
        <f>SUM(D$3:D10)</f>
        <v>8</v>
      </c>
      <c r="S10" s="34">
        <f>SUM(E$3:E10)</f>
        <v>16</v>
      </c>
      <c r="T10" s="36">
        <f t="shared" si="2"/>
        <v>48</v>
      </c>
    </row>
    <row r="11" spans="1:20">
      <c r="A11" s="251"/>
      <c r="B11" s="33" t="s">
        <v>77</v>
      </c>
      <c r="C11" s="34">
        <f>COUNTIFS('Datos Preescolar'!$E:$E,C$2,'Datos Preescolar'!$C:$C,"&gt;=01/09/2023",'Datos Preescolar'!$C:$C,"&lt;=30/09/2023")</f>
        <v>5</v>
      </c>
      <c r="D11" s="34">
        <f>COUNTIFS('Datos Preescolar'!$E:$E,D$2,'Datos Preescolar'!$C:$C,"&gt;=01/09/2023",'Datos Preescolar'!$C:$C,"&lt;=30/09/2023")</f>
        <v>0</v>
      </c>
      <c r="E11" s="34">
        <f>COUNTIFS('Datos Preescolar'!$E:$E,E$2,'Datos Preescolar'!$C:$C,"&gt;=01/09/2023",'Datos Preescolar'!$C:$C,"&lt;=30/09/2023")</f>
        <v>1</v>
      </c>
      <c r="F11" s="36">
        <f t="shared" si="0"/>
        <v>6</v>
      </c>
      <c r="H11" s="251"/>
      <c r="I11" s="33" t="s">
        <v>77</v>
      </c>
      <c r="J11" s="34">
        <f>SUM(C$3:C11)</f>
        <v>29</v>
      </c>
      <c r="K11" s="34">
        <f>SUM(D$3:D11)</f>
        <v>8</v>
      </c>
      <c r="L11" s="34">
        <f>SUM(E$3:E11)</f>
        <v>17</v>
      </c>
      <c r="M11" s="36">
        <f t="shared" si="1"/>
        <v>54</v>
      </c>
      <c r="O11" s="251"/>
      <c r="P11" s="33" t="s">
        <v>77</v>
      </c>
      <c r="Q11" s="34">
        <f>SUM(C$3:C11)</f>
        <v>29</v>
      </c>
      <c r="R11" s="34">
        <f>SUM(D$3:D11)</f>
        <v>8</v>
      </c>
      <c r="S11" s="34">
        <f>SUM(E$3:E11)</f>
        <v>17</v>
      </c>
      <c r="T11" s="36">
        <f t="shared" si="2"/>
        <v>54</v>
      </c>
    </row>
    <row r="12" spans="1:20">
      <c r="A12" s="251"/>
      <c r="B12" s="33" t="s">
        <v>84</v>
      </c>
      <c r="C12" s="34">
        <f>COUNTIFS('Datos Preescolar'!$E:$E,C$2,'Datos Preescolar'!$C:$C,"&gt;=01/10/2023",'Datos Preescolar'!$C:$C,"&lt;=31/10/2023")</f>
        <v>1</v>
      </c>
      <c r="D12" s="34">
        <f>COUNTIFS('Datos Preescolar'!$E:$E,D$2,'Datos Preescolar'!$C:$C,"&gt;=01/10/2023",'Datos Preescolar'!$C:$C,"&lt;=31/10/2023")</f>
        <v>1</v>
      </c>
      <c r="E12" s="34">
        <f>COUNTIFS('Datos Preescolar'!$E:$E,E$2,'Datos Preescolar'!$C:$C,"&gt;=01/10/2023",'Datos Preescolar'!$C:$C,"&lt;=31/10/2023")</f>
        <v>0</v>
      </c>
      <c r="F12" s="36">
        <f t="shared" si="0"/>
        <v>2</v>
      </c>
      <c r="H12" s="251"/>
      <c r="I12" s="33" t="s">
        <v>84</v>
      </c>
      <c r="J12" s="34">
        <f>SUM(C$3:C12)</f>
        <v>30</v>
      </c>
      <c r="K12" s="34">
        <f>SUM(D$3:D12)</f>
        <v>9</v>
      </c>
      <c r="L12" s="34">
        <f>SUM(E$3:E12)</f>
        <v>17</v>
      </c>
      <c r="M12" s="36">
        <f t="shared" si="1"/>
        <v>56</v>
      </c>
      <c r="O12" s="251"/>
      <c r="P12" s="33" t="s">
        <v>84</v>
      </c>
      <c r="Q12" s="34">
        <f>SUM(C$3:C12)</f>
        <v>30</v>
      </c>
      <c r="R12" s="34">
        <f>SUM(D$3:D12)</f>
        <v>9</v>
      </c>
      <c r="S12" s="34">
        <f>SUM(E$3:E12)</f>
        <v>17</v>
      </c>
      <c r="T12" s="36">
        <f t="shared" si="2"/>
        <v>56</v>
      </c>
    </row>
    <row r="13" spans="1:20">
      <c r="A13" s="251"/>
      <c r="B13" s="33" t="s">
        <v>87</v>
      </c>
      <c r="C13" s="34">
        <f>COUNTIFS('Datos Preescolar'!$E:$E,C$2,'Datos Preescolar'!$C:$C,"&gt;=01/11/2023",'Datos Preescolar'!$C:$C,"&lt;=30/11/2023")</f>
        <v>0</v>
      </c>
      <c r="D13" s="34">
        <f>COUNTIFS('Datos Preescolar'!$E:$E,D$2,'Datos Preescolar'!$C:$C,"&gt;=01/11/2023",'Datos Preescolar'!$C:$C,"&lt;=30/11/2023")</f>
        <v>2</v>
      </c>
      <c r="E13" s="34">
        <f>COUNTIFS('Datos Preescolar'!$E:$E,E$2,'Datos Preescolar'!$C:$C,"&gt;=01/11/2023",'Datos Preescolar'!$C:$C,"&lt;=30/11/2023")</f>
        <v>1</v>
      </c>
      <c r="F13" s="36">
        <f t="shared" si="0"/>
        <v>3</v>
      </c>
      <c r="H13" s="251"/>
      <c r="I13" s="33" t="s">
        <v>87</v>
      </c>
      <c r="J13" s="34">
        <f>SUM(C$3:C13)</f>
        <v>30</v>
      </c>
      <c r="K13" s="34">
        <f>SUM(D$3:D13)</f>
        <v>11</v>
      </c>
      <c r="L13" s="34">
        <f>SUM(E$3:E13)</f>
        <v>18</v>
      </c>
      <c r="M13" s="36">
        <f t="shared" si="1"/>
        <v>59</v>
      </c>
      <c r="O13" s="251"/>
      <c r="P13" s="33" t="s">
        <v>87</v>
      </c>
      <c r="Q13" s="34">
        <f>SUM(C$3:C13)</f>
        <v>30</v>
      </c>
      <c r="R13" s="34">
        <f>SUM(D$3:D13)</f>
        <v>11</v>
      </c>
      <c r="S13" s="34">
        <f>SUM(E$3:E13)</f>
        <v>18</v>
      </c>
      <c r="T13" s="36">
        <f t="shared" si="2"/>
        <v>59</v>
      </c>
    </row>
    <row r="14" spans="1:20">
      <c r="A14" s="251"/>
      <c r="B14" s="33" t="s">
        <v>173</v>
      </c>
      <c r="C14" s="34">
        <f>COUNTIFS('Datos Preescolar'!$E:$E,C$2,'Datos Preescolar'!$C:$C,"&gt;=01/12/2023",'Datos Preescolar'!$C:$C,"&lt;=31/12/2023")</f>
        <v>0</v>
      </c>
      <c r="D14" s="34">
        <f>COUNTIFS('Datos Preescolar'!$E:$E,D$2,'Datos Preescolar'!$C:$C,"&gt;=01/12/2023",'Datos Preescolar'!$C:$C,"&lt;=31/12/2023")</f>
        <v>0</v>
      </c>
      <c r="E14" s="34">
        <f>COUNTIFS('Datos Preescolar'!$E:$E,E$2,'Datos Preescolar'!$C:$C,"&gt;=01/12/2023",'Datos Preescolar'!$C:$C,"&lt;=31/12/2023")</f>
        <v>0</v>
      </c>
      <c r="F14" s="36">
        <f t="shared" si="0"/>
        <v>0</v>
      </c>
      <c r="H14" s="251"/>
      <c r="I14" s="33" t="s">
        <v>173</v>
      </c>
      <c r="J14" s="34">
        <f>SUM(C$3:C14)</f>
        <v>30</v>
      </c>
      <c r="K14" s="34">
        <f>SUM(D$3:D14)</f>
        <v>11</v>
      </c>
      <c r="L14" s="34">
        <f>SUM(E$3:E14)</f>
        <v>18</v>
      </c>
      <c r="M14" s="36">
        <f t="shared" si="1"/>
        <v>59</v>
      </c>
      <c r="O14" s="251"/>
      <c r="P14" s="33" t="s">
        <v>173</v>
      </c>
      <c r="Q14" s="34">
        <f>SUM(C$3:C14)</f>
        <v>30</v>
      </c>
      <c r="R14" s="34">
        <f>SUM(D$3:D14)</f>
        <v>11</v>
      </c>
      <c r="S14" s="34">
        <f>SUM(E$3:E14)</f>
        <v>18</v>
      </c>
      <c r="T14" s="36">
        <f t="shared" si="2"/>
        <v>59</v>
      </c>
    </row>
    <row r="15" spans="1:20">
      <c r="A15" s="251">
        <v>2024</v>
      </c>
      <c r="B15" s="33" t="s">
        <v>13</v>
      </c>
      <c r="C15" s="34">
        <f>COUNTIFS('Datos Preescolar'!$E:$E,C$2,'Datos Preescolar'!$C:$C,"&gt;=01/01/2024",'Datos Preescolar'!$C:$C,"&lt;=31/01/2024")</f>
        <v>2</v>
      </c>
      <c r="D15" s="34">
        <f>COUNTIFS('Datos Preescolar'!$E:$E,D$2,'Datos Preescolar'!$C:$C,"&gt;=01/01/2024",'Datos Preescolar'!$C:$C,"&lt;=31/01/2024")</f>
        <v>1</v>
      </c>
      <c r="E15" s="34">
        <f>COUNTIFS('Datos Preescolar'!$E:$E,E$2,'Datos Preescolar'!$C:$C,"&gt;=01/01/2024",'Datos Preescolar'!$C:$C,"&lt;=31/01/2024")</f>
        <v>2</v>
      </c>
      <c r="F15" s="36">
        <f>SUM(C15:E15)</f>
        <v>5</v>
      </c>
      <c r="H15" s="251">
        <f>A15</f>
        <v>2024</v>
      </c>
      <c r="I15" s="33" t="s">
        <v>13</v>
      </c>
      <c r="J15" s="34">
        <f>SUM(C$15:C15)</f>
        <v>2</v>
      </c>
      <c r="K15" s="34">
        <f>SUM(D$15:D15)</f>
        <v>1</v>
      </c>
      <c r="L15" s="34">
        <f>SUM(E$15:E15)</f>
        <v>2</v>
      </c>
      <c r="M15" s="36">
        <f>SUM(J15:L15)</f>
        <v>5</v>
      </c>
      <c r="O15" s="251">
        <f>A15</f>
        <v>2024</v>
      </c>
      <c r="P15" s="33" t="s">
        <v>13</v>
      </c>
      <c r="Q15" s="34">
        <f>SUM(C$3:C15)</f>
        <v>32</v>
      </c>
      <c r="R15" s="34">
        <f>SUM(D$3:D15)</f>
        <v>12</v>
      </c>
      <c r="S15" s="34">
        <f>SUM(E$3:E15)</f>
        <v>20</v>
      </c>
      <c r="T15" s="36">
        <f>SUM(Q15:S15)</f>
        <v>64</v>
      </c>
    </row>
    <row r="16" spans="1:20">
      <c r="A16" s="251"/>
      <c r="B16" s="33" t="s">
        <v>24</v>
      </c>
      <c r="C16" s="34">
        <f>COUNTIFS('Datos Preescolar'!$E:$E,C$2,'Datos Preescolar'!$C:$C,"&gt;=01/02/2024",'Datos Preescolar'!$C:$C,"&lt;=29/02/2024")</f>
        <v>3</v>
      </c>
      <c r="D16" s="34">
        <f>COUNTIFS('Datos Preescolar'!$E:$E,D$2,'Datos Preescolar'!$C:$C,"&gt;=01/02/2024",'Datos Preescolar'!$C:$C,"&lt;=29/02/2024")</f>
        <v>1</v>
      </c>
      <c r="E16" s="34">
        <f>COUNTIFS('Datos Preescolar'!$E:$E,E$2,'Datos Preescolar'!$C:$C,"&gt;=01/02/2024",'Datos Preescolar'!$C:$C,"&lt;=29/02/2024")</f>
        <v>0</v>
      </c>
      <c r="F16" s="36">
        <f t="shared" ref="F16:F26" si="3">SUM(C16:E16)</f>
        <v>4</v>
      </c>
      <c r="H16" s="251"/>
      <c r="I16" s="33" t="s">
        <v>24</v>
      </c>
      <c r="J16" s="34">
        <f>SUM(C$15:C16)</f>
        <v>5</v>
      </c>
      <c r="K16" s="34">
        <f>SUM(D$15:D16)</f>
        <v>2</v>
      </c>
      <c r="L16" s="34">
        <f>SUM(E$15:E16)</f>
        <v>2</v>
      </c>
      <c r="M16" s="36">
        <f t="shared" ref="M16:M26" si="4">SUM(J16:L16)</f>
        <v>9</v>
      </c>
      <c r="O16" s="251"/>
      <c r="P16" s="33" t="s">
        <v>24</v>
      </c>
      <c r="Q16" s="34">
        <f>SUM(C$3:C16)</f>
        <v>35</v>
      </c>
      <c r="R16" s="34">
        <f>SUM(D$3:D16)</f>
        <v>13</v>
      </c>
      <c r="S16" s="34">
        <f>SUM(E$3:E16)</f>
        <v>20</v>
      </c>
      <c r="T16" s="36">
        <f t="shared" ref="T16:T26" si="5">SUM(Q16:S16)</f>
        <v>68</v>
      </c>
    </row>
    <row r="17" spans="1:20">
      <c r="A17" s="251"/>
      <c r="B17" s="33" t="s">
        <v>34</v>
      </c>
      <c r="C17" s="34">
        <f>COUNTIFS('Datos Preescolar'!$E:$E,C$2,'Datos Preescolar'!$C:$C,"&gt;=01/03/2024",'Datos Preescolar'!$C:$C,"&lt;=31/03/2024")</f>
        <v>0</v>
      </c>
      <c r="D17" s="34">
        <f>COUNTIFS('Datos Preescolar'!$E:$E,D$2,'Datos Preescolar'!$C:$C,"&gt;=01/03/2024",'Datos Preescolar'!$C:$C,"&lt;=31/03/2024")</f>
        <v>1</v>
      </c>
      <c r="E17" s="34">
        <f>COUNTIFS('Datos Preescolar'!$E:$E,E$2,'Datos Preescolar'!$C:$C,"&gt;=01/03/2024",'Datos Preescolar'!$C:$C,"&lt;=31/03/2024")</f>
        <v>0</v>
      </c>
      <c r="F17" s="36">
        <f t="shared" si="3"/>
        <v>1</v>
      </c>
      <c r="H17" s="251"/>
      <c r="I17" s="33" t="s">
        <v>34</v>
      </c>
      <c r="J17" s="34">
        <f>SUM(C$15:C17)</f>
        <v>5</v>
      </c>
      <c r="K17" s="34">
        <f>SUM(D$15:D17)</f>
        <v>3</v>
      </c>
      <c r="L17" s="34">
        <f>SUM(E$15:E17)</f>
        <v>2</v>
      </c>
      <c r="M17" s="36">
        <f t="shared" si="4"/>
        <v>10</v>
      </c>
      <c r="O17" s="251"/>
      <c r="P17" s="33" t="s">
        <v>34</v>
      </c>
      <c r="Q17" s="34">
        <f>SUM(C$3:C17)</f>
        <v>35</v>
      </c>
      <c r="R17" s="34">
        <f>SUM(D$3:D17)</f>
        <v>14</v>
      </c>
      <c r="S17" s="34">
        <f>SUM(E$3:E17)</f>
        <v>20</v>
      </c>
      <c r="T17" s="36">
        <f t="shared" si="5"/>
        <v>69</v>
      </c>
    </row>
    <row r="18" spans="1:20">
      <c r="A18" s="251"/>
      <c r="B18" s="33" t="s">
        <v>38</v>
      </c>
      <c r="C18" s="34">
        <f>COUNTIFS('Datos Preescolar'!$E:$E,C$2,'Datos Preescolar'!$C:$C,"&gt;=01/04/2024",'Datos Preescolar'!$C:$C,"&lt;=30/04/2024")</f>
        <v>3</v>
      </c>
      <c r="D18" s="34">
        <f>COUNTIFS('Datos Preescolar'!$E:$E,D$2,'Datos Preescolar'!$C:$C,"&gt;=01/04/2024",'Datos Preescolar'!$C:$C,"&lt;=30/04/2024")</f>
        <v>2</v>
      </c>
      <c r="E18" s="34">
        <f>COUNTIFS('Datos Preescolar'!$E:$E,E$2,'Datos Preescolar'!$C:$C,"&gt;=01/04/2024",'Datos Preescolar'!$C:$C,"&lt;=30/04/2024")</f>
        <v>0</v>
      </c>
      <c r="F18" s="36">
        <f t="shared" si="3"/>
        <v>5</v>
      </c>
      <c r="H18" s="251"/>
      <c r="I18" s="33" t="s">
        <v>38</v>
      </c>
      <c r="J18" s="34">
        <f>SUM(C$15:C18)</f>
        <v>8</v>
      </c>
      <c r="K18" s="34">
        <f>SUM(D$15:D18)</f>
        <v>5</v>
      </c>
      <c r="L18" s="34">
        <f>SUM(E$15:E18)</f>
        <v>2</v>
      </c>
      <c r="M18" s="36">
        <f t="shared" si="4"/>
        <v>15</v>
      </c>
      <c r="O18" s="251"/>
      <c r="P18" s="33" t="s">
        <v>38</v>
      </c>
      <c r="Q18" s="34">
        <f>SUM(C$3:C18)</f>
        <v>38</v>
      </c>
      <c r="R18" s="34">
        <f>SUM(D$3:D18)</f>
        <v>16</v>
      </c>
      <c r="S18" s="34">
        <f>SUM(E$3:E18)</f>
        <v>20</v>
      </c>
      <c r="T18" s="36">
        <f t="shared" si="5"/>
        <v>74</v>
      </c>
    </row>
    <row r="19" spans="1:20">
      <c r="A19" s="251"/>
      <c r="B19" s="33" t="s">
        <v>47</v>
      </c>
      <c r="C19" s="34">
        <f>COUNTIFS('Datos Preescolar'!$E:$E,C$2,'Datos Preescolar'!$C:$C,"&gt;=01/05/2024",'Datos Preescolar'!$C:$C,"&lt;=31/05/2024")</f>
        <v>2</v>
      </c>
      <c r="D19" s="34">
        <f>COUNTIFS('Datos Preescolar'!$E:$E,D$2,'Datos Preescolar'!$C:$C,"&gt;=01/05/2024",'Datos Preescolar'!$C:$C,"&lt;=31/05/2024")</f>
        <v>2</v>
      </c>
      <c r="E19" s="34">
        <f>COUNTIFS('Datos Preescolar'!$E:$E,E$2,'Datos Preescolar'!$C:$C,"&gt;=01/05/2024",'Datos Preescolar'!$C:$C,"&lt;=31/05/2024")</f>
        <v>0</v>
      </c>
      <c r="F19" s="36">
        <f t="shared" si="3"/>
        <v>4</v>
      </c>
      <c r="H19" s="251"/>
      <c r="I19" s="33" t="s">
        <v>47</v>
      </c>
      <c r="J19" s="34">
        <f>SUM(C$15:C19)</f>
        <v>10</v>
      </c>
      <c r="K19" s="34">
        <f>SUM(D$15:D19)</f>
        <v>7</v>
      </c>
      <c r="L19" s="34">
        <f>SUM(E$15:E19)</f>
        <v>2</v>
      </c>
      <c r="M19" s="36">
        <f t="shared" si="4"/>
        <v>19</v>
      </c>
      <c r="O19" s="251"/>
      <c r="P19" s="33" t="s">
        <v>47</v>
      </c>
      <c r="Q19" s="34">
        <f>SUM(C$3:C19)</f>
        <v>40</v>
      </c>
      <c r="R19" s="34">
        <f>SUM(D$3:D19)</f>
        <v>18</v>
      </c>
      <c r="S19" s="34">
        <f>SUM(E$3:E19)</f>
        <v>20</v>
      </c>
      <c r="T19" s="36">
        <f t="shared" si="5"/>
        <v>78</v>
      </c>
    </row>
    <row r="20" spans="1:20">
      <c r="A20" s="251"/>
      <c r="B20" s="33" t="s">
        <v>57</v>
      </c>
      <c r="C20" s="34">
        <f>COUNTIFS('Datos Preescolar'!$E:$E,C$2,'Datos Preescolar'!$C:$C,"&gt;=01/06/2024",'Datos Preescolar'!$C:$C,"&lt;=30/06/2024")</f>
        <v>3</v>
      </c>
      <c r="D20" s="34">
        <f>COUNTIFS('Datos Preescolar'!$E:$E,D$2,'Datos Preescolar'!$C:$C,"&gt;=01/06/2024",'Datos Preescolar'!$C:$C,"&lt;=30/06/2024")</f>
        <v>1</v>
      </c>
      <c r="E20" s="34">
        <f>COUNTIFS('Datos Preescolar'!$E:$E,E$2,'Datos Preescolar'!$C:$C,"&gt;=01/06/2024",'Datos Preescolar'!$C:$C,"&lt;=30/06/2024")</f>
        <v>1</v>
      </c>
      <c r="F20" s="36">
        <f t="shared" si="3"/>
        <v>5</v>
      </c>
      <c r="H20" s="251"/>
      <c r="I20" s="33" t="s">
        <v>57</v>
      </c>
      <c r="J20" s="34">
        <f>SUM(C$15:C20)</f>
        <v>13</v>
      </c>
      <c r="K20" s="34">
        <f>SUM(D$15:D20)</f>
        <v>8</v>
      </c>
      <c r="L20" s="34">
        <f>SUM(E$15:E20)</f>
        <v>3</v>
      </c>
      <c r="M20" s="36">
        <f t="shared" si="4"/>
        <v>24</v>
      </c>
      <c r="O20" s="251"/>
      <c r="P20" s="33" t="s">
        <v>57</v>
      </c>
      <c r="Q20" s="34">
        <f>SUM(C$3:C20)</f>
        <v>43</v>
      </c>
      <c r="R20" s="34">
        <f>SUM(D$3:D20)</f>
        <v>19</v>
      </c>
      <c r="S20" s="34">
        <f>SUM(E$3:E20)</f>
        <v>21</v>
      </c>
      <c r="T20" s="36">
        <f t="shared" si="5"/>
        <v>83</v>
      </c>
    </row>
    <row r="21" spans="1:20">
      <c r="A21" s="251"/>
      <c r="B21" s="33" t="s">
        <v>62</v>
      </c>
      <c r="C21" s="34">
        <f>COUNTIFS('Datos Preescolar'!$E:$E,C$2,'Datos Preescolar'!$C:$C,"&gt;=01/07/2024",'Datos Preescolar'!$C:$C,"&lt;=31/07/2024")</f>
        <v>3</v>
      </c>
      <c r="D21" s="34">
        <f>COUNTIFS('Datos Preescolar'!$E:$E,D$2,'Datos Preescolar'!$C:$C,"&gt;=01/07/2024",'Datos Preescolar'!$C:$C,"&lt;=31/07/2024")</f>
        <v>2</v>
      </c>
      <c r="E21" s="34">
        <v>0</v>
      </c>
      <c r="F21" s="36">
        <f t="shared" si="3"/>
        <v>5</v>
      </c>
      <c r="H21" s="251"/>
      <c r="I21" s="33" t="s">
        <v>62</v>
      </c>
      <c r="J21" s="34">
        <f>SUM(C$15:C21)</f>
        <v>16</v>
      </c>
      <c r="K21" s="34">
        <f>SUM(D$15:D21)</f>
        <v>10</v>
      </c>
      <c r="L21" s="34">
        <f>SUM(E$15:E21)</f>
        <v>3</v>
      </c>
      <c r="M21" s="36">
        <f t="shared" si="4"/>
        <v>29</v>
      </c>
      <c r="O21" s="251"/>
      <c r="P21" s="33" t="s">
        <v>62</v>
      </c>
      <c r="Q21" s="34">
        <f>SUM(C$3:C21)</f>
        <v>46</v>
      </c>
      <c r="R21" s="34">
        <f>SUM(D$3:D21)</f>
        <v>21</v>
      </c>
      <c r="S21" s="34">
        <f>SUM(E$3:E21)</f>
        <v>21</v>
      </c>
      <c r="T21" s="36">
        <f t="shared" si="5"/>
        <v>88</v>
      </c>
    </row>
    <row r="22" spans="1:20">
      <c r="A22" s="251"/>
      <c r="B22" s="33" t="s">
        <v>68</v>
      </c>
      <c r="C22" s="34">
        <f>COUNTIFS('Datos Preescolar'!$E:$E,C$2,'Datos Preescolar'!$C:$C,"&gt;=01/08/2024",'Datos Preescolar'!$C:$C,"&lt;=31/08/2024")</f>
        <v>1</v>
      </c>
      <c r="D22" s="34">
        <f>COUNTIFS('Datos Preescolar'!$E:$E,D$2,'Datos Preescolar'!$C:$C,"&gt;=01/08/2024",'Datos Preescolar'!$C:$C,"&lt;=31/08/2024")</f>
        <v>0</v>
      </c>
      <c r="E22" s="34">
        <f>COUNTIFS('Datos Preescolar'!$E:$E,E$2,'Datos Preescolar'!$C:$C,"&gt;=01/08/2024",'Datos Preescolar'!$C:$C,"&lt;=31/08/2024")</f>
        <v>1</v>
      </c>
      <c r="F22" s="36">
        <f t="shared" si="3"/>
        <v>2</v>
      </c>
      <c r="H22" s="251"/>
      <c r="I22" s="33" t="s">
        <v>68</v>
      </c>
      <c r="J22" s="34">
        <f>SUM(C$15:C22)</f>
        <v>17</v>
      </c>
      <c r="K22" s="34">
        <f>SUM(D$15:D22)</f>
        <v>10</v>
      </c>
      <c r="L22" s="34">
        <f>SUM(E$15:E22)</f>
        <v>4</v>
      </c>
      <c r="M22" s="36">
        <f t="shared" si="4"/>
        <v>31</v>
      </c>
      <c r="O22" s="251"/>
      <c r="P22" s="33" t="s">
        <v>68</v>
      </c>
      <c r="Q22" s="34">
        <f>SUM(C$3:C22)</f>
        <v>47</v>
      </c>
      <c r="R22" s="34">
        <f>SUM(D$3:D22)</f>
        <v>21</v>
      </c>
      <c r="S22" s="34">
        <f>SUM(E$3:E22)</f>
        <v>22</v>
      </c>
      <c r="T22" s="36">
        <f t="shared" si="5"/>
        <v>90</v>
      </c>
    </row>
    <row r="23" spans="1:20">
      <c r="A23" s="251"/>
      <c r="B23" s="33" t="s">
        <v>77</v>
      </c>
      <c r="C23" s="34">
        <f>COUNTIFS('Datos Preescolar'!$E:$E,C$2,'Datos Preescolar'!$C:$C,"&gt;=01/09/2024",'Datos Preescolar'!$C:$C,"&lt;=30/09/2024")</f>
        <v>3</v>
      </c>
      <c r="D23" s="34">
        <f>COUNTIFS('Datos Preescolar'!$E:$E,D$2,'Datos Preescolar'!$C:$C,"&gt;=01/09/2024",'Datos Preescolar'!$C:$C,"&lt;=30/09/2024")</f>
        <v>0</v>
      </c>
      <c r="E23" s="34">
        <f>COUNTIFS('Datos Preescolar'!$E:$E,E$2,'Datos Preescolar'!$C:$C,"&gt;=01/09/2024",'Datos Preescolar'!$C:$C,"&lt;=30/09/2024")</f>
        <v>0</v>
      </c>
      <c r="F23" s="36">
        <f t="shared" si="3"/>
        <v>3</v>
      </c>
      <c r="H23" s="251"/>
      <c r="I23" s="33" t="s">
        <v>77</v>
      </c>
      <c r="J23" s="34">
        <f>SUM(C$15:C23)</f>
        <v>20</v>
      </c>
      <c r="K23" s="34">
        <f>SUM(D$15:D23)</f>
        <v>10</v>
      </c>
      <c r="L23" s="34">
        <f>SUM(E$15:E23)</f>
        <v>4</v>
      </c>
      <c r="M23" s="36">
        <f t="shared" si="4"/>
        <v>34</v>
      </c>
      <c r="O23" s="251"/>
      <c r="P23" s="33" t="s">
        <v>77</v>
      </c>
      <c r="Q23" s="34">
        <f>SUM(C$3:C23)</f>
        <v>50</v>
      </c>
      <c r="R23" s="34">
        <f>SUM(D$3:D23)</f>
        <v>21</v>
      </c>
      <c r="S23" s="34">
        <f>SUM(E$3:E23)</f>
        <v>22</v>
      </c>
      <c r="T23" s="36">
        <f t="shared" si="5"/>
        <v>93</v>
      </c>
    </row>
    <row r="24" spans="1:20">
      <c r="A24" s="251"/>
      <c r="B24" s="33" t="s">
        <v>84</v>
      </c>
      <c r="C24" s="34">
        <f>COUNTIFS('Datos Preescolar'!$E:$E,C$2,'Datos Preescolar'!$C:$C,"&gt;=01/10/2024",'Datos Preescolar'!$C:$C,"&lt;=31/10/2024")</f>
        <v>1</v>
      </c>
      <c r="D24" s="34">
        <f>COUNTIFS('Datos Preescolar'!$E:$E,D$2,'Datos Preescolar'!$C:$C,"&gt;=01/10/2024",'Datos Preescolar'!$C:$C,"&lt;=31/10/2024")</f>
        <v>2</v>
      </c>
      <c r="E24" s="34">
        <f>COUNTIFS('Datos Preescolar'!$E:$E,E$2,'Datos Preescolar'!$C:$C,"&gt;=01/10/2024",'Datos Preescolar'!$C:$C,"&lt;=31/10/2024")</f>
        <v>0</v>
      </c>
      <c r="F24" s="36">
        <f t="shared" si="3"/>
        <v>3</v>
      </c>
      <c r="H24" s="251"/>
      <c r="I24" s="33" t="s">
        <v>84</v>
      </c>
      <c r="J24" s="34">
        <f>SUM(C$15:C24)</f>
        <v>21</v>
      </c>
      <c r="K24" s="34">
        <f>SUM(D$15:D24)</f>
        <v>12</v>
      </c>
      <c r="L24" s="34">
        <f>SUM(E$15:E24)</f>
        <v>4</v>
      </c>
      <c r="M24" s="36">
        <f t="shared" si="4"/>
        <v>37</v>
      </c>
      <c r="O24" s="251"/>
      <c r="P24" s="33" t="s">
        <v>84</v>
      </c>
      <c r="Q24" s="34">
        <f>SUM(C$3:C24)</f>
        <v>51</v>
      </c>
      <c r="R24" s="34">
        <f>SUM(D$3:D24)</f>
        <v>23</v>
      </c>
      <c r="S24" s="34">
        <f>SUM(E$3:E24)</f>
        <v>22</v>
      </c>
      <c r="T24" s="36">
        <f t="shared" si="5"/>
        <v>96</v>
      </c>
    </row>
    <row r="25" spans="1:20">
      <c r="A25" s="251"/>
      <c r="B25" s="33" t="s">
        <v>87</v>
      </c>
      <c r="C25" s="34">
        <f>COUNTIFS('Datos Preescolar'!$E:$E,C$2,'Datos Preescolar'!$C:$C,"&gt;=01/11/2024",'Datos Preescolar'!$C:$C,"&lt;=30/11/2024")</f>
        <v>3</v>
      </c>
      <c r="D25" s="34">
        <f>COUNTIFS('Datos Preescolar'!$E:$E,D$2,'Datos Preescolar'!$C:$C,"&gt;=01/11/2024",'Datos Preescolar'!$C:$C,"&lt;=30/11/2024")</f>
        <v>1</v>
      </c>
      <c r="E25" s="34">
        <f>COUNTIFS('Datos Preescolar'!$E:$E,E$2,'Datos Preescolar'!$C:$C,"&gt;=01/11/2024",'Datos Preescolar'!$C:$C,"&lt;=30/11/2024")</f>
        <v>1</v>
      </c>
      <c r="F25" s="36">
        <f t="shared" si="3"/>
        <v>5</v>
      </c>
      <c r="H25" s="251"/>
      <c r="I25" s="33" t="s">
        <v>87</v>
      </c>
      <c r="J25" s="34">
        <f>SUM(C$15:C25)</f>
        <v>24</v>
      </c>
      <c r="K25" s="34">
        <f>SUM(D$15:D25)</f>
        <v>13</v>
      </c>
      <c r="L25" s="34">
        <f>SUM(E$15:E25)</f>
        <v>5</v>
      </c>
      <c r="M25" s="36">
        <f t="shared" si="4"/>
        <v>42</v>
      </c>
      <c r="O25" s="251"/>
      <c r="P25" s="33" t="s">
        <v>87</v>
      </c>
      <c r="Q25" s="34">
        <f>SUM(C$3:C25)</f>
        <v>54</v>
      </c>
      <c r="R25" s="34">
        <f>SUM(D$3:D25)</f>
        <v>24</v>
      </c>
      <c r="S25" s="34">
        <f>SUM(E$3:E25)</f>
        <v>23</v>
      </c>
      <c r="T25" s="36">
        <f t="shared" si="5"/>
        <v>101</v>
      </c>
    </row>
    <row r="26" spans="1:20">
      <c r="A26" s="251"/>
      <c r="B26" s="33" t="s">
        <v>173</v>
      </c>
      <c r="C26" s="34">
        <f>COUNTIFS('Datos Preescolar'!$E:$E,C$2,'Datos Preescolar'!$C:$C,"&gt;=01/12/2024",'Datos Preescolar'!$C:$C,"&lt;=31/12/2024")</f>
        <v>2</v>
      </c>
      <c r="D26" s="34">
        <f>COUNTIFS('Datos Preescolar'!$E:$E,D$2,'Datos Preescolar'!$C:$C,"&gt;=01/12/2024",'Datos Preescolar'!$C:$C,"&lt;=31/12/2024")</f>
        <v>2</v>
      </c>
      <c r="E26" s="34">
        <f>COUNTIFS('Datos Preescolar'!$E:$E,E$2,'Datos Preescolar'!$C:$C,"&gt;=01/12/2024",'Datos Preescolar'!$C:$C,"&lt;=31/12/2024")</f>
        <v>0</v>
      </c>
      <c r="F26" s="36">
        <f t="shared" si="3"/>
        <v>4</v>
      </c>
      <c r="H26" s="251"/>
      <c r="I26" s="33" t="s">
        <v>173</v>
      </c>
      <c r="J26" s="34">
        <f>SUM(C$15:C26)</f>
        <v>26</v>
      </c>
      <c r="K26" s="34">
        <f>SUM(D$15:D26)</f>
        <v>15</v>
      </c>
      <c r="L26" s="34">
        <f>SUM(E$15:E26)</f>
        <v>5</v>
      </c>
      <c r="M26" s="36">
        <f t="shared" si="4"/>
        <v>46</v>
      </c>
      <c r="O26" s="251"/>
      <c r="P26" s="33" t="s">
        <v>173</v>
      </c>
      <c r="Q26" s="34">
        <f>SUM(C$3:C26)</f>
        <v>56</v>
      </c>
      <c r="R26" s="34">
        <f>SUM(D$3:D26)</f>
        <v>26</v>
      </c>
      <c r="S26" s="34">
        <f>SUM(E$3:E26)</f>
        <v>23</v>
      </c>
      <c r="T26" s="36">
        <f t="shared" si="5"/>
        <v>105</v>
      </c>
    </row>
    <row r="27" spans="1:20">
      <c r="A27" s="252">
        <v>2025</v>
      </c>
      <c r="B27" s="33" t="s">
        <v>13</v>
      </c>
      <c r="C27" s="34">
        <f>COUNTIFS('Datos Preescolar'!$E:$E,C$2,'Datos Preescolar'!$C:$C,"&gt;=01/01/2025",'Datos Preescolar'!$C:$C,"&lt;=31/01/2025")</f>
        <v>0</v>
      </c>
      <c r="D27" s="34">
        <f>COUNTIFS('Datos Preescolar'!$E:$E,D$2,'Datos Preescolar'!$C:$C,"&gt;=01/01/2025",'Datos Preescolar'!$C:$C,"&lt;=31/01/2025")</f>
        <v>1</v>
      </c>
      <c r="E27" s="34">
        <f>COUNTIFS('Datos Preescolar'!$E:$E,E$2,'Datos Preescolar'!$C:$C,"&gt;=01/01/2025",'Datos Preescolar'!$C:$C,"&lt;=31/01/2025")</f>
        <v>0</v>
      </c>
      <c r="F27" s="36">
        <f>SUM(C27:E27)</f>
        <v>1</v>
      </c>
      <c r="H27" s="252">
        <f>A27</f>
        <v>2025</v>
      </c>
      <c r="I27" s="33" t="s">
        <v>13</v>
      </c>
      <c r="J27" s="34">
        <f>SUM(C$27:C27)</f>
        <v>0</v>
      </c>
      <c r="K27" s="34">
        <f>SUM(D$27:D27)</f>
        <v>1</v>
      </c>
      <c r="L27" s="34">
        <f>SUM(E$27:E27)</f>
        <v>0</v>
      </c>
      <c r="M27" s="36">
        <f>SUM(J27:L27)</f>
        <v>1</v>
      </c>
      <c r="O27" s="252">
        <f>A27</f>
        <v>2025</v>
      </c>
      <c r="P27" s="33" t="s">
        <v>13</v>
      </c>
      <c r="Q27" s="34">
        <f>SUM(C$3:C27)</f>
        <v>56</v>
      </c>
      <c r="R27" s="34">
        <f>SUM(D$3:D27)</f>
        <v>27</v>
      </c>
      <c r="S27" s="34">
        <f>SUM(E$3:E27)</f>
        <v>23</v>
      </c>
      <c r="T27" s="36">
        <f>SUM(Q27:S27)</f>
        <v>106</v>
      </c>
    </row>
    <row r="28" spans="1:20">
      <c r="A28" s="253"/>
      <c r="B28" s="33" t="s">
        <v>24</v>
      </c>
      <c r="C28" s="34">
        <f>COUNTIFS('Datos Preescolar'!$E:$E,C$2,'Datos Preescolar'!$C:$C,"&gt;=01/02/2025",'Datos Preescolar'!$C:$C,"&lt;=28/02/2025")</f>
        <v>2</v>
      </c>
      <c r="D28" s="34">
        <f>COUNTIFS('Datos Preescolar'!$E:$E,D$2,'Datos Preescolar'!$C:$C,"&gt;=01/02/2025",'Datos Preescolar'!$C:$C,"&lt;=28/02/2025")</f>
        <v>2</v>
      </c>
      <c r="E28" s="34">
        <f>COUNTIFS('Datos Preescolar'!$E:$E,E$2,'Datos Preescolar'!$C:$C,"&gt;=01/02/2025",'Datos Preescolar'!$C:$C,"&lt;=28/02/2025")</f>
        <v>1</v>
      </c>
      <c r="F28" s="36">
        <f t="shared" ref="F28:F38" si="6">SUM(C28:E28)</f>
        <v>5</v>
      </c>
      <c r="H28" s="253"/>
      <c r="I28" s="33" t="s">
        <v>24</v>
      </c>
      <c r="J28" s="34">
        <f>SUM(C$27:C28)</f>
        <v>2</v>
      </c>
      <c r="K28" s="34">
        <f>SUM(D$27:D28)</f>
        <v>3</v>
      </c>
      <c r="L28" s="34">
        <f>SUM(E$27:E28)</f>
        <v>1</v>
      </c>
      <c r="M28" s="36">
        <f t="shared" ref="M28:M38" si="7">SUM(J28:L28)</f>
        <v>6</v>
      </c>
      <c r="O28" s="253"/>
      <c r="P28" s="33" t="s">
        <v>24</v>
      </c>
      <c r="Q28" s="34">
        <f>SUM(C$3:C28)</f>
        <v>58</v>
      </c>
      <c r="R28" s="34">
        <f>SUM(D$3:D28)</f>
        <v>29</v>
      </c>
      <c r="S28" s="34">
        <f>SUM(E$3:E28)</f>
        <v>24</v>
      </c>
      <c r="T28" s="36">
        <f t="shared" ref="T28:T38" si="8">SUM(Q28:S28)</f>
        <v>111</v>
      </c>
    </row>
    <row r="29" spans="1:20">
      <c r="A29" s="253"/>
      <c r="B29" s="33" t="s">
        <v>34</v>
      </c>
      <c r="C29" s="34">
        <f>COUNTIFS('Datos Preescolar'!$E:$E,C$2,'Datos Preescolar'!$C:$C,"&gt;=01/03/2025",'Datos Preescolar'!$C:$C,"&lt;=31/03/2025")</f>
        <v>3</v>
      </c>
      <c r="D29" s="34">
        <f>COUNTIFS('Datos Preescolar'!$E:$E,D$2,'Datos Preescolar'!$C:$C,"&gt;=01/03/2025",'Datos Preescolar'!$C:$C,"&lt;=31/03/2025")</f>
        <v>2</v>
      </c>
      <c r="E29" s="34">
        <f>COUNTIFS('Datos Preescolar'!$E:$E,E$2,'Datos Preescolar'!$C:$C,"&gt;=01/03/2025",'Datos Preescolar'!$C:$C,"&lt;=31/03/2025")</f>
        <v>0</v>
      </c>
      <c r="F29" s="36">
        <f t="shared" si="6"/>
        <v>5</v>
      </c>
      <c r="H29" s="253"/>
      <c r="I29" s="33" t="s">
        <v>34</v>
      </c>
      <c r="J29" s="34">
        <f>SUM(C$27:C29)</f>
        <v>5</v>
      </c>
      <c r="K29" s="34">
        <f>SUM(D$27:D29)</f>
        <v>5</v>
      </c>
      <c r="L29" s="34">
        <f>SUM(E$27:E29)</f>
        <v>1</v>
      </c>
      <c r="M29" s="36">
        <f t="shared" si="7"/>
        <v>11</v>
      </c>
      <c r="O29" s="253"/>
      <c r="P29" s="33" t="s">
        <v>34</v>
      </c>
      <c r="Q29" s="34">
        <f>SUM(C$3:C29)</f>
        <v>61</v>
      </c>
      <c r="R29" s="34">
        <f>SUM(D$3:D29)</f>
        <v>31</v>
      </c>
      <c r="S29" s="34">
        <f>SUM(E$3:E29)</f>
        <v>24</v>
      </c>
      <c r="T29" s="36">
        <f t="shared" si="8"/>
        <v>116</v>
      </c>
    </row>
    <row r="30" spans="1:20">
      <c r="A30" s="253"/>
      <c r="B30" s="33" t="s">
        <v>38</v>
      </c>
      <c r="C30" s="34">
        <f>COUNTIFS('Datos Preescolar'!$E:$E,C$2,'Datos Preescolar'!$C:$C,"&gt;=01/04/2025",'Datos Preescolar'!$C:$C,"&lt;=30/04/2025")</f>
        <v>3</v>
      </c>
      <c r="D30" s="34">
        <f>COUNTIFS('Datos Preescolar'!$E:$E,D$2,'Datos Preescolar'!$C:$C,"&gt;=01/04/2025",'Datos Preescolar'!$C:$C,"&lt;=30/04/2025")</f>
        <v>3</v>
      </c>
      <c r="E30" s="34">
        <f>COUNTIFS('Datos Preescolar'!$E:$E,E$2,'Datos Preescolar'!$C:$C,"&gt;=01/04/2025",'Datos Preescolar'!$C:$C,"&lt;=30/04/2025")</f>
        <v>1</v>
      </c>
      <c r="F30" s="36">
        <f t="shared" si="6"/>
        <v>7</v>
      </c>
      <c r="H30" s="253"/>
      <c r="I30" s="33" t="s">
        <v>38</v>
      </c>
      <c r="J30" s="34">
        <f>SUM(C$27:C30)</f>
        <v>8</v>
      </c>
      <c r="K30" s="34">
        <f>SUM(D$27:D30)</f>
        <v>8</v>
      </c>
      <c r="L30" s="34">
        <f>SUM(E$27:E30)</f>
        <v>2</v>
      </c>
      <c r="M30" s="36">
        <f t="shared" si="7"/>
        <v>18</v>
      </c>
      <c r="O30" s="253"/>
      <c r="P30" s="33" t="s">
        <v>38</v>
      </c>
      <c r="Q30" s="34">
        <f>SUM(C$3:C30)</f>
        <v>64</v>
      </c>
      <c r="R30" s="34">
        <f>SUM(D$3:D30)</f>
        <v>34</v>
      </c>
      <c r="S30" s="34">
        <f>SUM(E$3:E30)</f>
        <v>25</v>
      </c>
      <c r="T30" s="36">
        <f t="shared" si="8"/>
        <v>123</v>
      </c>
    </row>
    <row r="31" spans="1:20">
      <c r="A31" s="253"/>
      <c r="B31" s="33" t="s">
        <v>47</v>
      </c>
      <c r="C31" s="34">
        <f>COUNTIFS('Datos Preescolar'!$E:$E,C$2,'Datos Preescolar'!$C:$C,"&gt;=01/05/2025",'Datos Preescolar'!$C:$C,"&lt;=31/05/2025")</f>
        <v>2</v>
      </c>
      <c r="D31" s="34">
        <f>COUNTIFS('Datos Preescolar'!$E:$E,D$2,'Datos Preescolar'!$C:$C,"&gt;=01/05/2025",'Datos Preescolar'!$C:$C,"&lt;=31/05/2025")</f>
        <v>0</v>
      </c>
      <c r="E31" s="34">
        <f>COUNTIFS('Datos Preescolar'!$E:$E,E$2,'Datos Preescolar'!$C:$C,"&gt;=01/05/2025",'Datos Preescolar'!$C:$C,"&lt;=31/05/2025")</f>
        <v>0</v>
      </c>
      <c r="F31" s="36">
        <f t="shared" si="6"/>
        <v>2</v>
      </c>
      <c r="H31" s="253"/>
      <c r="I31" s="33" t="s">
        <v>47</v>
      </c>
      <c r="J31" s="34">
        <f>SUM(C$27:C31)</f>
        <v>10</v>
      </c>
      <c r="K31" s="34">
        <f>SUM(D$27:D31)</f>
        <v>8</v>
      </c>
      <c r="L31" s="34">
        <f>SUM(E$27:E31)</f>
        <v>2</v>
      </c>
      <c r="M31" s="36">
        <f t="shared" si="7"/>
        <v>20</v>
      </c>
      <c r="O31" s="253"/>
      <c r="P31" s="33" t="s">
        <v>47</v>
      </c>
      <c r="Q31" s="34">
        <f>SUM(C$3:C31)</f>
        <v>66</v>
      </c>
      <c r="R31" s="34">
        <f>SUM(D$3:D31)</f>
        <v>34</v>
      </c>
      <c r="S31" s="34">
        <f>SUM(E$3:E31)</f>
        <v>25</v>
      </c>
      <c r="T31" s="36">
        <f t="shared" si="8"/>
        <v>125</v>
      </c>
    </row>
    <row r="32" spans="1:20">
      <c r="A32" s="253"/>
      <c r="B32" s="33" t="s">
        <v>57</v>
      </c>
      <c r="C32" s="34">
        <f>COUNTIFS('Datos Preescolar'!$E:$E,C$2,'Datos Preescolar'!$C:$C,"&gt;=01/06/2025",'Datos Preescolar'!$C:$C,"&lt;=30/06/2025")</f>
        <v>1</v>
      </c>
      <c r="D32" s="34">
        <f>COUNTIFS('Datos Preescolar'!$E:$E,D$2,'Datos Preescolar'!$C:$C,"&gt;=01/06/2025",'Datos Preescolar'!$C:$C,"&lt;=30/06/2025")</f>
        <v>2</v>
      </c>
      <c r="E32" s="34">
        <f>COUNTIFS('Datos Preescolar'!$E:$E,E$2,'Datos Preescolar'!$C:$C,"&gt;=01/06/2025",'Datos Preescolar'!$C:$C,"&lt;=30/06/2025")</f>
        <v>0</v>
      </c>
      <c r="F32" s="36">
        <f t="shared" si="6"/>
        <v>3</v>
      </c>
      <c r="H32" s="253"/>
      <c r="I32" s="33" t="s">
        <v>57</v>
      </c>
      <c r="J32" s="34">
        <f>SUM(C$27:C32)</f>
        <v>11</v>
      </c>
      <c r="K32" s="34">
        <f>SUM(D$27:D32)</f>
        <v>10</v>
      </c>
      <c r="L32" s="34">
        <f>SUM(E$27:E32)</f>
        <v>2</v>
      </c>
      <c r="M32" s="36">
        <f t="shared" si="7"/>
        <v>23</v>
      </c>
      <c r="O32" s="253"/>
      <c r="P32" s="33" t="s">
        <v>57</v>
      </c>
      <c r="Q32" s="34">
        <f>SUM(C$3:C32)</f>
        <v>67</v>
      </c>
      <c r="R32" s="34">
        <f>SUM(D$3:D32)</f>
        <v>36</v>
      </c>
      <c r="S32" s="34">
        <f>SUM(E$3:E32)</f>
        <v>25</v>
      </c>
      <c r="T32" s="36">
        <f t="shared" si="8"/>
        <v>128</v>
      </c>
    </row>
    <row r="33" spans="1:20">
      <c r="A33" s="253"/>
      <c r="B33" s="33" t="s">
        <v>62</v>
      </c>
      <c r="C33" s="34">
        <f>COUNTIFS('Datos Preescolar'!$E:$E,C$2,'Datos Preescolar'!$C:$C,"&gt;=01/07/2025",'Datos Preescolar'!$C:$C,"&lt;=31/07/2025")</f>
        <v>4</v>
      </c>
      <c r="D33" s="34">
        <f>COUNTIFS('Datos Preescolar'!$E:$E,D$2,'Datos Preescolar'!$C:$C,"&gt;=01/07/2025",'Datos Preescolar'!$C:$C,"&lt;=31/07/2025")</f>
        <v>1</v>
      </c>
      <c r="E33" s="34">
        <v>0</v>
      </c>
      <c r="F33" s="36">
        <f t="shared" si="6"/>
        <v>5</v>
      </c>
      <c r="H33" s="253"/>
      <c r="I33" s="33" t="s">
        <v>62</v>
      </c>
      <c r="J33" s="34">
        <f>SUM(C$27:C33)</f>
        <v>15</v>
      </c>
      <c r="K33" s="34">
        <f>SUM(D$27:D33)</f>
        <v>11</v>
      </c>
      <c r="L33" s="34">
        <f>SUM(E$27:E33)</f>
        <v>2</v>
      </c>
      <c r="M33" s="36">
        <f t="shared" si="7"/>
        <v>28</v>
      </c>
      <c r="O33" s="253"/>
      <c r="P33" s="33" t="s">
        <v>62</v>
      </c>
      <c r="Q33" s="34">
        <f>SUM(C$3:C33)</f>
        <v>71</v>
      </c>
      <c r="R33" s="34">
        <f>SUM(D$3:D33)</f>
        <v>37</v>
      </c>
      <c r="S33" s="34">
        <f>SUM(E$3:E33)</f>
        <v>25</v>
      </c>
      <c r="T33" s="36">
        <f t="shared" si="8"/>
        <v>133</v>
      </c>
    </row>
    <row r="34" spans="1:20">
      <c r="A34" s="253"/>
      <c r="B34" s="33" t="s">
        <v>68</v>
      </c>
      <c r="C34" s="34">
        <f>COUNTIFS('Datos Preescolar'!$E:$E,C$2,'Datos Preescolar'!$C:$C,"&gt;=01/08/2025",'Datos Preescolar'!$C:$C,"&lt;=31/08/2025")</f>
        <v>2</v>
      </c>
      <c r="D34" s="34">
        <f>COUNTIFS('Datos Preescolar'!$E:$E,D$2,'Datos Preescolar'!$C:$C,"&gt;=01/08/2025",'Datos Preescolar'!$C:$C,"&lt;=31/08/2025")</f>
        <v>1</v>
      </c>
      <c r="E34" s="34">
        <f>COUNTIFS('Datos Preescolar'!$E:$E,E$2,'Datos Preescolar'!$C:$C,"&gt;=01/08/2025",'Datos Preescolar'!$C:$C,"&lt;=31/08/2025")</f>
        <v>2</v>
      </c>
      <c r="F34" s="36">
        <f t="shared" si="6"/>
        <v>5</v>
      </c>
      <c r="H34" s="253"/>
      <c r="I34" s="33" t="s">
        <v>68</v>
      </c>
      <c r="J34" s="34">
        <f>SUM(C$27:C34)</f>
        <v>17</v>
      </c>
      <c r="K34" s="34">
        <f>SUM(D$27:D34)</f>
        <v>12</v>
      </c>
      <c r="L34" s="34">
        <f>SUM(E$27:E34)</f>
        <v>4</v>
      </c>
      <c r="M34" s="36">
        <f t="shared" si="7"/>
        <v>33</v>
      </c>
      <c r="O34" s="253"/>
      <c r="P34" s="33" t="s">
        <v>68</v>
      </c>
      <c r="Q34" s="34">
        <f>SUM(C$3:C34)</f>
        <v>73</v>
      </c>
      <c r="R34" s="34">
        <f>SUM(D$3:D34)</f>
        <v>38</v>
      </c>
      <c r="S34" s="34">
        <f>SUM(E$3:E34)</f>
        <v>27</v>
      </c>
      <c r="T34" s="36">
        <f t="shared" si="8"/>
        <v>138</v>
      </c>
    </row>
    <row r="35" spans="1:20">
      <c r="A35" s="253"/>
      <c r="B35" s="33" t="s">
        <v>77</v>
      </c>
      <c r="C35" s="34">
        <f>COUNTIFS('Datos Preescolar'!$E:$E,C$2,'Datos Preescolar'!$C:$C,"&gt;=01/09/2025",'Datos Preescolar'!$C:$C,"&lt;=30/09/2025")</f>
        <v>8</v>
      </c>
      <c r="D35" s="34">
        <f>COUNTIFS('Datos Preescolar'!$E:$E,D$2,'Datos Preescolar'!$C:$C,"&gt;=01/09/2025",'Datos Preescolar'!$C:$C,"&lt;=30/09/2025")</f>
        <v>4</v>
      </c>
      <c r="E35" s="34">
        <f>COUNTIFS('Datos Preescolar'!$E:$E,E$2,'Datos Preescolar'!$C:$C,"&gt;=01/09/2025",'Datos Preescolar'!$C:$C,"&lt;=30/09/2025")</f>
        <v>1</v>
      </c>
      <c r="F35" s="36">
        <f t="shared" si="6"/>
        <v>13</v>
      </c>
      <c r="H35" s="253"/>
      <c r="I35" s="33" t="s">
        <v>77</v>
      </c>
      <c r="J35" s="34">
        <f>SUM(C$27:C35)</f>
        <v>25</v>
      </c>
      <c r="K35" s="34">
        <f>SUM(D$27:D35)</f>
        <v>16</v>
      </c>
      <c r="L35" s="34">
        <f>SUM(E$27:E35)</f>
        <v>5</v>
      </c>
      <c r="M35" s="36">
        <f t="shared" si="7"/>
        <v>46</v>
      </c>
      <c r="O35" s="253"/>
      <c r="P35" s="33" t="s">
        <v>77</v>
      </c>
      <c r="Q35" s="34">
        <f>SUM(C$3:C35)</f>
        <v>81</v>
      </c>
      <c r="R35" s="34">
        <f>SUM(D$3:D35)</f>
        <v>42</v>
      </c>
      <c r="S35" s="34">
        <f>SUM(E$3:E35)</f>
        <v>28</v>
      </c>
      <c r="T35" s="36">
        <f t="shared" si="8"/>
        <v>151</v>
      </c>
    </row>
    <row r="36" spans="1:20">
      <c r="A36" s="253"/>
      <c r="B36" s="33" t="s">
        <v>84</v>
      </c>
      <c r="C36" s="34">
        <f>COUNTIFS('Datos Preescolar'!$E:$E,C$2,'Datos Preescolar'!$C:$C,"&gt;=01/10/2025",'Datos Preescolar'!$C:$C,"&lt;=31/10/2025")</f>
        <v>3</v>
      </c>
      <c r="D36" s="34">
        <f>COUNTIFS('Datos Preescolar'!$E:$E,D$2,'Datos Preescolar'!$C:$C,"&gt;=01/10/2025",'Datos Preescolar'!$C:$C,"&lt;=31/10/2025")</f>
        <v>1</v>
      </c>
      <c r="E36" s="34">
        <f>COUNTIFS('Datos Preescolar'!$E:$E,E$2,'Datos Preescolar'!$C:$C,"&gt;=01/10/2025",'Datos Preescolar'!$C:$C,"&lt;=31/10/2025")</f>
        <v>0</v>
      </c>
      <c r="F36" s="36">
        <f t="shared" si="6"/>
        <v>4</v>
      </c>
      <c r="H36" s="253"/>
      <c r="I36" s="33" t="s">
        <v>84</v>
      </c>
      <c r="J36" s="34">
        <f>SUM(C$27:C36)</f>
        <v>28</v>
      </c>
      <c r="K36" s="34">
        <f>SUM(D$27:D36)</f>
        <v>17</v>
      </c>
      <c r="L36" s="34">
        <f>SUM(E$27:E36)</f>
        <v>5</v>
      </c>
      <c r="M36" s="36">
        <f t="shared" si="7"/>
        <v>50</v>
      </c>
      <c r="O36" s="253"/>
      <c r="P36" s="33" t="s">
        <v>84</v>
      </c>
      <c r="Q36" s="34">
        <f>SUM(C$3:C36)</f>
        <v>84</v>
      </c>
      <c r="R36" s="34">
        <f>SUM(D$3:D36)</f>
        <v>43</v>
      </c>
      <c r="S36" s="34">
        <f>SUM(E$3:E36)</f>
        <v>28</v>
      </c>
      <c r="T36" s="36">
        <f t="shared" si="8"/>
        <v>155</v>
      </c>
    </row>
    <row r="37" spans="1:20">
      <c r="A37" s="253"/>
      <c r="B37" s="33" t="s">
        <v>87</v>
      </c>
      <c r="C37" s="34">
        <f>COUNTIFS('Datos Preescolar'!$E:$E,C$2,'Datos Preescolar'!$C:$C,"&gt;=01/11/2025",'Datos Preescolar'!$C:$C,"&lt;=30/11/2025")</f>
        <v>4</v>
      </c>
      <c r="D37" s="34">
        <f>COUNTIFS('Datos Preescolar'!$E:$E,D$2,'Datos Preescolar'!$C:$C,"&gt;=01/11/2025",'Datos Preescolar'!$C:$C,"&lt;=30/11/2025")</f>
        <v>1</v>
      </c>
      <c r="E37" s="34">
        <f>COUNTIFS('Datos Preescolar'!$E:$E,E$2,'Datos Preescolar'!$C:$C,"&gt;=01/11/2025",'Datos Preescolar'!$C:$C,"&lt;=30/11/2025")</f>
        <v>1</v>
      </c>
      <c r="F37" s="36">
        <f t="shared" si="6"/>
        <v>6</v>
      </c>
      <c r="H37" s="253"/>
      <c r="I37" s="33" t="s">
        <v>87</v>
      </c>
      <c r="J37" s="34">
        <f>SUM(C$27:C37)</f>
        <v>32</v>
      </c>
      <c r="K37" s="34">
        <f>SUM(D$27:D37)</f>
        <v>18</v>
      </c>
      <c r="L37" s="34">
        <f>SUM(E$27:E37)</f>
        <v>6</v>
      </c>
      <c r="M37" s="36">
        <f t="shared" si="7"/>
        <v>56</v>
      </c>
      <c r="O37" s="253"/>
      <c r="P37" s="33" t="s">
        <v>87</v>
      </c>
      <c r="Q37" s="34">
        <f>SUM(C$3:C37)</f>
        <v>88</v>
      </c>
      <c r="R37" s="34">
        <f>SUM(D$3:D37)</f>
        <v>44</v>
      </c>
      <c r="S37" s="34">
        <f>SUM(E$3:E37)</f>
        <v>29</v>
      </c>
      <c r="T37" s="36">
        <f t="shared" si="8"/>
        <v>161</v>
      </c>
    </row>
    <row r="38" spans="1:20">
      <c r="A38" s="254"/>
      <c r="B38" s="33" t="s">
        <v>173</v>
      </c>
      <c r="C38" s="34">
        <f>COUNTIFS('Datos Preescolar'!$E:$E,C$2,'Datos Preescolar'!$C:$C,"&gt;=01/12/2025",'Datos Preescolar'!$C:$C,"&lt;=31/12/2025")</f>
        <v>2</v>
      </c>
      <c r="D38" s="34">
        <f>COUNTIFS('Datos Preescolar'!$E:$E,D$2,'Datos Preescolar'!$C:$C,"&gt;=01/12/2025",'Datos Preescolar'!$C:$C,"&lt;=31/12/2025")</f>
        <v>0</v>
      </c>
      <c r="E38" s="34">
        <f>COUNTIFS('Datos Preescolar'!$E:$E,E$2,'Datos Preescolar'!$C:$C,"&gt;=01/12/2025",'Datos Preescolar'!$C:$C,"&lt;=31/12/2025")</f>
        <v>2</v>
      </c>
      <c r="F38" s="36">
        <f t="shared" si="6"/>
        <v>4</v>
      </c>
      <c r="H38" s="254"/>
      <c r="I38" s="33" t="s">
        <v>173</v>
      </c>
      <c r="J38" s="34">
        <f>SUM(C$27:C38)</f>
        <v>34</v>
      </c>
      <c r="K38" s="34">
        <f>SUM(D$27:D38)</f>
        <v>18</v>
      </c>
      <c r="L38" s="34">
        <f>SUM(E$27:E38)</f>
        <v>8</v>
      </c>
      <c r="M38" s="36">
        <f t="shared" si="7"/>
        <v>60</v>
      </c>
      <c r="O38" s="254"/>
      <c r="P38" s="33" t="s">
        <v>173</v>
      </c>
      <c r="Q38" s="34">
        <f>SUM(C$3:C38)</f>
        <v>90</v>
      </c>
      <c r="R38" s="34">
        <f>SUM(D$3:D38)</f>
        <v>44</v>
      </c>
      <c r="S38" s="34">
        <f>SUM(E$3:E38)</f>
        <v>31</v>
      </c>
      <c r="T38" s="36">
        <f t="shared" si="8"/>
        <v>165</v>
      </c>
    </row>
    <row r="41" spans="1:20">
      <c r="B41" s="250" t="s">
        <v>1423</v>
      </c>
      <c r="C41" s="250"/>
      <c r="D41" s="250"/>
      <c r="E41" s="250"/>
      <c r="F41" s="250"/>
      <c r="I41" s="250" t="s">
        <v>1424</v>
      </c>
      <c r="J41" s="250"/>
      <c r="K41" s="250"/>
      <c r="L41" s="250"/>
      <c r="M41" s="250"/>
      <c r="P41" s="250" t="s">
        <v>1425</v>
      </c>
      <c r="Q41" s="250"/>
      <c r="R41" s="250"/>
      <c r="S41" s="250"/>
      <c r="T41" s="250"/>
    </row>
    <row r="42" spans="1:20" ht="14.45" customHeight="1">
      <c r="B42" s="32" t="s">
        <v>1421</v>
      </c>
      <c r="C42" s="32" t="s">
        <v>18</v>
      </c>
      <c r="D42" s="32" t="s">
        <v>32</v>
      </c>
      <c r="E42" s="32" t="s">
        <v>15</v>
      </c>
      <c r="F42" s="32" t="s">
        <v>1422</v>
      </c>
      <c r="I42" s="32" t="s">
        <v>1421</v>
      </c>
      <c r="J42" s="32" t="s">
        <v>18</v>
      </c>
      <c r="K42" s="32" t="s">
        <v>32</v>
      </c>
      <c r="L42" s="32" t="s">
        <v>15</v>
      </c>
      <c r="M42" s="32" t="s">
        <v>1422</v>
      </c>
      <c r="P42" s="32" t="s">
        <v>1421</v>
      </c>
      <c r="Q42" s="32" t="s">
        <v>18</v>
      </c>
      <c r="R42" s="32" t="s">
        <v>32</v>
      </c>
      <c r="S42" s="32" t="s">
        <v>15</v>
      </c>
      <c r="T42" s="32" t="s">
        <v>1422</v>
      </c>
    </row>
    <row r="43" spans="1:20">
      <c r="A43" s="251">
        <f>A3</f>
        <v>2023</v>
      </c>
      <c r="B43" s="33" t="s">
        <v>13</v>
      </c>
      <c r="C43" s="34">
        <f>COUNTIFS('Datos Preescolar'!$E:$E,C$42,'Datos Preescolar'!$H:$H,"&gt;=01/01/2023",'Datos Preescolar'!$H:$H,"&lt;=31/01/2023")</f>
        <v>0</v>
      </c>
      <c r="D43" s="34">
        <f>COUNTIFS('Datos Preescolar'!$E:$E,D$42,'Datos Preescolar'!$H:$H,"&gt;=01/01/2023",'Datos Preescolar'!$H:$H,"&lt;=31/01/2023")</f>
        <v>0</v>
      </c>
      <c r="E43" s="34">
        <f>COUNTIFS('Datos Preescolar'!$E:$E,E$42,'Datos Preescolar'!$H:$H,"&gt;=01/01/2023",'Datos Preescolar'!$H:$H,"&lt;=31/01/2023")</f>
        <v>1</v>
      </c>
      <c r="F43" s="36">
        <f>SUM(C43:E43)</f>
        <v>1</v>
      </c>
      <c r="H43" s="251">
        <f>A43</f>
        <v>2023</v>
      </c>
      <c r="I43" s="33" t="s">
        <v>13</v>
      </c>
      <c r="J43" s="34">
        <f>SUM(C$43:C43)</f>
        <v>0</v>
      </c>
      <c r="K43" s="34">
        <f>SUM(D$43:D43)</f>
        <v>0</v>
      </c>
      <c r="L43" s="34">
        <f>SUM(E$43:E43)</f>
        <v>1</v>
      </c>
      <c r="M43" s="36">
        <f>SUM(J43:L43)</f>
        <v>1</v>
      </c>
      <c r="O43" s="251">
        <f>A43</f>
        <v>2023</v>
      </c>
      <c r="P43" s="33" t="s">
        <v>13</v>
      </c>
      <c r="Q43" s="34">
        <f>SUM(C$43:C43)</f>
        <v>0</v>
      </c>
      <c r="R43" s="34">
        <f>SUM(D$43:D43)</f>
        <v>0</v>
      </c>
      <c r="S43" s="34">
        <f>SUM(E$43:E43)</f>
        <v>1</v>
      </c>
      <c r="T43" s="36">
        <f>SUM(Q43:S43)</f>
        <v>1</v>
      </c>
    </row>
    <row r="44" spans="1:20">
      <c r="A44" s="251"/>
      <c r="B44" s="33" t="s">
        <v>24</v>
      </c>
      <c r="C44" s="34">
        <f>COUNTIFS('Datos Preescolar'!$E:$E,C$42,'Datos Preescolar'!$H:$H,"&gt;=01/02/2023",'Datos Preescolar'!$H:$H,"&lt;=28/02/2023")</f>
        <v>0</v>
      </c>
      <c r="D44" s="34">
        <f>COUNTIFS('Datos Preescolar'!$E:$E,D$42,'Datos Preescolar'!$H:$H,"&gt;=01/02/2023",'Datos Preescolar'!$H:$H,"&lt;=28/02/2023")</f>
        <v>0</v>
      </c>
      <c r="E44" s="34">
        <f>COUNTIFS('Datos Preescolar'!$E:$E,E$42,'Datos Preescolar'!$H:$H,"&gt;=01/02/2023",'Datos Preescolar'!$H:$H,"&lt;=28/02/2023")</f>
        <v>0</v>
      </c>
      <c r="F44" s="36">
        <f t="shared" ref="F44:F54" si="9">SUM(C44:E44)</f>
        <v>0</v>
      </c>
      <c r="H44" s="251"/>
      <c r="I44" s="33" t="s">
        <v>24</v>
      </c>
      <c r="J44" s="34">
        <f>SUM(C$43:C44)</f>
        <v>0</v>
      </c>
      <c r="K44" s="34">
        <f>SUM(D$43:D44)</f>
        <v>0</v>
      </c>
      <c r="L44" s="34">
        <f>SUM(E$43:E44)</f>
        <v>1</v>
      </c>
      <c r="M44" s="36">
        <f t="shared" ref="M44:M54" si="10">SUM(J44:L44)</f>
        <v>1</v>
      </c>
      <c r="O44" s="251"/>
      <c r="P44" s="33" t="s">
        <v>24</v>
      </c>
      <c r="Q44" s="34">
        <f>SUM(C$43:C44)</f>
        <v>0</v>
      </c>
      <c r="R44" s="34">
        <f>SUM(D$43:D44)</f>
        <v>0</v>
      </c>
      <c r="S44" s="34">
        <f>SUM(E$43:E44)</f>
        <v>1</v>
      </c>
      <c r="T44" s="36">
        <f t="shared" ref="T44:T54" si="11">SUM(Q44:S44)</f>
        <v>1</v>
      </c>
    </row>
    <row r="45" spans="1:20">
      <c r="A45" s="251"/>
      <c r="B45" s="33" t="s">
        <v>34</v>
      </c>
      <c r="C45" s="34">
        <f>COUNTIFS('Datos Preescolar'!$E:$E,C$42,'Datos Preescolar'!$H:$H,"&gt;=01/03/2023",'Datos Preescolar'!$H:$H,"&lt;=31/03/2023")</f>
        <v>0</v>
      </c>
      <c r="D45" s="34">
        <f>COUNTIFS('Datos Preescolar'!$E:$E,D$42,'Datos Preescolar'!$H:$H,"&gt;=01/03/2023",'Datos Preescolar'!$H:$H,"&lt;=31/03/2023")</f>
        <v>0</v>
      </c>
      <c r="E45" s="34">
        <f>COUNTIFS('Datos Preescolar'!$E:$E,E$42,'Datos Preescolar'!$H:$H,"&gt;=01/03/2023",'Datos Preescolar'!$H:$H,"&lt;=31/03/2023")</f>
        <v>0</v>
      </c>
      <c r="F45" s="36">
        <f t="shared" si="9"/>
        <v>0</v>
      </c>
      <c r="H45" s="251"/>
      <c r="I45" s="33" t="s">
        <v>34</v>
      </c>
      <c r="J45" s="34">
        <f>SUM(C$43:C45)</f>
        <v>0</v>
      </c>
      <c r="K45" s="34">
        <f>SUM(D$43:D45)</f>
        <v>0</v>
      </c>
      <c r="L45" s="34">
        <f>SUM(E$43:E45)</f>
        <v>1</v>
      </c>
      <c r="M45" s="36">
        <f t="shared" si="10"/>
        <v>1</v>
      </c>
      <c r="O45" s="251"/>
      <c r="P45" s="33" t="s">
        <v>34</v>
      </c>
      <c r="Q45" s="34">
        <f>SUM(C$43:C45)</f>
        <v>0</v>
      </c>
      <c r="R45" s="34">
        <f>SUM(D$43:D45)</f>
        <v>0</v>
      </c>
      <c r="S45" s="34">
        <f>SUM(E$43:E45)</f>
        <v>1</v>
      </c>
      <c r="T45" s="36">
        <f t="shared" si="11"/>
        <v>1</v>
      </c>
    </row>
    <row r="46" spans="1:20">
      <c r="A46" s="251"/>
      <c r="B46" s="33" t="s">
        <v>38</v>
      </c>
      <c r="C46" s="34">
        <f>COUNTIFS('Datos Preescolar'!$E:$E,C$42,'Datos Preescolar'!$H:$H,"&gt;=01/04/2023",'Datos Preescolar'!$H:$H,"&lt;=30/04/2023")</f>
        <v>0</v>
      </c>
      <c r="D46" s="34">
        <f>COUNTIFS('Datos Preescolar'!$E:$E,D$42,'Datos Preescolar'!$H:$H,"&gt;=01/04/2023",'Datos Preescolar'!$H:$H,"&lt;=30/04/2023")</f>
        <v>0</v>
      </c>
      <c r="E46" s="34">
        <f>COUNTIFS('Datos Preescolar'!$E:$E,E$42,'Datos Preescolar'!$H:$H,"&gt;=01/04/2023",'Datos Preescolar'!$H:$H,"&lt;=30/04/2023")</f>
        <v>0</v>
      </c>
      <c r="F46" s="36">
        <f t="shared" si="9"/>
        <v>0</v>
      </c>
      <c r="H46" s="251"/>
      <c r="I46" s="33" t="s">
        <v>38</v>
      </c>
      <c r="J46" s="34">
        <f>SUM(C$43:C46)</f>
        <v>0</v>
      </c>
      <c r="K46" s="34">
        <f>SUM(D$43:D46)</f>
        <v>0</v>
      </c>
      <c r="L46" s="34">
        <f>SUM(E$43:E46)</f>
        <v>1</v>
      </c>
      <c r="M46" s="36">
        <f t="shared" si="10"/>
        <v>1</v>
      </c>
      <c r="O46" s="251"/>
      <c r="P46" s="33" t="s">
        <v>38</v>
      </c>
      <c r="Q46" s="34">
        <f>SUM(C$43:C46)</f>
        <v>0</v>
      </c>
      <c r="R46" s="34">
        <f>SUM(D$43:D46)</f>
        <v>0</v>
      </c>
      <c r="S46" s="34">
        <f>SUM(E$43:E46)</f>
        <v>1</v>
      </c>
      <c r="T46" s="36">
        <f t="shared" si="11"/>
        <v>1</v>
      </c>
    </row>
    <row r="47" spans="1:20">
      <c r="A47" s="251"/>
      <c r="B47" s="33" t="s">
        <v>47</v>
      </c>
      <c r="C47" s="34">
        <f>COUNTIFS('Datos Preescolar'!$E:$E,C$42,'Datos Preescolar'!$H:$H,"&gt;=01/05/2023",'Datos Preescolar'!$H:$H,"&lt;=31/05/2023")</f>
        <v>0</v>
      </c>
      <c r="D47" s="34">
        <f>COUNTIFS('Datos Preescolar'!$E:$E,D$42,'Datos Preescolar'!$H:$H,"&gt;=01/05/2023",'Datos Preescolar'!$H:$H,"&lt;=31/05/2023")</f>
        <v>0</v>
      </c>
      <c r="E47" s="34">
        <f>COUNTIFS('Datos Preescolar'!$E:$E,E$42,'Datos Preescolar'!$H:$H,"&gt;=01/05/2023",'Datos Preescolar'!$H:$H,"&lt;=31/05/2023")</f>
        <v>0</v>
      </c>
      <c r="F47" s="36">
        <f t="shared" si="9"/>
        <v>0</v>
      </c>
      <c r="H47" s="251"/>
      <c r="I47" s="33" t="s">
        <v>47</v>
      </c>
      <c r="J47" s="34">
        <f>SUM(C$43:C47)</f>
        <v>0</v>
      </c>
      <c r="K47" s="34">
        <f>SUM(D$43:D47)</f>
        <v>0</v>
      </c>
      <c r="L47" s="34">
        <f>SUM(E$43:E47)</f>
        <v>1</v>
      </c>
      <c r="M47" s="36">
        <f t="shared" si="10"/>
        <v>1</v>
      </c>
      <c r="O47" s="251"/>
      <c r="P47" s="33" t="s">
        <v>47</v>
      </c>
      <c r="Q47" s="34">
        <f>SUM(C$43:C47)</f>
        <v>0</v>
      </c>
      <c r="R47" s="34">
        <f>SUM(D$43:D47)</f>
        <v>0</v>
      </c>
      <c r="S47" s="34">
        <f>SUM(E$43:E47)</f>
        <v>1</v>
      </c>
      <c r="T47" s="36">
        <f t="shared" si="11"/>
        <v>1</v>
      </c>
    </row>
    <row r="48" spans="1:20">
      <c r="A48" s="251"/>
      <c r="B48" s="33" t="s">
        <v>57</v>
      </c>
      <c r="C48" s="34">
        <f>COUNTIFS('Datos Preescolar'!$E:$E,C$42,'Datos Preescolar'!$H:$H,"&gt;=01/06/2023",'Datos Preescolar'!$H:$H,"&lt;=30/06/2023")</f>
        <v>0</v>
      </c>
      <c r="D48" s="34">
        <f>COUNTIFS('Datos Preescolar'!$E:$E,D$42,'Datos Preescolar'!$H:$H,"&gt;=01/06/2023",'Datos Preescolar'!$H:$H,"&lt;=30/06/2023")</f>
        <v>0</v>
      </c>
      <c r="E48" s="34">
        <f>COUNTIFS('Datos Preescolar'!$E:$E,E$42,'Datos Preescolar'!$H:$H,"&gt;=01/06/2023",'Datos Preescolar'!$H:$H,"&lt;=30/06/2023")</f>
        <v>0</v>
      </c>
      <c r="F48" s="36">
        <f t="shared" si="9"/>
        <v>0</v>
      </c>
      <c r="H48" s="251"/>
      <c r="I48" s="33" t="s">
        <v>57</v>
      </c>
      <c r="J48" s="34">
        <f>SUM(C$43:C48)</f>
        <v>0</v>
      </c>
      <c r="K48" s="34">
        <f>SUM(D$43:D48)</f>
        <v>0</v>
      </c>
      <c r="L48" s="34">
        <f>SUM(E$43:E48)</f>
        <v>1</v>
      </c>
      <c r="M48" s="36">
        <f t="shared" si="10"/>
        <v>1</v>
      </c>
      <c r="O48" s="251"/>
      <c r="P48" s="33" t="s">
        <v>57</v>
      </c>
      <c r="Q48" s="34">
        <f>SUM(C$43:C48)</f>
        <v>0</v>
      </c>
      <c r="R48" s="34">
        <f>SUM(D$43:D48)</f>
        <v>0</v>
      </c>
      <c r="S48" s="34">
        <f>SUM(E$43:E48)</f>
        <v>1</v>
      </c>
      <c r="T48" s="36">
        <f t="shared" si="11"/>
        <v>1</v>
      </c>
    </row>
    <row r="49" spans="1:20">
      <c r="A49" s="251"/>
      <c r="B49" s="33" t="s">
        <v>62</v>
      </c>
      <c r="C49" s="34">
        <f>COUNTIFS('Datos Preescolar'!$E:$E,C$42,'Datos Preescolar'!$H:$H,"&gt;=01/07/2023",'Datos Preescolar'!$H:$H,"&lt;=31/07/2023")</f>
        <v>1</v>
      </c>
      <c r="D49" s="34">
        <f>COUNTIFS('Datos Preescolar'!$E:$E,D$42,'Datos Preescolar'!$H:$H,"&gt;=01/07/2023",'Datos Preescolar'!$H:$H,"&lt;=31/07/2023")</f>
        <v>1</v>
      </c>
      <c r="E49" s="34">
        <f>COUNTIFS('Datos Preescolar'!$E:$E,E$42,'Datos Preescolar'!$H:$H,"&gt;=01/07/2023",'Datos Preescolar'!$H:$H,"&lt;=31/07/2023")</f>
        <v>1</v>
      </c>
      <c r="F49" s="36">
        <f t="shared" si="9"/>
        <v>3</v>
      </c>
      <c r="H49" s="251"/>
      <c r="I49" s="33" t="s">
        <v>62</v>
      </c>
      <c r="J49" s="34">
        <f>SUM(C$43:C49)</f>
        <v>1</v>
      </c>
      <c r="K49" s="34">
        <f>SUM(D$43:D49)</f>
        <v>1</v>
      </c>
      <c r="L49" s="34">
        <f>SUM(E$43:E49)</f>
        <v>2</v>
      </c>
      <c r="M49" s="36">
        <f t="shared" si="10"/>
        <v>4</v>
      </c>
      <c r="O49" s="251"/>
      <c r="P49" s="33" t="s">
        <v>62</v>
      </c>
      <c r="Q49" s="34">
        <f>SUM(C$43:C49)</f>
        <v>1</v>
      </c>
      <c r="R49" s="34">
        <f>SUM(D$43:D49)</f>
        <v>1</v>
      </c>
      <c r="S49" s="34">
        <f>SUM(E$43:E49)</f>
        <v>2</v>
      </c>
      <c r="T49" s="36">
        <f t="shared" si="11"/>
        <v>4</v>
      </c>
    </row>
    <row r="50" spans="1:20">
      <c r="A50" s="251"/>
      <c r="B50" s="33" t="s">
        <v>68</v>
      </c>
      <c r="C50" s="34">
        <f>COUNTIFS('Datos Preescolar'!$E:$E,C$42,'Datos Preescolar'!$H:$H,"&gt;=01/08/2023",'Datos Preescolar'!$H:$H,"&lt;=31/08/2023")</f>
        <v>0</v>
      </c>
      <c r="D50" s="34">
        <f>COUNTIFS('Datos Preescolar'!$E:$E,D$42,'Datos Preescolar'!$H:$H,"&gt;=01/08/2023",'Datos Preescolar'!$H:$H,"&lt;=31/08/2023")</f>
        <v>0</v>
      </c>
      <c r="E50" s="34">
        <f>COUNTIFS('Datos Preescolar'!$E:$E,E$42,'Datos Preescolar'!$H:$H,"&gt;=01/08/2023",'Datos Preescolar'!$H:$H,"&lt;=31/08/2023")</f>
        <v>0</v>
      </c>
      <c r="F50" s="36">
        <f t="shared" si="9"/>
        <v>0</v>
      </c>
      <c r="H50" s="251"/>
      <c r="I50" s="33" t="s">
        <v>68</v>
      </c>
      <c r="J50" s="34">
        <f>SUM(C$43:C50)</f>
        <v>1</v>
      </c>
      <c r="K50" s="34">
        <f>SUM(D$43:D50)</f>
        <v>1</v>
      </c>
      <c r="L50" s="34">
        <f>SUM(E$43:E50)</f>
        <v>2</v>
      </c>
      <c r="M50" s="36">
        <f t="shared" si="10"/>
        <v>4</v>
      </c>
      <c r="O50" s="251"/>
      <c r="P50" s="33" t="s">
        <v>68</v>
      </c>
      <c r="Q50" s="34">
        <f>SUM(C$43:C50)</f>
        <v>1</v>
      </c>
      <c r="R50" s="34">
        <f>SUM(D$43:D50)</f>
        <v>1</v>
      </c>
      <c r="S50" s="34">
        <f>SUM(E$43:E50)</f>
        <v>2</v>
      </c>
      <c r="T50" s="36">
        <f t="shared" si="11"/>
        <v>4</v>
      </c>
    </row>
    <row r="51" spans="1:20">
      <c r="A51" s="251"/>
      <c r="B51" s="33" t="s">
        <v>77</v>
      </c>
      <c r="C51" s="34">
        <f>COUNTIFS('Datos Preescolar'!$E:$E,C$42,'Datos Preescolar'!$H:$H,"&gt;=01/09/2023",'Datos Preescolar'!$H:$H,"&lt;=30/09/2023")</f>
        <v>0</v>
      </c>
      <c r="D51" s="34">
        <f>COUNTIFS('Datos Preescolar'!$E:$E,D$42,'Datos Preescolar'!$H:$H,"&gt;=01/09/2023",'Datos Preescolar'!$H:$H,"&lt;=30/09/2023")</f>
        <v>0</v>
      </c>
      <c r="E51" s="34">
        <f>COUNTIFS('Datos Preescolar'!$E:$E,E$42,'Datos Preescolar'!$H:$H,"&gt;=01/09/2023",'Datos Preescolar'!$H:$H,"&lt;=30/09/2023")</f>
        <v>0</v>
      </c>
      <c r="F51" s="36">
        <f t="shared" si="9"/>
        <v>0</v>
      </c>
      <c r="H51" s="251"/>
      <c r="I51" s="33" t="s">
        <v>77</v>
      </c>
      <c r="J51" s="34">
        <f>SUM(C$43:C51)</f>
        <v>1</v>
      </c>
      <c r="K51" s="34">
        <f>SUM(D$43:D51)</f>
        <v>1</v>
      </c>
      <c r="L51" s="34">
        <f>SUM(E$43:E51)</f>
        <v>2</v>
      </c>
      <c r="M51" s="36">
        <f t="shared" si="10"/>
        <v>4</v>
      </c>
      <c r="O51" s="251"/>
      <c r="P51" s="33" t="s">
        <v>77</v>
      </c>
      <c r="Q51" s="34">
        <f>SUM(C$43:C51)</f>
        <v>1</v>
      </c>
      <c r="R51" s="34">
        <f>SUM(D$43:D51)</f>
        <v>1</v>
      </c>
      <c r="S51" s="34">
        <f>SUM(E$43:E51)</f>
        <v>2</v>
      </c>
      <c r="T51" s="36">
        <f t="shared" si="11"/>
        <v>4</v>
      </c>
    </row>
    <row r="52" spans="1:20">
      <c r="A52" s="251"/>
      <c r="B52" s="33" t="s">
        <v>84</v>
      </c>
      <c r="C52" s="34">
        <f>COUNTIFS('Datos Preescolar'!$E:$E,C$42,'Datos Preescolar'!$H:$H,"&gt;=01/10/2023",'Datos Preescolar'!$H:$H,"&lt;=31/10/2023")</f>
        <v>1</v>
      </c>
      <c r="D52" s="34">
        <f>COUNTIFS('Datos Preescolar'!$E:$E,D$42,'Datos Preescolar'!$H:$H,"&gt;=01/10/2023",'Datos Preescolar'!$H:$H,"&lt;=31/10/2023")</f>
        <v>0</v>
      </c>
      <c r="E52" s="34">
        <f>COUNTIFS('Datos Preescolar'!$E:$E,E$42,'Datos Preescolar'!$H:$H,"&gt;=01/10/2023",'Datos Preescolar'!$H:$H,"&lt;=31/10/2023")</f>
        <v>3</v>
      </c>
      <c r="F52" s="36">
        <f t="shared" si="9"/>
        <v>4</v>
      </c>
      <c r="H52" s="251"/>
      <c r="I52" s="33" t="s">
        <v>84</v>
      </c>
      <c r="J52" s="34">
        <f>SUM(C$43:C52)</f>
        <v>2</v>
      </c>
      <c r="K52" s="34">
        <f>SUM(D$43:D52)</f>
        <v>1</v>
      </c>
      <c r="L52" s="34">
        <f>SUM(E$43:E52)</f>
        <v>5</v>
      </c>
      <c r="M52" s="36">
        <f t="shared" si="10"/>
        <v>8</v>
      </c>
      <c r="O52" s="251"/>
      <c r="P52" s="33" t="s">
        <v>84</v>
      </c>
      <c r="Q52" s="34">
        <f>SUM(C$43:C52)</f>
        <v>2</v>
      </c>
      <c r="R52" s="34">
        <f>SUM(D$43:D52)</f>
        <v>1</v>
      </c>
      <c r="S52" s="34">
        <f>SUM(E$43:E52)</f>
        <v>5</v>
      </c>
      <c r="T52" s="36">
        <f t="shared" si="11"/>
        <v>8</v>
      </c>
    </row>
    <row r="53" spans="1:20">
      <c r="A53" s="251"/>
      <c r="B53" s="33" t="s">
        <v>87</v>
      </c>
      <c r="C53" s="34">
        <f>COUNTIFS('Datos Preescolar'!$E:$E,C$42,'Datos Preescolar'!$H:$H,"&gt;=01/11/2023",'Datos Preescolar'!$H:$H,"&lt;=30/11/2023")</f>
        <v>0</v>
      </c>
      <c r="D53" s="34">
        <f>COUNTIFS('Datos Preescolar'!$E:$E,D$42,'Datos Preescolar'!$H:$H,"&gt;=01/11/2023",'Datos Preescolar'!$H:$H,"&lt;=30/11/2023")</f>
        <v>0</v>
      </c>
      <c r="E53" s="34">
        <f>COUNTIFS('Datos Preescolar'!$E:$E,E$42,'Datos Preescolar'!$H:$H,"&gt;=01/11/2023",'Datos Preescolar'!$H:$H,"&lt;=30/11/2023")</f>
        <v>0</v>
      </c>
      <c r="F53" s="36">
        <f t="shared" si="9"/>
        <v>0</v>
      </c>
      <c r="H53" s="251"/>
      <c r="I53" s="33" t="s">
        <v>87</v>
      </c>
      <c r="J53" s="34">
        <f>SUM(C$43:C53)</f>
        <v>2</v>
      </c>
      <c r="K53" s="34">
        <f>SUM(D$43:D53)</f>
        <v>1</v>
      </c>
      <c r="L53" s="34">
        <f>SUM(E$43:E53)</f>
        <v>5</v>
      </c>
      <c r="M53" s="36">
        <f t="shared" si="10"/>
        <v>8</v>
      </c>
      <c r="O53" s="251"/>
      <c r="P53" s="33" t="s">
        <v>87</v>
      </c>
      <c r="Q53" s="34">
        <f>SUM(C$43:C53)</f>
        <v>2</v>
      </c>
      <c r="R53" s="34">
        <f>SUM(D$43:D53)</f>
        <v>1</v>
      </c>
      <c r="S53" s="34">
        <f>SUM(E$43:E53)</f>
        <v>5</v>
      </c>
      <c r="T53" s="36">
        <f t="shared" si="11"/>
        <v>8</v>
      </c>
    </row>
    <row r="54" spans="1:20" ht="14.45" customHeight="1">
      <c r="A54" s="251"/>
      <c r="B54" s="33" t="s">
        <v>173</v>
      </c>
      <c r="C54" s="34">
        <f>COUNTIFS('Datos Preescolar'!$E:$E,C$42,'Datos Preescolar'!$H:$H,"&gt;=01/12/2023",'Datos Preescolar'!$H:$H,"&lt;=31/12/2023")</f>
        <v>0</v>
      </c>
      <c r="D54" s="34">
        <f>COUNTIFS('Datos Preescolar'!$E:$E,D$42,'Datos Preescolar'!$H:$H,"&gt;=01/12/2023",'Datos Preescolar'!$H:$H,"&lt;=31/12/2023")</f>
        <v>0</v>
      </c>
      <c r="E54" s="34">
        <f>COUNTIFS('Datos Preescolar'!$E:$E,E$42,'Datos Preescolar'!$H:$H,"&gt;=01/12/2023",'Datos Preescolar'!$H:$H,"&lt;=31/12/2023")</f>
        <v>0</v>
      </c>
      <c r="F54" s="36">
        <f t="shared" si="9"/>
        <v>0</v>
      </c>
      <c r="H54" s="251"/>
      <c r="I54" s="33" t="s">
        <v>173</v>
      </c>
      <c r="J54" s="34">
        <f>SUM(C$43:C54)</f>
        <v>2</v>
      </c>
      <c r="K54" s="34">
        <f>SUM(D$43:D54)</f>
        <v>1</v>
      </c>
      <c r="L54" s="34">
        <f>SUM(E$43:E54)</f>
        <v>5</v>
      </c>
      <c r="M54" s="36">
        <f t="shared" si="10"/>
        <v>8</v>
      </c>
      <c r="O54" s="251"/>
      <c r="P54" s="33" t="s">
        <v>173</v>
      </c>
      <c r="Q54" s="34">
        <f>SUM(C$43:C54)</f>
        <v>2</v>
      </c>
      <c r="R54" s="34">
        <f>SUM(D$43:D54)</f>
        <v>1</v>
      </c>
      <c r="S54" s="34">
        <f>SUM(E$43:E54)</f>
        <v>5</v>
      </c>
      <c r="T54" s="36">
        <f t="shared" si="11"/>
        <v>8</v>
      </c>
    </row>
    <row r="55" spans="1:20">
      <c r="A55" s="251">
        <f>A15</f>
        <v>2024</v>
      </c>
      <c r="B55" s="33" t="s">
        <v>13</v>
      </c>
      <c r="C55" s="8">
        <f>COUNTIFS('Datos Preescolar'!$E:$E,C$42,'Datos Preescolar'!$H:$H,"&gt;=01/01/2024",'Datos Preescolar'!$H:$H,"&lt;=31/01/2024")</f>
        <v>0</v>
      </c>
      <c r="D55" s="8">
        <f>COUNTIFS('Datos Preescolar'!$E:$E,D$42,'Datos Preescolar'!$H:$H,"&gt;=01/01/2024",'Datos Preescolar'!$H:$H,"&lt;=31/01/2024")</f>
        <v>0</v>
      </c>
      <c r="E55" s="8">
        <f>COUNTIFS('Datos Preescolar'!$E:$E,E$42,'Datos Preescolar'!$H:$H,"&gt;=01/01/2024",'Datos Preescolar'!$H:$H,"&lt;=31/01/2024")</f>
        <v>1</v>
      </c>
      <c r="F55" s="36">
        <f>SUM(C55:E55)</f>
        <v>1</v>
      </c>
      <c r="H55" s="251">
        <f>A55</f>
        <v>2024</v>
      </c>
      <c r="I55" s="33" t="s">
        <v>13</v>
      </c>
      <c r="J55" s="34">
        <f>SUM(C$55:C55)</f>
        <v>0</v>
      </c>
      <c r="K55" s="34">
        <f>SUM(D$55:D55)</f>
        <v>0</v>
      </c>
      <c r="L55" s="34">
        <f>SUM(E$55:E55)</f>
        <v>1</v>
      </c>
      <c r="M55" s="36">
        <f>SUM(J55:L55)</f>
        <v>1</v>
      </c>
      <c r="O55" s="251">
        <f>A55</f>
        <v>2024</v>
      </c>
      <c r="P55" s="33" t="s">
        <v>13</v>
      </c>
      <c r="Q55" s="34">
        <f>SUM(C$43:C55)</f>
        <v>2</v>
      </c>
      <c r="R55" s="34">
        <f>SUM(D$43:D55)</f>
        <v>1</v>
      </c>
      <c r="S55" s="34">
        <f>SUM(E$43:E55)</f>
        <v>6</v>
      </c>
      <c r="T55" s="36">
        <f>SUM(Q55:S55)</f>
        <v>9</v>
      </c>
    </row>
    <row r="56" spans="1:20">
      <c r="A56" s="251"/>
      <c r="B56" s="33" t="s">
        <v>24</v>
      </c>
      <c r="C56" s="8">
        <f>COUNTIFS('Datos Preescolar'!$E:$E,C$42,'Datos Preescolar'!$H:$H,"&gt;=01/02/2024",'Datos Preescolar'!$H:$H,"&lt;=29/02/2024")</f>
        <v>0</v>
      </c>
      <c r="D56" s="8">
        <f>COUNTIFS('Datos Preescolar'!$E:$E,D$42,'Datos Preescolar'!$H:$H,"&gt;=01/02/2024",'Datos Preescolar'!$H:$H,"&lt;=29/02/2024")</f>
        <v>0</v>
      </c>
      <c r="E56" s="8">
        <f>COUNTIFS('Datos Preescolar'!$E:$E,E$42,'Datos Preescolar'!$H:$H,"&gt;=01/02/2024",'Datos Preescolar'!$H:$H,"&lt;=29/02/2024")</f>
        <v>0</v>
      </c>
      <c r="F56" s="36">
        <f t="shared" ref="F56:F66" si="12">SUM(C56:E56)</f>
        <v>0</v>
      </c>
      <c r="H56" s="251"/>
      <c r="I56" s="33" t="s">
        <v>24</v>
      </c>
      <c r="J56" s="34">
        <f>SUM(C$55:C56)</f>
        <v>0</v>
      </c>
      <c r="K56" s="34">
        <f>SUM(D$55:D56)</f>
        <v>0</v>
      </c>
      <c r="L56" s="34">
        <f>SUM(E$55:E56)</f>
        <v>1</v>
      </c>
      <c r="M56" s="36">
        <f t="shared" ref="M56:M66" si="13">SUM(J56:L56)</f>
        <v>1</v>
      </c>
      <c r="O56" s="251"/>
      <c r="P56" s="33" t="s">
        <v>24</v>
      </c>
      <c r="Q56" s="34">
        <f>SUM(C$43:C56)</f>
        <v>2</v>
      </c>
      <c r="R56" s="34">
        <f>SUM(D$43:D56)</f>
        <v>1</v>
      </c>
      <c r="S56" s="34">
        <f>SUM(E$43:E56)</f>
        <v>6</v>
      </c>
      <c r="T56" s="36">
        <f t="shared" ref="T56:T66" si="14">SUM(Q56:S56)</f>
        <v>9</v>
      </c>
    </row>
    <row r="57" spans="1:20">
      <c r="A57" s="251"/>
      <c r="B57" s="33" t="s">
        <v>34</v>
      </c>
      <c r="C57" s="8">
        <f>COUNTIFS('Datos Preescolar'!$E:$E,C$42,'Datos Preescolar'!$H:$H,"&gt;=01/03/2024",'Datos Preescolar'!$H:$H,"&lt;=31/03/2024")</f>
        <v>0</v>
      </c>
      <c r="D57" s="8">
        <f>COUNTIFS('Datos Preescolar'!$E:$E,D$42,'Datos Preescolar'!$H:$H,"&gt;=01/03/2024",'Datos Preescolar'!$H:$H,"&lt;=31/03/2024")</f>
        <v>0</v>
      </c>
      <c r="E57" s="8">
        <f>COUNTIFS('Datos Preescolar'!$E:$E,E$42,'Datos Preescolar'!$H:$H,"&gt;=01/03/2024",'Datos Preescolar'!$H:$H,"&lt;=31/03/2024")</f>
        <v>0</v>
      </c>
      <c r="F57" s="36">
        <f t="shared" si="12"/>
        <v>0</v>
      </c>
      <c r="H57" s="251"/>
      <c r="I57" s="33" t="s">
        <v>34</v>
      </c>
      <c r="J57" s="34">
        <f>SUM(C$55:C57)</f>
        <v>0</v>
      </c>
      <c r="K57" s="34">
        <f>SUM(D$55:D57)</f>
        <v>0</v>
      </c>
      <c r="L57" s="34">
        <f>SUM(E$55:E57)</f>
        <v>1</v>
      </c>
      <c r="M57" s="36">
        <f t="shared" si="13"/>
        <v>1</v>
      </c>
      <c r="O57" s="251"/>
      <c r="P57" s="33" t="s">
        <v>34</v>
      </c>
      <c r="Q57" s="34">
        <f>SUM(C$43:C57)</f>
        <v>2</v>
      </c>
      <c r="R57" s="34">
        <f>SUM(D$43:D57)</f>
        <v>1</v>
      </c>
      <c r="S57" s="34">
        <f>SUM(E$43:E57)</f>
        <v>6</v>
      </c>
      <c r="T57" s="36">
        <f t="shared" si="14"/>
        <v>9</v>
      </c>
    </row>
    <row r="58" spans="1:20">
      <c r="A58" s="251"/>
      <c r="B58" s="33" t="s">
        <v>38</v>
      </c>
      <c r="C58" s="8">
        <f>COUNTIFS('Datos Preescolar'!$E:$E,C$42,'Datos Preescolar'!$H:$H,"&gt;=01/04/2024",'Datos Preescolar'!$H:$H,"&lt;=30/04/2024")</f>
        <v>0</v>
      </c>
      <c r="D58" s="8">
        <f>COUNTIFS('Datos Preescolar'!$E:$E,D$42,'Datos Preescolar'!$H:$H,"&gt;=01/04/2024",'Datos Preescolar'!$H:$H,"&lt;=30/04/2024")</f>
        <v>0</v>
      </c>
      <c r="E58" s="8">
        <f>COUNTIFS('Datos Preescolar'!$E:$E,E$42,'Datos Preescolar'!$H:$H,"&gt;=01/04/2024",'Datos Preescolar'!$H:$H,"&lt;=30/04/2024")</f>
        <v>0</v>
      </c>
      <c r="F58" s="36">
        <f t="shared" si="12"/>
        <v>0</v>
      </c>
      <c r="H58" s="251"/>
      <c r="I58" s="33" t="s">
        <v>38</v>
      </c>
      <c r="J58" s="34">
        <f>SUM(C$55:C58)</f>
        <v>0</v>
      </c>
      <c r="K58" s="34">
        <f>SUM(D$55:D58)</f>
        <v>0</v>
      </c>
      <c r="L58" s="34">
        <f>SUM(E$55:E58)</f>
        <v>1</v>
      </c>
      <c r="M58" s="36">
        <f t="shared" si="13"/>
        <v>1</v>
      </c>
      <c r="O58" s="251"/>
      <c r="P58" s="33" t="s">
        <v>38</v>
      </c>
      <c r="Q58" s="34">
        <f>SUM(C$43:C58)</f>
        <v>2</v>
      </c>
      <c r="R58" s="34">
        <f>SUM(D$43:D58)</f>
        <v>1</v>
      </c>
      <c r="S58" s="34">
        <f>SUM(E$43:E58)</f>
        <v>6</v>
      </c>
      <c r="T58" s="36">
        <f t="shared" si="14"/>
        <v>9</v>
      </c>
    </row>
    <row r="59" spans="1:20">
      <c r="A59" s="251"/>
      <c r="B59" s="33" t="s">
        <v>47</v>
      </c>
      <c r="C59" s="8">
        <f>COUNTIFS('Datos Preescolar'!$E:$E,C$42,'Datos Preescolar'!$H:$H,"&gt;=01/05/2024",'Datos Preescolar'!$H:$H,"&lt;=31/05/2024")</f>
        <v>0</v>
      </c>
      <c r="D59" s="8">
        <f>COUNTIFS('Datos Preescolar'!$E:$E,D$42,'Datos Preescolar'!$H:$H,"&gt;=01/05/2024",'Datos Preescolar'!$H:$H,"&lt;=31/05/2024")</f>
        <v>0</v>
      </c>
      <c r="E59" s="8">
        <f>COUNTIFS('Datos Preescolar'!$E:$E,E$42,'Datos Preescolar'!$H:$H,"&gt;=01/05/2024",'Datos Preescolar'!$H:$H,"&lt;=31/05/2024")</f>
        <v>0</v>
      </c>
      <c r="F59" s="36">
        <f t="shared" si="12"/>
        <v>0</v>
      </c>
      <c r="H59" s="251"/>
      <c r="I59" s="33" t="s">
        <v>47</v>
      </c>
      <c r="J59" s="34">
        <f>SUM(C$55:C59)</f>
        <v>0</v>
      </c>
      <c r="K59" s="34">
        <f>SUM(D$55:D59)</f>
        <v>0</v>
      </c>
      <c r="L59" s="34">
        <f>SUM(E$55:E59)</f>
        <v>1</v>
      </c>
      <c r="M59" s="36">
        <f t="shared" si="13"/>
        <v>1</v>
      </c>
      <c r="O59" s="251"/>
      <c r="P59" s="33" t="s">
        <v>47</v>
      </c>
      <c r="Q59" s="34">
        <f>SUM(C$43:C59)</f>
        <v>2</v>
      </c>
      <c r="R59" s="34">
        <f>SUM(D$43:D59)</f>
        <v>1</v>
      </c>
      <c r="S59" s="34">
        <f>SUM(E$43:E59)</f>
        <v>6</v>
      </c>
      <c r="T59" s="36">
        <f t="shared" si="14"/>
        <v>9</v>
      </c>
    </row>
    <row r="60" spans="1:20">
      <c r="A60" s="251"/>
      <c r="B60" s="33" t="s">
        <v>57</v>
      </c>
      <c r="C60" s="8">
        <f>COUNTIFS('Datos Preescolar'!$E:$E,C$42,'Datos Preescolar'!$H:$H,"&gt;=01/06/2024",'Datos Preescolar'!$H:$H,"&lt;=30/06/2024")</f>
        <v>0</v>
      </c>
      <c r="D60" s="8">
        <f>COUNTIFS('Datos Preescolar'!$E:$E,D$42,'Datos Preescolar'!$H:$H,"&gt;=01/06/2024",'Datos Preescolar'!$H:$H,"&lt;=30/06/2024")</f>
        <v>0</v>
      </c>
      <c r="E60" s="8">
        <f>COUNTIFS('Datos Preescolar'!$E:$E,E$42,'Datos Preescolar'!$H:$H,"&gt;=01/06/2024",'Datos Preescolar'!$H:$H,"&lt;=30/06/2024")</f>
        <v>0</v>
      </c>
      <c r="F60" s="36">
        <f t="shared" si="12"/>
        <v>0</v>
      </c>
      <c r="H60" s="251"/>
      <c r="I60" s="33" t="s">
        <v>57</v>
      </c>
      <c r="J60" s="34">
        <f>SUM(C$55:C60)</f>
        <v>0</v>
      </c>
      <c r="K60" s="34">
        <f>SUM(D$55:D60)</f>
        <v>0</v>
      </c>
      <c r="L60" s="34">
        <f>SUM(E$55:E60)</f>
        <v>1</v>
      </c>
      <c r="M60" s="36">
        <f t="shared" si="13"/>
        <v>1</v>
      </c>
      <c r="O60" s="251"/>
      <c r="P60" s="33" t="s">
        <v>57</v>
      </c>
      <c r="Q60" s="34">
        <f>SUM(C$43:C60)</f>
        <v>2</v>
      </c>
      <c r="R60" s="34">
        <f>SUM(D$43:D60)</f>
        <v>1</v>
      </c>
      <c r="S60" s="34">
        <f>SUM(E$43:E60)</f>
        <v>6</v>
      </c>
      <c r="T60" s="36">
        <f t="shared" si="14"/>
        <v>9</v>
      </c>
    </row>
    <row r="61" spans="1:20">
      <c r="A61" s="251"/>
      <c r="B61" s="33" t="s">
        <v>62</v>
      </c>
      <c r="C61" s="8">
        <f>COUNTIFS('Datos Preescolar'!$E:$E,C$42,'Datos Preescolar'!$H:$H,"&gt;=01/07/2024",'Datos Preescolar'!$H:$H,"&lt;=31/07/2024")</f>
        <v>0</v>
      </c>
      <c r="D61" s="8">
        <f>COUNTIFS('Datos Preescolar'!$E:$E,D$42,'Datos Preescolar'!$H:$H,"&gt;=01/07/2024",'Datos Preescolar'!$H:$H,"&lt;=31/07/2024")</f>
        <v>1</v>
      </c>
      <c r="E61" s="8">
        <f>COUNTIFS('Datos Preescolar'!$E:$E,E$42,'Datos Preescolar'!$H:$H,"&gt;=01/07/2024",'Datos Preescolar'!$H:$H,"&lt;=31/07/2024")</f>
        <v>1</v>
      </c>
      <c r="F61" s="36">
        <f t="shared" si="12"/>
        <v>2</v>
      </c>
      <c r="H61" s="251"/>
      <c r="I61" s="33" t="s">
        <v>62</v>
      </c>
      <c r="J61" s="34">
        <f>SUM(C$55:C61)</f>
        <v>0</v>
      </c>
      <c r="K61" s="34">
        <f>SUM(D$55:D61)</f>
        <v>1</v>
      </c>
      <c r="L61" s="34">
        <f>SUM(E$55:E61)</f>
        <v>2</v>
      </c>
      <c r="M61" s="36">
        <f t="shared" si="13"/>
        <v>3</v>
      </c>
      <c r="O61" s="251"/>
      <c r="P61" s="33" t="s">
        <v>62</v>
      </c>
      <c r="Q61" s="34">
        <f>SUM(C$43:C61)</f>
        <v>2</v>
      </c>
      <c r="R61" s="34">
        <f>SUM(D$43:D61)</f>
        <v>2</v>
      </c>
      <c r="S61" s="34">
        <f>SUM(E$43:E61)</f>
        <v>7</v>
      </c>
      <c r="T61" s="36">
        <f t="shared" si="14"/>
        <v>11</v>
      </c>
    </row>
    <row r="62" spans="1:20">
      <c r="A62" s="251"/>
      <c r="B62" s="33" t="s">
        <v>68</v>
      </c>
      <c r="C62" s="8">
        <f>COUNTIFS('Datos Preescolar'!$E:$E,C$42,'Datos Preescolar'!$H:$H,"&gt;=01/08/2024",'Datos Preescolar'!$H:$H,"&lt;=31/08/2024")</f>
        <v>0</v>
      </c>
      <c r="D62" s="8">
        <f>COUNTIFS('Datos Preescolar'!$E:$E,D$42,'Datos Preescolar'!$H:$H,"&gt;=01/08/2024",'Datos Preescolar'!$H:$H,"&lt;=31/08/2024")</f>
        <v>1</v>
      </c>
      <c r="E62" s="8">
        <f>COUNTIFS('Datos Preescolar'!$E:$E,E$42,'Datos Preescolar'!$H:$H,"&gt;=01/08/2024",'Datos Preescolar'!$H:$H,"&lt;=31/08/2024")</f>
        <v>0</v>
      </c>
      <c r="F62" s="36">
        <f t="shared" si="12"/>
        <v>1</v>
      </c>
      <c r="H62" s="251"/>
      <c r="I62" s="33" t="s">
        <v>68</v>
      </c>
      <c r="J62" s="34">
        <f>SUM(C$55:C62)</f>
        <v>0</v>
      </c>
      <c r="K62" s="34">
        <f>SUM(D$55:D62)</f>
        <v>2</v>
      </c>
      <c r="L62" s="34">
        <f>SUM(E$55:E62)</f>
        <v>2</v>
      </c>
      <c r="M62" s="36">
        <f t="shared" si="13"/>
        <v>4</v>
      </c>
      <c r="O62" s="251"/>
      <c r="P62" s="33" t="s">
        <v>68</v>
      </c>
      <c r="Q62" s="34">
        <f>SUM(C$43:C62)</f>
        <v>2</v>
      </c>
      <c r="R62" s="34">
        <f>SUM(D$43:D62)</f>
        <v>3</v>
      </c>
      <c r="S62" s="34">
        <f>SUM(E$43:E62)</f>
        <v>7</v>
      </c>
      <c r="T62" s="36">
        <f t="shared" si="14"/>
        <v>12</v>
      </c>
    </row>
    <row r="63" spans="1:20">
      <c r="A63" s="251"/>
      <c r="B63" s="33" t="s">
        <v>77</v>
      </c>
      <c r="C63" s="8">
        <f>COUNTIFS('Datos Preescolar'!$E:$E,C$42,'Datos Preescolar'!$H:$H,"&gt;=01/09/2024",'Datos Preescolar'!$H:$H,"&lt;=30/09/2024")</f>
        <v>0</v>
      </c>
      <c r="D63" s="8">
        <f>COUNTIFS('Datos Preescolar'!$E:$E,D$42,'Datos Preescolar'!$H:$H,"&gt;=01/09/2024",'Datos Preescolar'!$H:$H,"&lt;=30/09/2024")</f>
        <v>0</v>
      </c>
      <c r="E63" s="8">
        <f>COUNTIFS('Datos Preescolar'!$E:$E,E$42,'Datos Preescolar'!$H:$H,"&gt;=01/09/2024",'Datos Preescolar'!$H:$H,"&lt;=30/09/2024")</f>
        <v>0</v>
      </c>
      <c r="F63" s="36">
        <f t="shared" si="12"/>
        <v>0</v>
      </c>
      <c r="H63" s="251"/>
      <c r="I63" s="33" t="s">
        <v>77</v>
      </c>
      <c r="J63" s="34">
        <f>SUM(C$55:C63)</f>
        <v>0</v>
      </c>
      <c r="K63" s="34">
        <f>SUM(D$55:D63)</f>
        <v>2</v>
      </c>
      <c r="L63" s="34">
        <f>SUM(E$55:E63)</f>
        <v>2</v>
      </c>
      <c r="M63" s="36">
        <f t="shared" si="13"/>
        <v>4</v>
      </c>
      <c r="O63" s="251"/>
      <c r="P63" s="33" t="s">
        <v>77</v>
      </c>
      <c r="Q63" s="34">
        <f>SUM(C$43:C63)</f>
        <v>2</v>
      </c>
      <c r="R63" s="34">
        <f>SUM(D$43:D63)</f>
        <v>3</v>
      </c>
      <c r="S63" s="34">
        <f>SUM(E$43:E63)</f>
        <v>7</v>
      </c>
      <c r="T63" s="36">
        <f t="shared" si="14"/>
        <v>12</v>
      </c>
    </row>
    <row r="64" spans="1:20">
      <c r="A64" s="251"/>
      <c r="B64" s="33" t="s">
        <v>84</v>
      </c>
      <c r="C64" s="8">
        <f>COUNTIFS('Datos Preescolar'!$E:$E,C$42,'Datos Preescolar'!$H:$H,"&gt;=01/10/2024",'Datos Preescolar'!$H:$H,"&lt;=31/10/2024")</f>
        <v>0</v>
      </c>
      <c r="D64" s="8">
        <f>COUNTIFS('Datos Preescolar'!$E:$E,D$42,'Datos Preescolar'!$H:$H,"&gt;=01/10/2024",'Datos Preescolar'!$H:$H,"&lt;=31/10/2024")</f>
        <v>1</v>
      </c>
      <c r="E64" s="8">
        <f>COUNTIFS('Datos Preescolar'!$E:$E,E$42,'Datos Preescolar'!$H:$H,"&gt;=01/10/2024",'Datos Preescolar'!$H:$H,"&lt;=31/10/2024")</f>
        <v>0</v>
      </c>
      <c r="F64" s="36">
        <f t="shared" si="12"/>
        <v>1</v>
      </c>
      <c r="H64" s="251"/>
      <c r="I64" s="33" t="s">
        <v>84</v>
      </c>
      <c r="J64" s="34">
        <f>SUM(C$55:C64)</f>
        <v>0</v>
      </c>
      <c r="K64" s="34">
        <f>SUM(D$55:D64)</f>
        <v>3</v>
      </c>
      <c r="L64" s="34">
        <f>SUM(E$55:E64)</f>
        <v>2</v>
      </c>
      <c r="M64" s="36">
        <f t="shared" si="13"/>
        <v>5</v>
      </c>
      <c r="O64" s="251"/>
      <c r="P64" s="33" t="s">
        <v>84</v>
      </c>
      <c r="Q64" s="34">
        <f>SUM(C$43:C64)</f>
        <v>2</v>
      </c>
      <c r="R64" s="34">
        <f>SUM(D$43:D64)</f>
        <v>4</v>
      </c>
      <c r="S64" s="34">
        <f>SUM(E$43:E64)</f>
        <v>7</v>
      </c>
      <c r="T64" s="36">
        <f t="shared" si="14"/>
        <v>13</v>
      </c>
    </row>
    <row r="65" spans="1:20">
      <c r="A65" s="251"/>
      <c r="B65" s="33" t="s">
        <v>87</v>
      </c>
      <c r="C65" s="8">
        <f>COUNTIFS('Datos Preescolar'!$E:$E,C$42,'Datos Preescolar'!$H:$H,"&gt;=01/11/2024",'Datos Preescolar'!$H:$H,"&lt;=30/11/2024")</f>
        <v>2</v>
      </c>
      <c r="D65" s="8">
        <f>COUNTIFS('Datos Preescolar'!$E:$E,D$42,'Datos Preescolar'!$H:$H,"&gt;=01/11/2024",'Datos Preescolar'!$H:$H,"&lt;=30/11/2024")</f>
        <v>0</v>
      </c>
      <c r="E65" s="8">
        <f>COUNTIFS('Datos Preescolar'!$E:$E,E$42,'Datos Preescolar'!$H:$H,"&gt;=01/11/2024",'Datos Preescolar'!$H:$H,"&lt;=30/11/2024")</f>
        <v>0</v>
      </c>
      <c r="F65" s="36">
        <f t="shared" si="12"/>
        <v>2</v>
      </c>
      <c r="H65" s="251"/>
      <c r="I65" s="33" t="s">
        <v>87</v>
      </c>
      <c r="J65" s="34">
        <f>SUM(C$55:C65)</f>
        <v>2</v>
      </c>
      <c r="K65" s="34">
        <f>SUM(D$55:D65)</f>
        <v>3</v>
      </c>
      <c r="L65" s="34">
        <f>SUM(E$55:E65)</f>
        <v>2</v>
      </c>
      <c r="M65" s="36">
        <f t="shared" si="13"/>
        <v>7</v>
      </c>
      <c r="O65" s="251"/>
      <c r="P65" s="33" t="s">
        <v>87</v>
      </c>
      <c r="Q65" s="34">
        <f>SUM(C$43:C65)</f>
        <v>4</v>
      </c>
      <c r="R65" s="34">
        <f>SUM(D$43:D65)</f>
        <v>4</v>
      </c>
      <c r="S65" s="34">
        <f>SUM(E$43:E65)</f>
        <v>7</v>
      </c>
      <c r="T65" s="36">
        <f t="shared" si="14"/>
        <v>15</v>
      </c>
    </row>
    <row r="66" spans="1:20">
      <c r="A66" s="251"/>
      <c r="B66" s="33" t="s">
        <v>173</v>
      </c>
      <c r="C66" s="8">
        <f>COUNTIFS('Datos Preescolar'!$E:$E,C$42,'Datos Preescolar'!$H:$H,"&gt;=01/12/2024",'Datos Preescolar'!$H:$H,"&lt;=31/12/2024")</f>
        <v>0</v>
      </c>
      <c r="D66" s="8">
        <f>COUNTIFS('Datos Preescolar'!$E:$E,D$42,'Datos Preescolar'!$H:$H,"&gt;=01/12/2024",'Datos Preescolar'!$H:$H,"&lt;=31/12/2024")</f>
        <v>0</v>
      </c>
      <c r="E66" s="8">
        <f>COUNTIFS('Datos Preescolar'!$E:$E,E$42,'Datos Preescolar'!$H:$H,"&gt;=01/12/2024",'Datos Preescolar'!$H:$H,"&lt;=31/12/2024")</f>
        <v>0</v>
      </c>
      <c r="F66" s="36">
        <f t="shared" si="12"/>
        <v>0</v>
      </c>
      <c r="H66" s="251"/>
      <c r="I66" s="33" t="s">
        <v>173</v>
      </c>
      <c r="J66" s="34">
        <f>SUM(C$55:C66)</f>
        <v>2</v>
      </c>
      <c r="K66" s="34">
        <f>SUM(D$55:D66)</f>
        <v>3</v>
      </c>
      <c r="L66" s="34">
        <f>SUM(E$55:E66)</f>
        <v>2</v>
      </c>
      <c r="M66" s="36">
        <f t="shared" si="13"/>
        <v>7</v>
      </c>
      <c r="O66" s="251"/>
      <c r="P66" s="33" t="s">
        <v>173</v>
      </c>
      <c r="Q66" s="34">
        <f>SUM(C$43:C66)</f>
        <v>4</v>
      </c>
      <c r="R66" s="34">
        <f>SUM(D$43:D66)</f>
        <v>4</v>
      </c>
      <c r="S66" s="34">
        <f>SUM(E$43:E66)</f>
        <v>7</v>
      </c>
      <c r="T66" s="36">
        <f t="shared" si="14"/>
        <v>15</v>
      </c>
    </row>
    <row r="67" spans="1:20">
      <c r="A67" s="251">
        <f>A27</f>
        <v>2025</v>
      </c>
      <c r="B67" s="33" t="s">
        <v>13</v>
      </c>
      <c r="C67" s="8">
        <f>COUNTIFS('Datos Preescolar'!$E:$E,C$42,'Datos Preescolar'!$H:$H,"&gt;=01/01/2025",'Datos Preescolar'!$H:$H,"&lt;=31/01/2025")</f>
        <v>1</v>
      </c>
      <c r="D67" s="8">
        <f>COUNTIFS('Datos Preescolar'!$E:$E,D$42,'Datos Preescolar'!$H:$H,"&gt;=01/01/2025",'Datos Preescolar'!$H:$H,"&lt;=31/01/2025")</f>
        <v>1</v>
      </c>
      <c r="E67" s="8">
        <f>COUNTIFS('Datos Preescolar'!$E:$E,E$42,'Datos Preescolar'!$H:$H,"&gt;=01/01/2025",'Datos Preescolar'!$H:$H,"&lt;=31/01/2025")</f>
        <v>3</v>
      </c>
      <c r="F67" s="36">
        <f>SUM(C67:E67)</f>
        <v>5</v>
      </c>
      <c r="H67" s="251">
        <f>A67</f>
        <v>2025</v>
      </c>
      <c r="I67" s="33" t="s">
        <v>13</v>
      </c>
      <c r="J67" s="34">
        <f>SUM(C$67:C67)</f>
        <v>1</v>
      </c>
      <c r="K67" s="34">
        <f>SUM(D$67:D67)</f>
        <v>1</v>
      </c>
      <c r="L67" s="34">
        <f>SUM(E$67:E67)</f>
        <v>3</v>
      </c>
      <c r="M67" s="36">
        <f>SUM(J67:L67)</f>
        <v>5</v>
      </c>
      <c r="O67" s="251">
        <f>A67</f>
        <v>2025</v>
      </c>
      <c r="P67" s="33" t="s">
        <v>13</v>
      </c>
      <c r="Q67" s="34">
        <f>SUM(C$43:C67)</f>
        <v>5</v>
      </c>
      <c r="R67" s="34">
        <f>SUM(D$43:D67)</f>
        <v>5</v>
      </c>
      <c r="S67" s="34">
        <f>SUM(E$43:E67)</f>
        <v>10</v>
      </c>
      <c r="T67" s="36">
        <f>SUM(Q67:S67)</f>
        <v>20</v>
      </c>
    </row>
    <row r="68" spans="1:20">
      <c r="A68" s="251"/>
      <c r="B68" s="33" t="s">
        <v>24</v>
      </c>
      <c r="C68" s="8">
        <f>COUNTIFS('Datos Preescolar'!$E:$E,C$42,'Datos Preescolar'!$H:$H,"&gt;=01/02/2025",'Datos Preescolar'!$H:$H,"&lt;=28/02/2025")</f>
        <v>0</v>
      </c>
      <c r="D68" s="8">
        <f>COUNTIFS('Datos Preescolar'!$E:$E,D$42,'Datos Preescolar'!$H:$H,"&gt;=01/02/2025",'Datos Preescolar'!$H:$H,"&lt;=28/02/2025")</f>
        <v>0</v>
      </c>
      <c r="E68" s="8">
        <f>COUNTIFS('Datos Preescolar'!$E:$E,E$42,'Datos Preescolar'!$H:$H,"&gt;=01/02/2025",'Datos Preescolar'!$H:$H,"&lt;=28/02/2025")</f>
        <v>0</v>
      </c>
      <c r="F68" s="36">
        <f t="shared" ref="F68:F78" si="15">SUM(C68:E68)</f>
        <v>0</v>
      </c>
      <c r="H68" s="251"/>
      <c r="I68" s="33" t="s">
        <v>24</v>
      </c>
      <c r="J68" s="34">
        <f>SUM(C$67:C68)</f>
        <v>1</v>
      </c>
      <c r="K68" s="34">
        <f>SUM(D$67:D68)</f>
        <v>1</v>
      </c>
      <c r="L68" s="34">
        <f>SUM(E$67:E68)</f>
        <v>3</v>
      </c>
      <c r="M68" s="36">
        <f t="shared" ref="M68:M78" si="16">SUM(J68:L68)</f>
        <v>5</v>
      </c>
      <c r="O68" s="251"/>
      <c r="P68" s="33" t="s">
        <v>24</v>
      </c>
      <c r="Q68" s="34">
        <f>SUM(C$43:C68)</f>
        <v>5</v>
      </c>
      <c r="R68" s="34">
        <f>SUM(D$43:D68)</f>
        <v>5</v>
      </c>
      <c r="S68" s="34">
        <f>SUM(E$43:E68)</f>
        <v>10</v>
      </c>
      <c r="T68" s="36">
        <f t="shared" ref="T68:T78" si="17">SUM(Q68:S68)</f>
        <v>20</v>
      </c>
    </row>
    <row r="69" spans="1:20">
      <c r="A69" s="251"/>
      <c r="B69" s="33" t="s">
        <v>34</v>
      </c>
      <c r="C69" s="8">
        <f>COUNTIFS('Datos Preescolar'!$E:$E,C$42,'Datos Preescolar'!$H:$H,"&gt;=01/03/2025",'Datos Preescolar'!$H:$H,"&lt;=31/03/2025")</f>
        <v>0</v>
      </c>
      <c r="D69" s="8">
        <f>COUNTIFS('Datos Preescolar'!$E:$E,D$42,'Datos Preescolar'!$H:$H,"&gt;=01/03/2025",'Datos Preescolar'!$H:$H,"&lt;=31/03/2025")</f>
        <v>0</v>
      </c>
      <c r="E69" s="8">
        <f>COUNTIFS('Datos Preescolar'!$E:$E,E$42,'Datos Preescolar'!$H:$H,"&gt;=01/03/2025",'Datos Preescolar'!$H:$H,"&lt;=31/03/2025")</f>
        <v>0</v>
      </c>
      <c r="F69" s="36">
        <f t="shared" si="15"/>
        <v>0</v>
      </c>
      <c r="H69" s="251"/>
      <c r="I69" s="33" t="s">
        <v>34</v>
      </c>
      <c r="J69" s="34">
        <f>SUM(C$67:C69)</f>
        <v>1</v>
      </c>
      <c r="K69" s="34">
        <f>SUM(D$67:D69)</f>
        <v>1</v>
      </c>
      <c r="L69" s="34">
        <f>SUM(E$67:E69)</f>
        <v>3</v>
      </c>
      <c r="M69" s="36">
        <f t="shared" si="16"/>
        <v>5</v>
      </c>
      <c r="O69" s="251"/>
      <c r="P69" s="33" t="s">
        <v>34</v>
      </c>
      <c r="Q69" s="34">
        <f>SUM(C$43:C69)</f>
        <v>5</v>
      </c>
      <c r="R69" s="34">
        <f>SUM(D$43:D69)</f>
        <v>5</v>
      </c>
      <c r="S69" s="34">
        <f>SUM(E$43:E69)</f>
        <v>10</v>
      </c>
      <c r="T69" s="36">
        <f t="shared" si="17"/>
        <v>20</v>
      </c>
    </row>
    <row r="70" spans="1:20">
      <c r="A70" s="251"/>
      <c r="B70" s="33" t="s">
        <v>38</v>
      </c>
      <c r="C70" s="8">
        <f>COUNTIFS('Datos Preescolar'!$E:$E,C$42,'Datos Preescolar'!$H:$H,"&gt;=01/04/2025",'Datos Preescolar'!$H:$H,"&lt;=30/04/2025")</f>
        <v>0</v>
      </c>
      <c r="D70" s="8">
        <f>COUNTIFS('Datos Preescolar'!$E:$E,D$42,'Datos Preescolar'!$H:$H,"&gt;=01/04/2025",'Datos Preescolar'!$H:$H,"&lt;=30/04/2025")</f>
        <v>1</v>
      </c>
      <c r="E70" s="8">
        <f>COUNTIFS('Datos Preescolar'!$E:$E,E$42,'Datos Preescolar'!$H:$H,"&gt;=01/04/2025",'Datos Preescolar'!$H:$H,"&lt;=30/04/2025")</f>
        <v>0</v>
      </c>
      <c r="F70" s="36">
        <f t="shared" si="15"/>
        <v>1</v>
      </c>
      <c r="H70" s="251"/>
      <c r="I70" s="33" t="s">
        <v>38</v>
      </c>
      <c r="J70" s="34">
        <f>SUM(C$67:C70)</f>
        <v>1</v>
      </c>
      <c r="K70" s="34">
        <f>SUM(D$67:D70)</f>
        <v>2</v>
      </c>
      <c r="L70" s="34">
        <f>SUM(E$67:E70)</f>
        <v>3</v>
      </c>
      <c r="M70" s="36">
        <f t="shared" si="16"/>
        <v>6</v>
      </c>
      <c r="O70" s="251"/>
      <c r="P70" s="33" t="s">
        <v>38</v>
      </c>
      <c r="Q70" s="34">
        <f>SUM(C$43:C70)</f>
        <v>5</v>
      </c>
      <c r="R70" s="34">
        <f>SUM(D$43:D70)</f>
        <v>6</v>
      </c>
      <c r="S70" s="34">
        <f>SUM(E$43:E70)</f>
        <v>10</v>
      </c>
      <c r="T70" s="36">
        <f t="shared" si="17"/>
        <v>21</v>
      </c>
    </row>
    <row r="71" spans="1:20">
      <c r="A71" s="251"/>
      <c r="B71" s="33" t="s">
        <v>47</v>
      </c>
      <c r="C71" s="8">
        <f>COUNTIFS('Datos Preescolar'!$E:$E,C$42,'Datos Preescolar'!$H:$H,"&gt;=01/05/2025",'Datos Preescolar'!$H:$H,"&lt;=31/05/2025")</f>
        <v>0</v>
      </c>
      <c r="D71" s="8">
        <f>COUNTIFS('Datos Preescolar'!$E:$E,D$42,'Datos Preescolar'!$H:$H,"&gt;=01/05/2025",'Datos Preescolar'!$H:$H,"&lt;=31/05/2025")</f>
        <v>0</v>
      </c>
      <c r="E71" s="8">
        <f>COUNTIFS('Datos Preescolar'!$E:$E,E$42,'Datos Preescolar'!$H:$H,"&gt;=01/05/2025",'Datos Preescolar'!$H:$H,"&lt;=31/05/2025")</f>
        <v>1</v>
      </c>
      <c r="F71" s="36">
        <f t="shared" si="15"/>
        <v>1</v>
      </c>
      <c r="H71" s="251"/>
      <c r="I71" s="33" t="s">
        <v>47</v>
      </c>
      <c r="J71" s="34">
        <f>SUM(C$67:C71)</f>
        <v>1</v>
      </c>
      <c r="K71" s="34">
        <f>SUM(D$67:D71)</f>
        <v>2</v>
      </c>
      <c r="L71" s="34">
        <f>SUM(E$67:E71)</f>
        <v>4</v>
      </c>
      <c r="M71" s="36">
        <f t="shared" si="16"/>
        <v>7</v>
      </c>
      <c r="O71" s="251"/>
      <c r="P71" s="33" t="s">
        <v>47</v>
      </c>
      <c r="Q71" s="34">
        <f>SUM(C$43:C71)</f>
        <v>5</v>
      </c>
      <c r="R71" s="34">
        <f>SUM(D$43:D71)</f>
        <v>6</v>
      </c>
      <c r="S71" s="34">
        <f>SUM(E$43:E71)</f>
        <v>11</v>
      </c>
      <c r="T71" s="36">
        <f t="shared" si="17"/>
        <v>22</v>
      </c>
    </row>
    <row r="72" spans="1:20">
      <c r="A72" s="251"/>
      <c r="B72" s="33" t="s">
        <v>57</v>
      </c>
      <c r="C72" s="8">
        <f>COUNTIFS('Datos Preescolar'!$E:$E,C$42,'Datos Preescolar'!$H:$H,"&gt;=01/06/2025",'Datos Preescolar'!$H:$H,"&lt;=30/06/2025")</f>
        <v>0</v>
      </c>
      <c r="D72" s="8">
        <f>COUNTIFS('Datos Preescolar'!$E:$E,D$42,'Datos Preescolar'!$H:$H,"&gt;=01/06/2025",'Datos Preescolar'!$H:$H,"&lt;=30/06/2025")</f>
        <v>0</v>
      </c>
      <c r="E72" s="8">
        <f>COUNTIFS('Datos Preescolar'!$E:$E,E$42,'Datos Preescolar'!$H:$H,"&gt;=01/06/2025",'Datos Preescolar'!$H:$H,"&lt;=30/06/2025")</f>
        <v>0</v>
      </c>
      <c r="F72" s="36">
        <f t="shared" si="15"/>
        <v>0</v>
      </c>
      <c r="H72" s="251"/>
      <c r="I72" s="33" t="s">
        <v>57</v>
      </c>
      <c r="J72" s="34">
        <f>SUM(C$67:C72)</f>
        <v>1</v>
      </c>
      <c r="K72" s="34">
        <f>SUM(D$67:D72)</f>
        <v>2</v>
      </c>
      <c r="L72" s="34">
        <f>SUM(E$67:E72)</f>
        <v>4</v>
      </c>
      <c r="M72" s="36">
        <f t="shared" si="16"/>
        <v>7</v>
      </c>
      <c r="O72" s="251"/>
      <c r="P72" s="33" t="s">
        <v>57</v>
      </c>
      <c r="Q72" s="34">
        <f>SUM(C$43:C72)</f>
        <v>5</v>
      </c>
      <c r="R72" s="34">
        <f>SUM(D$43:D72)</f>
        <v>6</v>
      </c>
      <c r="S72" s="34">
        <f>SUM(E$43:E72)</f>
        <v>11</v>
      </c>
      <c r="T72" s="36">
        <f t="shared" si="17"/>
        <v>22</v>
      </c>
    </row>
    <row r="73" spans="1:20">
      <c r="A73" s="251"/>
      <c r="B73" s="33" t="s">
        <v>62</v>
      </c>
      <c r="C73" s="8">
        <f>COUNTIFS('Datos Preescolar'!$E:$E,C$42,'Datos Preescolar'!$H:$H,"&gt;=01/07/2025",'Datos Preescolar'!$H:$H,"&lt;=31/07/2025")</f>
        <v>1</v>
      </c>
      <c r="D73" s="8">
        <f>COUNTIFS('Datos Preescolar'!$E:$E,D$42,'Datos Preescolar'!$H:$H,"&gt;=01/07/2025",'Datos Preescolar'!$H:$H,"&lt;=31/07/2025")</f>
        <v>1</v>
      </c>
      <c r="E73" s="8">
        <f>COUNTIFS('Datos Preescolar'!$E:$E,E$42,'Datos Preescolar'!$H:$H,"&gt;=01/07/2025",'Datos Preescolar'!$H:$H,"&lt;=31/07/2025")</f>
        <v>0</v>
      </c>
      <c r="F73" s="36">
        <f t="shared" si="15"/>
        <v>2</v>
      </c>
      <c r="H73" s="251"/>
      <c r="I73" s="33" t="s">
        <v>62</v>
      </c>
      <c r="J73" s="34">
        <f>SUM(C$67:C73)</f>
        <v>2</v>
      </c>
      <c r="K73" s="34">
        <f>SUM(D$67:D73)</f>
        <v>3</v>
      </c>
      <c r="L73" s="34">
        <f>SUM(E$67:E73)</f>
        <v>4</v>
      </c>
      <c r="M73" s="36">
        <f t="shared" si="16"/>
        <v>9</v>
      </c>
      <c r="O73" s="251"/>
      <c r="P73" s="33" t="s">
        <v>62</v>
      </c>
      <c r="Q73" s="34">
        <f>SUM(C$43:C73)</f>
        <v>6</v>
      </c>
      <c r="R73" s="34">
        <f>SUM(D$43:D73)</f>
        <v>7</v>
      </c>
      <c r="S73" s="34">
        <f>SUM(E$43:E73)</f>
        <v>11</v>
      </c>
      <c r="T73" s="36">
        <f t="shared" si="17"/>
        <v>24</v>
      </c>
    </row>
    <row r="74" spans="1:20">
      <c r="A74" s="251"/>
      <c r="B74" s="33" t="s">
        <v>68</v>
      </c>
      <c r="C74" s="8">
        <f>COUNTIFS('Datos Preescolar'!$E:$E,C$42,'Datos Preescolar'!$H:$H,"&gt;=01/08/2025",'Datos Preescolar'!$H:$H,"&lt;=31/08/2025")</f>
        <v>0</v>
      </c>
      <c r="D74" s="8">
        <f>COUNTIFS('Datos Preescolar'!$E:$E,D$42,'Datos Preescolar'!$H:$H,"&gt;=01/08/2025",'Datos Preescolar'!$H:$H,"&lt;=31/08/2025")</f>
        <v>0</v>
      </c>
      <c r="E74" s="8">
        <f>COUNTIFS('Datos Preescolar'!$E:$E,E$42,'Datos Preescolar'!$H:$H,"&gt;=01/08/2025",'Datos Preescolar'!$H:$H,"&lt;=31/08/2025")</f>
        <v>0</v>
      </c>
      <c r="F74" s="36">
        <f t="shared" si="15"/>
        <v>0</v>
      </c>
      <c r="H74" s="251"/>
      <c r="I74" s="33" t="s">
        <v>68</v>
      </c>
      <c r="J74" s="34">
        <f>SUM(C$67:C74)</f>
        <v>2</v>
      </c>
      <c r="K74" s="34">
        <f>SUM(D$67:D74)</f>
        <v>3</v>
      </c>
      <c r="L74" s="34">
        <f>SUM(E$67:E74)</f>
        <v>4</v>
      </c>
      <c r="M74" s="36">
        <f t="shared" si="16"/>
        <v>9</v>
      </c>
      <c r="O74" s="251"/>
      <c r="P74" s="33" t="s">
        <v>68</v>
      </c>
      <c r="Q74" s="34">
        <f>SUM(C$43:C74)</f>
        <v>6</v>
      </c>
      <c r="R74" s="34">
        <f>SUM(D$43:D74)</f>
        <v>7</v>
      </c>
      <c r="S74" s="34">
        <f>SUM(E$43:E74)</f>
        <v>11</v>
      </c>
      <c r="T74" s="36">
        <f t="shared" si="17"/>
        <v>24</v>
      </c>
    </row>
    <row r="75" spans="1:20">
      <c r="A75" s="251"/>
      <c r="B75" s="33" t="s">
        <v>77</v>
      </c>
      <c r="C75" s="8">
        <f>COUNTIFS('Datos Preescolar'!$E:$E,C$42,'Datos Preescolar'!$H:$H,"&gt;=01/09/2025",'Datos Preescolar'!$H:$H,"&lt;=30/09/2025")</f>
        <v>0</v>
      </c>
      <c r="D75" s="8">
        <f>COUNTIFS('Datos Preescolar'!$E:$E,D$42,'Datos Preescolar'!$H:$H,"&gt;=01/09/2025",'Datos Preescolar'!$H:$H,"&lt;=30/09/2025")</f>
        <v>1</v>
      </c>
      <c r="E75" s="8">
        <f>COUNTIFS('Datos Preescolar'!$E:$E,E$42,'Datos Preescolar'!$H:$H,"&gt;=01/09/2025",'Datos Preescolar'!$H:$H,"&lt;=30/09/2025")</f>
        <v>1</v>
      </c>
      <c r="F75" s="36">
        <f t="shared" si="15"/>
        <v>2</v>
      </c>
      <c r="H75" s="251"/>
      <c r="I75" s="33" t="s">
        <v>77</v>
      </c>
      <c r="J75" s="34">
        <f>SUM(C$67:C75)</f>
        <v>2</v>
      </c>
      <c r="K75" s="34">
        <f>SUM(D$67:D75)</f>
        <v>4</v>
      </c>
      <c r="L75" s="34">
        <f>SUM(E$67:E75)</f>
        <v>5</v>
      </c>
      <c r="M75" s="36">
        <f t="shared" si="16"/>
        <v>11</v>
      </c>
      <c r="O75" s="251"/>
      <c r="P75" s="33" t="s">
        <v>77</v>
      </c>
      <c r="Q75" s="34">
        <f>SUM(C$43:C75)</f>
        <v>6</v>
      </c>
      <c r="R75" s="34">
        <f>SUM(D$43:D75)</f>
        <v>8</v>
      </c>
      <c r="S75" s="34">
        <f>SUM(E$43:E75)</f>
        <v>12</v>
      </c>
      <c r="T75" s="36">
        <f t="shared" si="17"/>
        <v>26</v>
      </c>
    </row>
    <row r="76" spans="1:20">
      <c r="A76" s="251"/>
      <c r="B76" s="33" t="s">
        <v>84</v>
      </c>
      <c r="C76" s="8">
        <f>COUNTIFS('Datos Preescolar'!$E:$E,C$42,'Datos Preescolar'!$H:$H,"&gt;=01/10/2025",'Datos Preescolar'!$H:$H,"&lt;=31/10/2025")</f>
        <v>1</v>
      </c>
      <c r="D76" s="8">
        <f>COUNTIFS('Datos Preescolar'!$E:$E,D$42,'Datos Preescolar'!$H:$H,"&gt;=01/10/2025",'Datos Preescolar'!$H:$H,"&lt;=31/10/2025")</f>
        <v>1</v>
      </c>
      <c r="E76" s="8">
        <f>COUNTIFS('Datos Preescolar'!$E:$E,E$42,'Datos Preescolar'!$H:$H,"&gt;=01/10/2025",'Datos Preescolar'!$H:$H,"&lt;=31/10/2025")</f>
        <v>1</v>
      </c>
      <c r="F76" s="36">
        <f t="shared" si="15"/>
        <v>3</v>
      </c>
      <c r="H76" s="251"/>
      <c r="I76" s="33" t="s">
        <v>84</v>
      </c>
      <c r="J76" s="34">
        <f>SUM(C$67:C76)</f>
        <v>3</v>
      </c>
      <c r="K76" s="34">
        <f>SUM(D$67:D76)</f>
        <v>5</v>
      </c>
      <c r="L76" s="34">
        <f>SUM(E$67:E76)</f>
        <v>6</v>
      </c>
      <c r="M76" s="36">
        <f t="shared" si="16"/>
        <v>14</v>
      </c>
      <c r="O76" s="251"/>
      <c r="P76" s="33" t="s">
        <v>84</v>
      </c>
      <c r="Q76" s="34">
        <f>SUM(C$43:C76)</f>
        <v>7</v>
      </c>
      <c r="R76" s="34">
        <f>SUM(D$43:D76)</f>
        <v>9</v>
      </c>
      <c r="S76" s="34">
        <f>SUM(E$43:E76)</f>
        <v>13</v>
      </c>
      <c r="T76" s="36">
        <f t="shared" si="17"/>
        <v>29</v>
      </c>
    </row>
    <row r="77" spans="1:20">
      <c r="A77" s="251"/>
      <c r="B77" s="33" t="s">
        <v>87</v>
      </c>
      <c r="C77" s="8">
        <f>COUNTIFS('Datos Preescolar'!$E:$E,C$42,'Datos Preescolar'!$H:$H,"&gt;=01/11/2025",'Datos Preescolar'!$H:$H,"&lt;=30/11/2025")</f>
        <v>0</v>
      </c>
      <c r="D77" s="8">
        <f>COUNTIFS('Datos Preescolar'!$E:$E,D$42,'Datos Preescolar'!$H:$H,"&gt;=01/11/2025",'Datos Preescolar'!$H:$H,"&lt;=30/11/2025")</f>
        <v>0</v>
      </c>
      <c r="E77" s="8">
        <f>COUNTIFS('Datos Preescolar'!$E:$E,E$42,'Datos Preescolar'!$H:$H,"&gt;=01/11/2025",'Datos Preescolar'!$H:$H,"&lt;=30/11/2025")</f>
        <v>0</v>
      </c>
      <c r="F77" s="36">
        <f t="shared" si="15"/>
        <v>0</v>
      </c>
      <c r="H77" s="251"/>
      <c r="I77" s="33" t="s">
        <v>87</v>
      </c>
      <c r="J77" s="34">
        <f>SUM(C$67:C77)</f>
        <v>3</v>
      </c>
      <c r="K77" s="34">
        <f>SUM(D$67:D77)</f>
        <v>5</v>
      </c>
      <c r="L77" s="34">
        <f>SUM(E$67:E77)</f>
        <v>6</v>
      </c>
      <c r="M77" s="36">
        <f t="shared" si="16"/>
        <v>14</v>
      </c>
      <c r="O77" s="251"/>
      <c r="P77" s="33" t="s">
        <v>87</v>
      </c>
      <c r="Q77" s="34">
        <f>SUM(C$43:C77)</f>
        <v>7</v>
      </c>
      <c r="R77" s="34">
        <f>SUM(D$43:D77)</f>
        <v>9</v>
      </c>
      <c r="S77" s="34">
        <f>SUM(E$43:E77)</f>
        <v>13</v>
      </c>
      <c r="T77" s="36">
        <f t="shared" si="17"/>
        <v>29</v>
      </c>
    </row>
    <row r="78" spans="1:20">
      <c r="A78" s="251"/>
      <c r="B78" s="33" t="s">
        <v>173</v>
      </c>
      <c r="C78" s="8">
        <f>COUNTIFS('Datos Preescolar'!$E:$E,C$42,'Datos Preescolar'!$H:$H,"&gt;=01/12/2025",'Datos Preescolar'!$H:$H,"&lt;=31/12/2025")</f>
        <v>0</v>
      </c>
      <c r="D78" s="8">
        <f>COUNTIFS('Datos Preescolar'!$E:$E,D$42,'Datos Preescolar'!$H:$H,"&gt;=01/12/2025",'Datos Preescolar'!$H:$H,"&lt;=31/12/2025")</f>
        <v>0</v>
      </c>
      <c r="E78" s="8">
        <f>COUNTIFS('Datos Preescolar'!$E:$E,E$42,'Datos Preescolar'!$H:$H,"&gt;=01/12/2025",'Datos Preescolar'!$H:$H,"&lt;=31/12/2025")</f>
        <v>0</v>
      </c>
      <c r="F78" s="36">
        <f t="shared" si="15"/>
        <v>0</v>
      </c>
      <c r="H78" s="251"/>
      <c r="I78" s="33" t="s">
        <v>173</v>
      </c>
      <c r="J78" s="34">
        <f>SUM(C$67:C78)</f>
        <v>3</v>
      </c>
      <c r="K78" s="34">
        <f>SUM(D$67:D78)</f>
        <v>5</v>
      </c>
      <c r="L78" s="34">
        <f>SUM(E$67:E78)</f>
        <v>6</v>
      </c>
      <c r="M78" s="36">
        <f t="shared" si="16"/>
        <v>14</v>
      </c>
      <c r="O78" s="251"/>
      <c r="P78" s="33" t="s">
        <v>173</v>
      </c>
      <c r="Q78" s="34">
        <f>SUM(C$43:C78)</f>
        <v>7</v>
      </c>
      <c r="R78" s="34">
        <f>SUM(D$43:D78)</f>
        <v>9</v>
      </c>
      <c r="S78" s="34">
        <f>SUM(E$43:E78)</f>
        <v>13</v>
      </c>
      <c r="T78" s="36">
        <f t="shared" si="17"/>
        <v>29</v>
      </c>
    </row>
    <row r="81" spans="1:20">
      <c r="B81" s="250" t="s">
        <v>1426</v>
      </c>
      <c r="C81" s="250"/>
      <c r="D81" s="250"/>
      <c r="E81" s="250"/>
      <c r="F81" s="250"/>
      <c r="I81" s="250" t="s">
        <v>1427</v>
      </c>
      <c r="J81" s="250"/>
      <c r="K81" s="250"/>
      <c r="L81" s="250"/>
      <c r="M81" s="250"/>
      <c r="P81" s="250" t="s">
        <v>1428</v>
      </c>
      <c r="Q81" s="250"/>
      <c r="R81" s="250"/>
      <c r="S81" s="250"/>
      <c r="T81" s="250"/>
    </row>
    <row r="82" spans="1:20">
      <c r="B82" s="32" t="s">
        <v>1421</v>
      </c>
      <c r="C82" s="32" t="s">
        <v>18</v>
      </c>
      <c r="D82" s="32" t="s">
        <v>32</v>
      </c>
      <c r="E82" s="32" t="s">
        <v>15</v>
      </c>
      <c r="F82" s="32" t="s">
        <v>1422</v>
      </c>
      <c r="I82" s="32" t="s">
        <v>1421</v>
      </c>
      <c r="J82" s="32" t="s">
        <v>18</v>
      </c>
      <c r="K82" s="32" t="s">
        <v>32</v>
      </c>
      <c r="L82" s="32" t="s">
        <v>15</v>
      </c>
      <c r="M82" s="32" t="s">
        <v>1422</v>
      </c>
      <c r="P82" s="32" t="s">
        <v>1421</v>
      </c>
      <c r="Q82" s="32" t="s">
        <v>18</v>
      </c>
      <c r="R82" s="32" t="s">
        <v>32</v>
      </c>
      <c r="S82" s="32" t="s">
        <v>15</v>
      </c>
      <c r="T82" s="32" t="s">
        <v>1422</v>
      </c>
    </row>
    <row r="83" spans="1:20">
      <c r="A83" s="251">
        <f>A3</f>
        <v>2023</v>
      </c>
      <c r="B83" s="33" t="s">
        <v>13</v>
      </c>
      <c r="C83" s="34">
        <f>COUNTIFS('Datos Preescolar'!$E:$E,C$82,'Datos Preescolar'!$I:$I,"&gt;=01/01/2023",'Datos Preescolar'!$I:$I,"&lt;=31/01/2023")</f>
        <v>0</v>
      </c>
      <c r="D83" s="34">
        <f>COUNTIFS('Datos Preescolar'!$E:$E,D$82,'Datos Preescolar'!$I:$I,"&gt;=01/01/2023",'Datos Preescolar'!$I:$I,"&lt;=31/01/2023")</f>
        <v>0</v>
      </c>
      <c r="E83" s="34">
        <f>COUNTIFS('Datos Preescolar'!$E:$E,E$82,'Datos Preescolar'!$I:$I,"&gt;=01/01/2023",'Datos Preescolar'!$I:$I,"&lt;=31/01/2023")</f>
        <v>0</v>
      </c>
      <c r="F83" s="36">
        <f>SUM(C83:E83)</f>
        <v>0</v>
      </c>
      <c r="H83" s="251">
        <f>A83</f>
        <v>2023</v>
      </c>
      <c r="I83" s="33" t="s">
        <v>13</v>
      </c>
      <c r="J83" s="34">
        <f>SUM(C$83:C83)</f>
        <v>0</v>
      </c>
      <c r="K83" s="34">
        <f>SUM(D$83:D83)</f>
        <v>0</v>
      </c>
      <c r="L83" s="34">
        <f>SUM(E$83:E83)</f>
        <v>0</v>
      </c>
      <c r="M83" s="36">
        <f>SUM(J83:L83)</f>
        <v>0</v>
      </c>
      <c r="O83" s="251">
        <f>A83</f>
        <v>2023</v>
      </c>
      <c r="P83" s="33" t="s">
        <v>13</v>
      </c>
      <c r="Q83" s="34">
        <f>SUM(C$83:C83)</f>
        <v>0</v>
      </c>
      <c r="R83" s="34">
        <f>SUM(D$83:D83)</f>
        <v>0</v>
      </c>
      <c r="S83" s="34">
        <f>SUM(E$83:E83)</f>
        <v>0</v>
      </c>
      <c r="T83" s="36">
        <f>SUM(Q83:S83)</f>
        <v>0</v>
      </c>
    </row>
    <row r="84" spans="1:20">
      <c r="A84" s="251"/>
      <c r="B84" s="33" t="s">
        <v>24</v>
      </c>
      <c r="C84" s="34">
        <f>COUNTIFS('Datos Preescolar'!$E:$E,C$82,'Datos Preescolar'!$I:$I,"&gt;=01/02/2023",'Datos Preescolar'!$I:$I,"&lt;=28/02/2023")</f>
        <v>0</v>
      </c>
      <c r="D84" s="34">
        <f>COUNTIFS('Datos Preescolar'!$E:$E,D$82,'Datos Preescolar'!$I:$I,"&gt;=01/02/2023",'Datos Preescolar'!$I:$I,"&lt;=28/02/2023")</f>
        <v>0</v>
      </c>
      <c r="E84" s="34">
        <f>COUNTIFS('Datos Preescolar'!$E:$E,E$82,'Datos Preescolar'!$I:$I,"&gt;=01/02/2023",'Datos Preescolar'!$I:$I,"&lt;=28/02/2023")</f>
        <v>1</v>
      </c>
      <c r="F84" s="36">
        <f t="shared" ref="F84:F94" si="18">SUM(C84:E84)</f>
        <v>1</v>
      </c>
      <c r="H84" s="251"/>
      <c r="I84" s="33" t="s">
        <v>24</v>
      </c>
      <c r="J84" s="34">
        <f>SUM(C$83:C84)</f>
        <v>0</v>
      </c>
      <c r="K84" s="34">
        <f>SUM(D$83:D84)</f>
        <v>0</v>
      </c>
      <c r="L84" s="34">
        <f>SUM(E$83:E84)</f>
        <v>1</v>
      </c>
      <c r="M84" s="36">
        <f t="shared" ref="M84:M94" si="19">SUM(J84:L84)</f>
        <v>1</v>
      </c>
      <c r="O84" s="251"/>
      <c r="P84" s="33" t="s">
        <v>24</v>
      </c>
      <c r="Q84" s="34">
        <f>SUM(C$83:C84)</f>
        <v>0</v>
      </c>
      <c r="R84" s="34">
        <f>SUM(D$83:D84)</f>
        <v>0</v>
      </c>
      <c r="S84" s="34">
        <f>SUM(E$83:E84)</f>
        <v>1</v>
      </c>
      <c r="T84" s="36">
        <f t="shared" ref="T84:T94" si="20">SUM(Q84:S84)</f>
        <v>1</v>
      </c>
    </row>
    <row r="85" spans="1:20">
      <c r="A85" s="251"/>
      <c r="B85" s="33" t="s">
        <v>34</v>
      </c>
      <c r="C85" s="34">
        <f>COUNTIFS('Datos Preescolar'!$E:$E,C$82,'Datos Preescolar'!$I:$I,"&gt;=01/03/2023",'Datos Preescolar'!$I:$I,"&lt;=31/03/2023")</f>
        <v>0</v>
      </c>
      <c r="D85" s="34">
        <f>COUNTIFS('Datos Preescolar'!$E:$E,D$82,'Datos Preescolar'!$I:$I,"&gt;=01/03/2023",'Datos Preescolar'!$I:$I,"&lt;=31/03/2023")</f>
        <v>0</v>
      </c>
      <c r="E85" s="34">
        <f>COUNTIFS('Datos Preescolar'!$E:$E,E$82,'Datos Preescolar'!$I:$I,"&gt;=01/03/2023",'Datos Preescolar'!$I:$I,"&lt;=31/03/2023")</f>
        <v>0</v>
      </c>
      <c r="F85" s="36">
        <f t="shared" si="18"/>
        <v>0</v>
      </c>
      <c r="H85" s="251"/>
      <c r="I85" s="33" t="s">
        <v>34</v>
      </c>
      <c r="J85" s="34">
        <f>SUM(C$83:C85)</f>
        <v>0</v>
      </c>
      <c r="K85" s="34">
        <f>SUM(D$83:D85)</f>
        <v>0</v>
      </c>
      <c r="L85" s="34">
        <f>SUM(E$83:E85)</f>
        <v>1</v>
      </c>
      <c r="M85" s="36">
        <f t="shared" si="19"/>
        <v>1</v>
      </c>
      <c r="O85" s="251"/>
      <c r="P85" s="33" t="s">
        <v>34</v>
      </c>
      <c r="Q85" s="34">
        <f>SUM(C$83:C85)</f>
        <v>0</v>
      </c>
      <c r="R85" s="34">
        <f>SUM(D$83:D85)</f>
        <v>0</v>
      </c>
      <c r="S85" s="34">
        <f>SUM(E$83:E85)</f>
        <v>1</v>
      </c>
      <c r="T85" s="36">
        <f t="shared" si="20"/>
        <v>1</v>
      </c>
    </row>
    <row r="86" spans="1:20">
      <c r="A86" s="251"/>
      <c r="B86" s="33" t="s">
        <v>38</v>
      </c>
      <c r="C86" s="34">
        <f>COUNTIFS('Datos Preescolar'!$E:$E,C$82,'Datos Preescolar'!$I:$I,"&gt;=01/04/2023",'Datos Preescolar'!$I:$I,"&lt;=30/04/2023")</f>
        <v>0</v>
      </c>
      <c r="D86" s="34">
        <f>COUNTIFS('Datos Preescolar'!$E:$E,D$82,'Datos Preescolar'!$I:$I,"&gt;=01/04/2023",'Datos Preescolar'!$I:$I,"&lt;=30/04/2023")</f>
        <v>0</v>
      </c>
      <c r="E86" s="34">
        <f>COUNTIFS('Datos Preescolar'!$E:$E,E$82,'Datos Preescolar'!$I:$I,"&gt;=01/04/2023",'Datos Preescolar'!$I:$I,"&lt;=30/04/2023")</f>
        <v>0</v>
      </c>
      <c r="F86" s="36">
        <f t="shared" si="18"/>
        <v>0</v>
      </c>
      <c r="H86" s="251"/>
      <c r="I86" s="33" t="s">
        <v>38</v>
      </c>
      <c r="J86" s="34">
        <f>SUM(C$83:C86)</f>
        <v>0</v>
      </c>
      <c r="K86" s="34">
        <f>SUM(D$83:D86)</f>
        <v>0</v>
      </c>
      <c r="L86" s="34">
        <f>SUM(E$83:E86)</f>
        <v>1</v>
      </c>
      <c r="M86" s="36">
        <f t="shared" si="19"/>
        <v>1</v>
      </c>
      <c r="O86" s="251"/>
      <c r="P86" s="33" t="s">
        <v>38</v>
      </c>
      <c r="Q86" s="34">
        <f>SUM(C$83:C86)</f>
        <v>0</v>
      </c>
      <c r="R86" s="34">
        <f>SUM(D$83:D86)</f>
        <v>0</v>
      </c>
      <c r="S86" s="34">
        <f>SUM(E$83:E86)</f>
        <v>1</v>
      </c>
      <c r="T86" s="36">
        <f t="shared" si="20"/>
        <v>1</v>
      </c>
    </row>
    <row r="87" spans="1:20">
      <c r="A87" s="251"/>
      <c r="B87" s="33" t="s">
        <v>47</v>
      </c>
      <c r="C87" s="34">
        <f>COUNTIFS('Datos Preescolar'!$E:$E,C$82,'Datos Preescolar'!$I:$I,"&gt;=01/05/2023",'Datos Preescolar'!$I:$I,"&lt;=31/05/2023")</f>
        <v>0</v>
      </c>
      <c r="D87" s="34">
        <f>COUNTIFS('Datos Preescolar'!$E:$E,D$82,'Datos Preescolar'!$I:$I,"&gt;=01/05/2023",'Datos Preescolar'!$I:$I,"&lt;=31/05/2023")</f>
        <v>0</v>
      </c>
      <c r="E87" s="34">
        <f>COUNTIFS('Datos Preescolar'!$E:$E,E$82,'Datos Preescolar'!$I:$I,"&gt;=01/05/2023",'Datos Preescolar'!$I:$I,"&lt;=31/05/2023")</f>
        <v>0</v>
      </c>
      <c r="F87" s="36">
        <f t="shared" si="18"/>
        <v>0</v>
      </c>
      <c r="H87" s="251"/>
      <c r="I87" s="33" t="s">
        <v>47</v>
      </c>
      <c r="J87" s="34">
        <f>SUM(C$83:C87)</f>
        <v>0</v>
      </c>
      <c r="K87" s="34">
        <f>SUM(D$83:D87)</f>
        <v>0</v>
      </c>
      <c r="L87" s="34">
        <f>SUM(E$83:E87)</f>
        <v>1</v>
      </c>
      <c r="M87" s="36">
        <f t="shared" si="19"/>
        <v>1</v>
      </c>
      <c r="O87" s="251"/>
      <c r="P87" s="33" t="s">
        <v>47</v>
      </c>
      <c r="Q87" s="34">
        <f>SUM(C$83:C87)</f>
        <v>0</v>
      </c>
      <c r="R87" s="34">
        <f>SUM(D$83:D87)</f>
        <v>0</v>
      </c>
      <c r="S87" s="34">
        <f>SUM(E$83:E87)</f>
        <v>1</v>
      </c>
      <c r="T87" s="36">
        <f t="shared" si="20"/>
        <v>1</v>
      </c>
    </row>
    <row r="88" spans="1:20">
      <c r="A88" s="251"/>
      <c r="B88" s="33" t="s">
        <v>57</v>
      </c>
      <c r="C88" s="34">
        <f>COUNTIFS('Datos Preescolar'!$E:$E,C$82,'Datos Preescolar'!$I:$I,"&gt;=01/06/2023",'Datos Preescolar'!$I:$I,"&lt;=30/06/2023")</f>
        <v>0</v>
      </c>
      <c r="D88" s="34">
        <f>COUNTIFS('Datos Preescolar'!$E:$E,D$82,'Datos Preescolar'!$I:$I,"&gt;=01/06/2023",'Datos Preescolar'!$I:$I,"&lt;=30/06/2023")</f>
        <v>0</v>
      </c>
      <c r="E88" s="34">
        <f>COUNTIFS('Datos Preescolar'!$E:$E,E$82,'Datos Preescolar'!$I:$I,"&gt;=01/06/2023",'Datos Preescolar'!$I:$I,"&lt;=30/06/2023")</f>
        <v>0</v>
      </c>
      <c r="F88" s="36">
        <f t="shared" si="18"/>
        <v>0</v>
      </c>
      <c r="H88" s="251"/>
      <c r="I88" s="33" t="s">
        <v>57</v>
      </c>
      <c r="J88" s="34">
        <f>SUM(C$83:C88)</f>
        <v>0</v>
      </c>
      <c r="K88" s="34">
        <f>SUM(D$83:D88)</f>
        <v>0</v>
      </c>
      <c r="L88" s="34">
        <f>SUM(E$83:E88)</f>
        <v>1</v>
      </c>
      <c r="M88" s="36">
        <f t="shared" si="19"/>
        <v>1</v>
      </c>
      <c r="O88" s="251"/>
      <c r="P88" s="33" t="s">
        <v>57</v>
      </c>
      <c r="Q88" s="34">
        <f>SUM(C$83:C88)</f>
        <v>0</v>
      </c>
      <c r="R88" s="34">
        <f>SUM(D$83:D88)</f>
        <v>0</v>
      </c>
      <c r="S88" s="34">
        <f>SUM(E$83:E88)</f>
        <v>1</v>
      </c>
      <c r="T88" s="36">
        <f t="shared" si="20"/>
        <v>1</v>
      </c>
    </row>
    <row r="89" spans="1:20">
      <c r="A89" s="251"/>
      <c r="B89" s="33" t="s">
        <v>62</v>
      </c>
      <c r="C89" s="34">
        <f>COUNTIFS('Datos Preescolar'!$E:$E,C$82,'Datos Preescolar'!$I:$I,"&gt;=01/07/2023",'Datos Preescolar'!$I:$I,"&lt;=31/07/2023")</f>
        <v>1</v>
      </c>
      <c r="D89" s="34">
        <f>COUNTIFS('Datos Preescolar'!$E:$E,D$82,'Datos Preescolar'!$I:$I,"&gt;=01/07/2023",'Datos Preescolar'!$I:$I,"&lt;=31/07/2023")</f>
        <v>0</v>
      </c>
      <c r="E89" s="34">
        <f>COUNTIFS('Datos Preescolar'!$E:$E,E$82,'Datos Preescolar'!$I:$I,"&gt;=01/07/2023",'Datos Preescolar'!$I:$I,"&lt;=31/07/2023")</f>
        <v>1</v>
      </c>
      <c r="F89" s="36">
        <f t="shared" si="18"/>
        <v>2</v>
      </c>
      <c r="H89" s="251"/>
      <c r="I89" s="33" t="s">
        <v>62</v>
      </c>
      <c r="J89" s="34">
        <f>SUM(C$83:C89)</f>
        <v>1</v>
      </c>
      <c r="K89" s="34">
        <f>SUM(D$83:D89)</f>
        <v>0</v>
      </c>
      <c r="L89" s="34">
        <f>SUM(E$83:E89)</f>
        <v>2</v>
      </c>
      <c r="M89" s="36">
        <f t="shared" si="19"/>
        <v>3</v>
      </c>
      <c r="O89" s="251"/>
      <c r="P89" s="33" t="s">
        <v>62</v>
      </c>
      <c r="Q89" s="34">
        <f>SUM(C$83:C89)</f>
        <v>1</v>
      </c>
      <c r="R89" s="34">
        <f>SUM(D$83:D89)</f>
        <v>0</v>
      </c>
      <c r="S89" s="34">
        <f>SUM(E$83:E89)</f>
        <v>2</v>
      </c>
      <c r="T89" s="36">
        <f t="shared" si="20"/>
        <v>3</v>
      </c>
    </row>
    <row r="90" spans="1:20">
      <c r="A90" s="251"/>
      <c r="B90" s="33" t="s">
        <v>68</v>
      </c>
      <c r="C90" s="34">
        <f>COUNTIFS('Datos Preescolar'!$E:$E,C$82,'Datos Preescolar'!$I:$I,"&gt;=01/08/2023",'Datos Preescolar'!$I:$I,"&lt;=31/08/2023")</f>
        <v>0</v>
      </c>
      <c r="D90" s="34">
        <f>COUNTIFS('Datos Preescolar'!$E:$E,D$82,'Datos Preescolar'!$I:$I,"&gt;=01/08/2023",'Datos Preescolar'!$I:$I,"&lt;=31/08/2023")</f>
        <v>1</v>
      </c>
      <c r="E90" s="34">
        <f>COUNTIFS('Datos Preescolar'!$E:$E,E$82,'Datos Preescolar'!$I:$I,"&gt;=01/08/2023",'Datos Preescolar'!$I:$I,"&lt;=31/08/2023")</f>
        <v>0</v>
      </c>
      <c r="F90" s="36">
        <f t="shared" si="18"/>
        <v>1</v>
      </c>
      <c r="H90" s="251"/>
      <c r="I90" s="33" t="s">
        <v>68</v>
      </c>
      <c r="J90" s="34">
        <f>SUM(C$83:C90)</f>
        <v>1</v>
      </c>
      <c r="K90" s="34">
        <f>SUM(D$83:D90)</f>
        <v>1</v>
      </c>
      <c r="L90" s="34">
        <f>SUM(E$83:E90)</f>
        <v>2</v>
      </c>
      <c r="M90" s="36">
        <f t="shared" si="19"/>
        <v>4</v>
      </c>
      <c r="O90" s="251"/>
      <c r="P90" s="33" t="s">
        <v>68</v>
      </c>
      <c r="Q90" s="34">
        <f>SUM(C$83:C90)</f>
        <v>1</v>
      </c>
      <c r="R90" s="34">
        <f>SUM(D$83:D90)</f>
        <v>1</v>
      </c>
      <c r="S90" s="34">
        <f>SUM(E$83:E90)</f>
        <v>2</v>
      </c>
      <c r="T90" s="36">
        <f t="shared" si="20"/>
        <v>4</v>
      </c>
    </row>
    <row r="91" spans="1:20">
      <c r="A91" s="251"/>
      <c r="B91" s="33" t="s">
        <v>77</v>
      </c>
      <c r="C91" s="34">
        <f>COUNTIFS('Datos Preescolar'!$E:$E,C$82,'Datos Preescolar'!$I:$I,"&gt;=01/09/2023",'Datos Preescolar'!$I:$I,"&lt;=30/09/2023")</f>
        <v>0</v>
      </c>
      <c r="D91" s="34">
        <f>COUNTIFS('Datos Preescolar'!$E:$E,D$82,'Datos Preescolar'!$I:$I,"&gt;=01/09/2023",'Datos Preescolar'!$I:$I,"&lt;=30/09/2023")</f>
        <v>0</v>
      </c>
      <c r="E91" s="34">
        <f>COUNTIFS('Datos Preescolar'!$E:$E,E$82,'Datos Preescolar'!$I:$I,"&gt;=01/09/2023",'Datos Preescolar'!$I:$I,"&lt;=30/09/2023")</f>
        <v>0</v>
      </c>
      <c r="F91" s="36">
        <f t="shared" si="18"/>
        <v>0</v>
      </c>
      <c r="H91" s="251"/>
      <c r="I91" s="33" t="s">
        <v>77</v>
      </c>
      <c r="J91" s="34">
        <f>SUM(C$83:C91)</f>
        <v>1</v>
      </c>
      <c r="K91" s="34">
        <f>SUM(D$83:D91)</f>
        <v>1</v>
      </c>
      <c r="L91" s="34">
        <f>SUM(E$83:E91)</f>
        <v>2</v>
      </c>
      <c r="M91" s="36">
        <f t="shared" si="19"/>
        <v>4</v>
      </c>
      <c r="O91" s="251"/>
      <c r="P91" s="33" t="s">
        <v>77</v>
      </c>
      <c r="Q91" s="34">
        <f>SUM(C$83:C91)</f>
        <v>1</v>
      </c>
      <c r="R91" s="34">
        <f>SUM(D$83:D91)</f>
        <v>1</v>
      </c>
      <c r="S91" s="34">
        <f>SUM(E$83:E91)</f>
        <v>2</v>
      </c>
      <c r="T91" s="36">
        <f t="shared" si="20"/>
        <v>4</v>
      </c>
    </row>
    <row r="92" spans="1:20">
      <c r="A92" s="251"/>
      <c r="B92" s="33" t="s">
        <v>84</v>
      </c>
      <c r="C92" s="34">
        <f>COUNTIFS('Datos Preescolar'!$E:$E,C$82,'Datos Preescolar'!$I:$I,"&gt;=01/10/2023",'Datos Preescolar'!$I:$I,"&lt;=31/10/2023")</f>
        <v>0</v>
      </c>
      <c r="D92" s="34">
        <f>COUNTIFS('Datos Preescolar'!$E:$E,D$82,'Datos Preescolar'!$I:$I,"&gt;=01/10/2023",'Datos Preescolar'!$I:$I,"&lt;=31/10/2023")</f>
        <v>0</v>
      </c>
      <c r="E92" s="34">
        <f>COUNTIFS('Datos Preescolar'!$E:$E,E$82,'Datos Preescolar'!$I:$I,"&gt;=01/10/2023",'Datos Preescolar'!$I:$I,"&lt;=31/10/2023")</f>
        <v>0</v>
      </c>
      <c r="F92" s="36">
        <f t="shared" si="18"/>
        <v>0</v>
      </c>
      <c r="H92" s="251"/>
      <c r="I92" s="33" t="s">
        <v>84</v>
      </c>
      <c r="J92" s="34">
        <f>SUM(C$83:C92)</f>
        <v>1</v>
      </c>
      <c r="K92" s="34">
        <f>SUM(D$83:D92)</f>
        <v>1</v>
      </c>
      <c r="L92" s="34">
        <f>SUM(E$83:E92)</f>
        <v>2</v>
      </c>
      <c r="M92" s="36">
        <f t="shared" si="19"/>
        <v>4</v>
      </c>
      <c r="O92" s="251"/>
      <c r="P92" s="33" t="s">
        <v>84</v>
      </c>
      <c r="Q92" s="34">
        <f>SUM(C$83:C92)</f>
        <v>1</v>
      </c>
      <c r="R92" s="34">
        <f>SUM(D$83:D92)</f>
        <v>1</v>
      </c>
      <c r="S92" s="34">
        <f>SUM(E$83:E92)</f>
        <v>2</v>
      </c>
      <c r="T92" s="36">
        <f t="shared" si="20"/>
        <v>4</v>
      </c>
    </row>
    <row r="93" spans="1:20">
      <c r="A93" s="251"/>
      <c r="B93" s="33" t="s">
        <v>87</v>
      </c>
      <c r="C93" s="34">
        <f>COUNTIFS('Datos Preescolar'!$E:$E,C$82,'Datos Preescolar'!$I:$I,"&gt;=01/11/2023",'Datos Preescolar'!$I:$I,"&lt;=30/11/2023")</f>
        <v>0</v>
      </c>
      <c r="D93" s="34">
        <f>COUNTIFS('Datos Preescolar'!$E:$E,D$82,'Datos Preescolar'!$I:$I,"&gt;=01/11/2023",'Datos Preescolar'!$I:$I,"&lt;=30/11/2023")</f>
        <v>0</v>
      </c>
      <c r="E93" s="34">
        <f>COUNTIFS('Datos Preescolar'!$E:$E,E$82,'Datos Preescolar'!$I:$I,"&gt;=01/11/2023",'Datos Preescolar'!$I:$I,"&lt;=30/11/2023")</f>
        <v>0</v>
      </c>
      <c r="F93" s="36">
        <f t="shared" si="18"/>
        <v>0</v>
      </c>
      <c r="H93" s="251"/>
      <c r="I93" s="33" t="s">
        <v>87</v>
      </c>
      <c r="J93" s="34">
        <f>SUM(C$83:C93)</f>
        <v>1</v>
      </c>
      <c r="K93" s="34">
        <f>SUM(D$83:D93)</f>
        <v>1</v>
      </c>
      <c r="L93" s="34">
        <f>SUM(E$83:E93)</f>
        <v>2</v>
      </c>
      <c r="M93" s="36">
        <f t="shared" si="19"/>
        <v>4</v>
      </c>
      <c r="O93" s="251"/>
      <c r="P93" s="33" t="s">
        <v>87</v>
      </c>
      <c r="Q93" s="34">
        <f>SUM(C$83:C93)</f>
        <v>1</v>
      </c>
      <c r="R93" s="34">
        <f>SUM(D$83:D93)</f>
        <v>1</v>
      </c>
      <c r="S93" s="34">
        <f>SUM(E$83:E93)</f>
        <v>2</v>
      </c>
      <c r="T93" s="36">
        <f t="shared" si="20"/>
        <v>4</v>
      </c>
    </row>
    <row r="94" spans="1:20">
      <c r="A94" s="251"/>
      <c r="B94" s="33" t="s">
        <v>173</v>
      </c>
      <c r="C94" s="34">
        <f>COUNTIFS('Datos Preescolar'!$E:$E,C$82,'Datos Preescolar'!$I:$I,"&gt;=01/12/2023",'Datos Preescolar'!$I:$I,"&lt;=31/12/2023")</f>
        <v>0</v>
      </c>
      <c r="D94" s="34">
        <f>COUNTIFS('Datos Preescolar'!$E:$E,D$82,'Datos Preescolar'!$I:$I,"&gt;=01/12/2023",'Datos Preescolar'!$I:$I,"&lt;=31/12/2023")</f>
        <v>0</v>
      </c>
      <c r="E94" s="34">
        <f>COUNTIFS('Datos Preescolar'!$E:$E,E$82,'Datos Preescolar'!$I:$I,"&gt;=01/12/2023",'Datos Preescolar'!$I:$I,"&lt;=31/12/2023")</f>
        <v>0</v>
      </c>
      <c r="F94" s="36">
        <f t="shared" si="18"/>
        <v>0</v>
      </c>
      <c r="H94" s="251"/>
      <c r="I94" s="33" t="s">
        <v>173</v>
      </c>
      <c r="J94" s="34">
        <f>SUM(C$83:C94)</f>
        <v>1</v>
      </c>
      <c r="K94" s="34">
        <f>SUM(D$83:D94)</f>
        <v>1</v>
      </c>
      <c r="L94" s="34">
        <f>SUM(E$83:E94)</f>
        <v>2</v>
      </c>
      <c r="M94" s="36">
        <f t="shared" si="19"/>
        <v>4</v>
      </c>
      <c r="O94" s="251"/>
      <c r="P94" s="33" t="s">
        <v>173</v>
      </c>
      <c r="Q94" s="34">
        <f>SUM(C$83:C94)</f>
        <v>1</v>
      </c>
      <c r="R94" s="34">
        <f>SUM(D$83:D94)</f>
        <v>1</v>
      </c>
      <c r="S94" s="34">
        <f>SUM(E$83:E94)</f>
        <v>2</v>
      </c>
      <c r="T94" s="36">
        <f t="shared" si="20"/>
        <v>4</v>
      </c>
    </row>
    <row r="95" spans="1:20">
      <c r="A95" s="251">
        <f>A15</f>
        <v>2024</v>
      </c>
      <c r="B95" s="33" t="s">
        <v>13</v>
      </c>
      <c r="C95" s="8">
        <f>COUNTIFS('Datos Preescolar'!$E:$E,C$82,'Datos Preescolar'!$I:$I,"&gt;=01/01/2024",'Datos Preescolar'!$I:$I,"&lt;=31/01/2024")</f>
        <v>1</v>
      </c>
      <c r="D95" s="8">
        <f>COUNTIFS('Datos Preescolar'!$E:$E,D$82,'Datos Preescolar'!$I:$I,"&gt;=01/01/2024",'Datos Preescolar'!$I:$I,"&lt;=31/01/2024")</f>
        <v>0</v>
      </c>
      <c r="E95" s="8">
        <f>COUNTIFS('Datos Preescolar'!$E:$E,E$82,'Datos Preescolar'!$I:$I,"&gt;=01/01/2024",'Datos Preescolar'!$I:$I,"&lt;=31/01/2024")</f>
        <v>2</v>
      </c>
      <c r="F95" s="36">
        <f>SUM(C95:E95)</f>
        <v>3</v>
      </c>
      <c r="H95" s="251">
        <f>A95</f>
        <v>2024</v>
      </c>
      <c r="I95" s="33" t="s">
        <v>13</v>
      </c>
      <c r="J95" s="34">
        <f>SUM(C$95:C95)</f>
        <v>1</v>
      </c>
      <c r="K95" s="34">
        <f>SUM(D$95:D95)</f>
        <v>0</v>
      </c>
      <c r="L95" s="34">
        <f>SUM(E$95:E95)</f>
        <v>2</v>
      </c>
      <c r="M95" s="36">
        <f>SUM(J95:L95)</f>
        <v>3</v>
      </c>
      <c r="O95" s="251">
        <f>A95</f>
        <v>2024</v>
      </c>
      <c r="P95" s="33" t="s">
        <v>13</v>
      </c>
      <c r="Q95" s="34">
        <f>SUM(C$83:C95)</f>
        <v>2</v>
      </c>
      <c r="R95" s="34">
        <f>SUM(D$83:D95)</f>
        <v>1</v>
      </c>
      <c r="S95" s="34">
        <f>SUM(E$83:E95)</f>
        <v>4</v>
      </c>
      <c r="T95" s="36">
        <f>SUM(Q95:S95)</f>
        <v>7</v>
      </c>
    </row>
    <row r="96" spans="1:20">
      <c r="A96" s="251"/>
      <c r="B96" s="33" t="s">
        <v>24</v>
      </c>
      <c r="C96" s="8">
        <f>COUNTIFS('Datos Preescolar'!$E:$E,C$82,'Datos Preescolar'!$I:$I,"&gt;=01/02/2024",'Datos Preescolar'!$I:$I,"&lt;=29/02/2024")</f>
        <v>0</v>
      </c>
      <c r="D96" s="8">
        <f>COUNTIFS('Datos Preescolar'!$E:$E,D$82,'Datos Preescolar'!$I:$I,"&gt;=01/02/2024",'Datos Preescolar'!$I:$I,"&lt;=29/02/2024")</f>
        <v>0</v>
      </c>
      <c r="E96" s="8">
        <f>COUNTIFS('Datos Preescolar'!$E:$E,E$82,'Datos Preescolar'!$I:$I,"&gt;=01/02/2024",'Datos Preescolar'!$I:$I,"&lt;=29/02/2024")</f>
        <v>1</v>
      </c>
      <c r="F96" s="36">
        <f t="shared" ref="F96:F106" si="21">SUM(C96:E96)</f>
        <v>1</v>
      </c>
      <c r="H96" s="251"/>
      <c r="I96" s="33" t="s">
        <v>24</v>
      </c>
      <c r="J96" s="34">
        <f>SUM(C$95:C96)</f>
        <v>1</v>
      </c>
      <c r="K96" s="34">
        <f>SUM(D$95:D96)</f>
        <v>0</v>
      </c>
      <c r="L96" s="34">
        <f>SUM(E$95:E96)</f>
        <v>3</v>
      </c>
      <c r="M96" s="36">
        <f t="shared" ref="M96:M106" si="22">SUM(J96:L96)</f>
        <v>4</v>
      </c>
      <c r="O96" s="251"/>
      <c r="P96" s="33" t="s">
        <v>24</v>
      </c>
      <c r="Q96" s="34">
        <f>SUM(C$83:C96)</f>
        <v>2</v>
      </c>
      <c r="R96" s="34">
        <f>SUM(D$83:D96)</f>
        <v>1</v>
      </c>
      <c r="S96" s="34">
        <f>SUM(E$83:E96)</f>
        <v>5</v>
      </c>
      <c r="T96" s="36">
        <f t="shared" ref="T96:T106" si="23">SUM(Q96:S96)</f>
        <v>8</v>
      </c>
    </row>
    <row r="97" spans="1:20">
      <c r="A97" s="251"/>
      <c r="B97" s="33" t="s">
        <v>34</v>
      </c>
      <c r="C97" s="8">
        <f>COUNTIFS('Datos Preescolar'!$E:$E,C$82,'Datos Preescolar'!$I:$I,"&gt;=01/03/2024",'Datos Preescolar'!$I:$I,"&lt;=31/03/2024")</f>
        <v>0</v>
      </c>
      <c r="D97" s="8">
        <f>COUNTIFS('Datos Preescolar'!$E:$E,D$82,'Datos Preescolar'!$I:$I,"&gt;=01/03/2024",'Datos Preescolar'!$I:$I,"&lt;=31/03/2024")</f>
        <v>0</v>
      </c>
      <c r="E97" s="8">
        <f>COUNTIFS('Datos Preescolar'!$E:$E,E$82,'Datos Preescolar'!$I:$I,"&gt;=01/03/2024",'Datos Preescolar'!$I:$I,"&lt;=31/03/2024")</f>
        <v>0</v>
      </c>
      <c r="F97" s="36">
        <f t="shared" si="21"/>
        <v>0</v>
      </c>
      <c r="H97" s="251"/>
      <c r="I97" s="33" t="s">
        <v>34</v>
      </c>
      <c r="J97" s="34">
        <f>SUM(C$95:C97)</f>
        <v>1</v>
      </c>
      <c r="K97" s="34">
        <f>SUM(D$95:D97)</f>
        <v>0</v>
      </c>
      <c r="L97" s="34">
        <f>SUM(E$95:E97)</f>
        <v>3</v>
      </c>
      <c r="M97" s="36">
        <f t="shared" si="22"/>
        <v>4</v>
      </c>
      <c r="O97" s="251"/>
      <c r="P97" s="33" t="s">
        <v>34</v>
      </c>
      <c r="Q97" s="34">
        <f>SUM(C$83:C97)</f>
        <v>2</v>
      </c>
      <c r="R97" s="34">
        <f>SUM(D$83:D97)</f>
        <v>1</v>
      </c>
      <c r="S97" s="34">
        <f>SUM(E$83:E97)</f>
        <v>5</v>
      </c>
      <c r="T97" s="36">
        <f t="shared" si="23"/>
        <v>8</v>
      </c>
    </row>
    <row r="98" spans="1:20">
      <c r="A98" s="251"/>
      <c r="B98" s="33" t="s">
        <v>38</v>
      </c>
      <c r="C98" s="8">
        <f>COUNTIFS('Datos Preescolar'!$E:$E,C$82,'Datos Preescolar'!$I:$I,"&gt;=01/04/2024",'Datos Preescolar'!$I:$I,"&lt;=30/04/2024")</f>
        <v>0</v>
      </c>
      <c r="D98" s="8">
        <f>COUNTIFS('Datos Preescolar'!$E:$E,D$82,'Datos Preescolar'!$I:$I,"&gt;=01/04/2024",'Datos Preescolar'!$I:$I,"&lt;=30/04/2024")</f>
        <v>0</v>
      </c>
      <c r="E98" s="8">
        <f>COUNTIFS('Datos Preescolar'!$E:$E,E$82,'Datos Preescolar'!$I:$I,"&gt;=01/04/2024",'Datos Preescolar'!$I:$I,"&lt;=30/04/2024")</f>
        <v>0</v>
      </c>
      <c r="F98" s="36">
        <f t="shared" si="21"/>
        <v>0</v>
      </c>
      <c r="H98" s="251"/>
      <c r="I98" s="33" t="s">
        <v>38</v>
      </c>
      <c r="J98" s="34">
        <f>SUM(C$95:C98)</f>
        <v>1</v>
      </c>
      <c r="K98" s="34">
        <f>SUM(D$95:D98)</f>
        <v>0</v>
      </c>
      <c r="L98" s="34">
        <f>SUM(E$95:E98)</f>
        <v>3</v>
      </c>
      <c r="M98" s="36">
        <f t="shared" si="22"/>
        <v>4</v>
      </c>
      <c r="O98" s="251"/>
      <c r="P98" s="33" t="s">
        <v>38</v>
      </c>
      <c r="Q98" s="34">
        <f>SUM(C$83:C98)</f>
        <v>2</v>
      </c>
      <c r="R98" s="34">
        <f>SUM(D$83:D98)</f>
        <v>1</v>
      </c>
      <c r="S98" s="34">
        <f>SUM(E$83:E98)</f>
        <v>5</v>
      </c>
      <c r="T98" s="36">
        <f t="shared" si="23"/>
        <v>8</v>
      </c>
    </row>
    <row r="99" spans="1:20">
      <c r="A99" s="251"/>
      <c r="B99" s="33" t="s">
        <v>47</v>
      </c>
      <c r="C99" s="8">
        <f>COUNTIFS('Datos Preescolar'!$E:$E,C$82,'Datos Preescolar'!$I:$I,"&gt;=01/05/2024",'Datos Preescolar'!$I:$I,"&lt;=31/05/2024")</f>
        <v>0</v>
      </c>
      <c r="D99" s="8">
        <f>COUNTIFS('Datos Preescolar'!$E:$E,D$82,'Datos Preescolar'!$I:$I,"&gt;=01/05/2024",'Datos Preescolar'!$I:$I,"&lt;=31/05/2024")</f>
        <v>0</v>
      </c>
      <c r="E99" s="8">
        <f>COUNTIFS('Datos Preescolar'!$E:$E,E$82,'Datos Preescolar'!$I:$I,"&gt;=01/05/2024",'Datos Preescolar'!$I:$I,"&lt;=31/05/2024")</f>
        <v>0</v>
      </c>
      <c r="F99" s="36">
        <f t="shared" si="21"/>
        <v>0</v>
      </c>
      <c r="H99" s="251"/>
      <c r="I99" s="33" t="s">
        <v>47</v>
      </c>
      <c r="J99" s="34">
        <f>SUM(C$95:C99)</f>
        <v>1</v>
      </c>
      <c r="K99" s="34">
        <f>SUM(D$95:D99)</f>
        <v>0</v>
      </c>
      <c r="L99" s="34">
        <f>SUM(E$95:E99)</f>
        <v>3</v>
      </c>
      <c r="M99" s="36">
        <f t="shared" si="22"/>
        <v>4</v>
      </c>
      <c r="O99" s="251"/>
      <c r="P99" s="33" t="s">
        <v>47</v>
      </c>
      <c r="Q99" s="34">
        <f>SUM(C$83:C99)</f>
        <v>2</v>
      </c>
      <c r="R99" s="34">
        <f>SUM(D$83:D99)</f>
        <v>1</v>
      </c>
      <c r="S99" s="34">
        <f>SUM(E$83:E99)</f>
        <v>5</v>
      </c>
      <c r="T99" s="36">
        <f t="shared" si="23"/>
        <v>8</v>
      </c>
    </row>
    <row r="100" spans="1:20">
      <c r="A100" s="251"/>
      <c r="B100" s="33" t="s">
        <v>57</v>
      </c>
      <c r="C100" s="8">
        <f>COUNTIFS('Datos Preescolar'!$E:$E,C$82,'Datos Preescolar'!$I:$I,"&gt;=01/06/2024",'Datos Preescolar'!$I:$I,"&lt;=30/06/2024")</f>
        <v>0</v>
      </c>
      <c r="D100" s="8">
        <f>COUNTIFS('Datos Preescolar'!$E:$E,D$82,'Datos Preescolar'!$I:$I,"&gt;=01/06/2024",'Datos Preescolar'!$I:$I,"&lt;=30/06/2024")</f>
        <v>0</v>
      </c>
      <c r="E100" s="8">
        <f>COUNTIFS('Datos Preescolar'!$E:$E,E$82,'Datos Preescolar'!$I:$I,"&gt;=01/06/2024",'Datos Preescolar'!$I:$I,"&lt;=30/06/2024")</f>
        <v>0</v>
      </c>
      <c r="F100" s="36">
        <f t="shared" si="21"/>
        <v>0</v>
      </c>
      <c r="H100" s="251"/>
      <c r="I100" s="33" t="s">
        <v>57</v>
      </c>
      <c r="J100" s="34">
        <f>SUM(C$95:C100)</f>
        <v>1</v>
      </c>
      <c r="K100" s="34">
        <f>SUM(D$95:D100)</f>
        <v>0</v>
      </c>
      <c r="L100" s="34">
        <f>SUM(E$95:E100)</f>
        <v>3</v>
      </c>
      <c r="M100" s="36">
        <f t="shared" si="22"/>
        <v>4</v>
      </c>
      <c r="O100" s="251"/>
      <c r="P100" s="33" t="s">
        <v>57</v>
      </c>
      <c r="Q100" s="34">
        <f>SUM(C$83:C100)</f>
        <v>2</v>
      </c>
      <c r="R100" s="34">
        <f>SUM(D$83:D100)</f>
        <v>1</v>
      </c>
      <c r="S100" s="34">
        <f>SUM(E$83:E100)</f>
        <v>5</v>
      </c>
      <c r="T100" s="36">
        <f t="shared" si="23"/>
        <v>8</v>
      </c>
    </row>
    <row r="101" spans="1:20">
      <c r="A101" s="251"/>
      <c r="B101" s="33" t="s">
        <v>62</v>
      </c>
      <c r="C101" s="8">
        <f>COUNTIFS('Datos Preescolar'!$E:$E,C$82,'Datos Preescolar'!$I:$I,"&gt;=01/07/2024",'Datos Preescolar'!$I:$I,"&lt;=31/07/2024")</f>
        <v>0</v>
      </c>
      <c r="D101" s="8">
        <f>COUNTIFS('Datos Preescolar'!$E:$E,D$82,'Datos Preescolar'!$I:$I,"&gt;=01/07/2024",'Datos Preescolar'!$I:$I,"&lt;=31/07/2024")</f>
        <v>0</v>
      </c>
      <c r="E101" s="8">
        <f>COUNTIFS('Datos Preescolar'!$E:$E,E$82,'Datos Preescolar'!$I:$I,"&gt;=01/07/2024",'Datos Preescolar'!$I:$I,"&lt;=31/07/2024")</f>
        <v>0</v>
      </c>
      <c r="F101" s="36">
        <f t="shared" si="21"/>
        <v>0</v>
      </c>
      <c r="H101" s="251"/>
      <c r="I101" s="33" t="s">
        <v>62</v>
      </c>
      <c r="J101" s="34">
        <f>SUM(C$95:C101)</f>
        <v>1</v>
      </c>
      <c r="K101" s="34">
        <f>SUM(D$95:D101)</f>
        <v>0</v>
      </c>
      <c r="L101" s="34">
        <f>SUM(E$95:E101)</f>
        <v>3</v>
      </c>
      <c r="M101" s="36">
        <f t="shared" si="22"/>
        <v>4</v>
      </c>
      <c r="O101" s="251"/>
      <c r="P101" s="33" t="s">
        <v>62</v>
      </c>
      <c r="Q101" s="34">
        <f>SUM(C$83:C101)</f>
        <v>2</v>
      </c>
      <c r="R101" s="34">
        <f>SUM(D$83:D101)</f>
        <v>1</v>
      </c>
      <c r="S101" s="34">
        <f>SUM(E$83:E101)</f>
        <v>5</v>
      </c>
      <c r="T101" s="36">
        <f t="shared" si="23"/>
        <v>8</v>
      </c>
    </row>
    <row r="102" spans="1:20">
      <c r="A102" s="251"/>
      <c r="B102" s="33" t="s">
        <v>68</v>
      </c>
      <c r="C102" s="8">
        <f>COUNTIFS('Datos Preescolar'!$E:$E,C$82,'Datos Preescolar'!$I:$I,"&gt;=01/08/2024",'Datos Preescolar'!$I:$I,"&lt;=31/08/2024")</f>
        <v>0</v>
      </c>
      <c r="D102" s="8">
        <f>COUNTIFS('Datos Preescolar'!$E:$E,D$82,'Datos Preescolar'!$I:$I,"&gt;=01/08/2024",'Datos Preescolar'!$I:$I,"&lt;=31/08/2024")</f>
        <v>0</v>
      </c>
      <c r="E102" s="8">
        <f>COUNTIFS('Datos Preescolar'!$E:$E,E$82,'Datos Preescolar'!$I:$I,"&gt;=01/08/2024",'Datos Preescolar'!$I:$I,"&lt;=31/08/2024")</f>
        <v>0</v>
      </c>
      <c r="F102" s="36">
        <f t="shared" si="21"/>
        <v>0</v>
      </c>
      <c r="H102" s="251"/>
      <c r="I102" s="33" t="s">
        <v>68</v>
      </c>
      <c r="J102" s="34">
        <f>SUM(C$95:C102)</f>
        <v>1</v>
      </c>
      <c r="K102" s="34">
        <f>SUM(D$95:D102)</f>
        <v>0</v>
      </c>
      <c r="L102" s="34">
        <f>SUM(E$95:E102)</f>
        <v>3</v>
      </c>
      <c r="M102" s="36">
        <f t="shared" si="22"/>
        <v>4</v>
      </c>
      <c r="O102" s="251"/>
      <c r="P102" s="33" t="s">
        <v>68</v>
      </c>
      <c r="Q102" s="34">
        <f>SUM(C$83:C102)</f>
        <v>2</v>
      </c>
      <c r="R102" s="34">
        <f>SUM(D$83:D102)</f>
        <v>1</v>
      </c>
      <c r="S102" s="34">
        <f>SUM(E$83:E102)</f>
        <v>5</v>
      </c>
      <c r="T102" s="36">
        <f t="shared" si="23"/>
        <v>8</v>
      </c>
    </row>
    <row r="103" spans="1:20">
      <c r="A103" s="251"/>
      <c r="B103" s="33" t="s">
        <v>77</v>
      </c>
      <c r="C103" s="8">
        <f>COUNTIFS('Datos Preescolar'!$E:$E,C$82,'Datos Preescolar'!$I:$I,"&gt;=01/09/2024",'Datos Preescolar'!$I:$I,"&lt;=30/09/2024")</f>
        <v>0</v>
      </c>
      <c r="D103" s="8">
        <f>COUNTIFS('Datos Preescolar'!$E:$E,D$82,'Datos Preescolar'!$I:$I,"&gt;=01/09/2024",'Datos Preescolar'!$I:$I,"&lt;=30/09/2024")</f>
        <v>1</v>
      </c>
      <c r="E103" s="8">
        <f>COUNTIFS('Datos Preescolar'!$E:$E,E$82,'Datos Preescolar'!$I:$I,"&gt;=01/09/2024",'Datos Preescolar'!$I:$I,"&lt;=30/09/2024")</f>
        <v>0</v>
      </c>
      <c r="F103" s="36">
        <f t="shared" si="21"/>
        <v>1</v>
      </c>
      <c r="H103" s="251"/>
      <c r="I103" s="33" t="s">
        <v>77</v>
      </c>
      <c r="J103" s="34">
        <f>SUM(C$95:C103)</f>
        <v>1</v>
      </c>
      <c r="K103" s="34">
        <f>SUM(D$95:D103)</f>
        <v>1</v>
      </c>
      <c r="L103" s="34">
        <f>SUM(E$95:E103)</f>
        <v>3</v>
      </c>
      <c r="M103" s="36">
        <f t="shared" si="22"/>
        <v>5</v>
      </c>
      <c r="O103" s="251"/>
      <c r="P103" s="33" t="s">
        <v>77</v>
      </c>
      <c r="Q103" s="34">
        <f>SUM(C$83:C103)</f>
        <v>2</v>
      </c>
      <c r="R103" s="34">
        <f>SUM(D$83:D103)</f>
        <v>2</v>
      </c>
      <c r="S103" s="34">
        <f>SUM(E$83:E103)</f>
        <v>5</v>
      </c>
      <c r="T103" s="36">
        <f t="shared" si="23"/>
        <v>9</v>
      </c>
    </row>
    <row r="104" spans="1:20">
      <c r="A104" s="251"/>
      <c r="B104" s="33" t="s">
        <v>84</v>
      </c>
      <c r="C104" s="8">
        <f>COUNTIFS('Datos Preescolar'!$E:$E,C$82,'Datos Preescolar'!$I:$I,"&gt;=01/10/2024",'Datos Preescolar'!$I:$I,"&lt;=31/10/2024")</f>
        <v>0</v>
      </c>
      <c r="D104" s="8">
        <f>COUNTIFS('Datos Preescolar'!$E:$E,D$82,'Datos Preescolar'!$I:$I,"&gt;=01/10/2024",'Datos Preescolar'!$I:$I,"&lt;=31/10/2024")</f>
        <v>0</v>
      </c>
      <c r="E104" s="8">
        <f>COUNTIFS('Datos Preescolar'!$E:$E,E$82,'Datos Preescolar'!$I:$I,"&gt;=01/10/2024",'Datos Preescolar'!$I:$I,"&lt;=31/10/2024")</f>
        <v>0</v>
      </c>
      <c r="F104" s="36">
        <f t="shared" si="21"/>
        <v>0</v>
      </c>
      <c r="H104" s="251"/>
      <c r="I104" s="33" t="s">
        <v>84</v>
      </c>
      <c r="J104" s="34">
        <f>SUM(C$95:C104)</f>
        <v>1</v>
      </c>
      <c r="K104" s="34">
        <f>SUM(D$95:D104)</f>
        <v>1</v>
      </c>
      <c r="L104" s="34">
        <f>SUM(E$95:E104)</f>
        <v>3</v>
      </c>
      <c r="M104" s="36">
        <f t="shared" si="22"/>
        <v>5</v>
      </c>
      <c r="O104" s="251"/>
      <c r="P104" s="33" t="s">
        <v>84</v>
      </c>
      <c r="Q104" s="34">
        <f>SUM(C$83:C104)</f>
        <v>2</v>
      </c>
      <c r="R104" s="34">
        <f>SUM(D$83:D104)</f>
        <v>2</v>
      </c>
      <c r="S104" s="34">
        <f>SUM(E$83:E104)</f>
        <v>5</v>
      </c>
      <c r="T104" s="36">
        <f t="shared" si="23"/>
        <v>9</v>
      </c>
    </row>
    <row r="105" spans="1:20">
      <c r="A105" s="251"/>
      <c r="B105" s="33" t="s">
        <v>87</v>
      </c>
      <c r="C105" s="8">
        <f>COUNTIFS('Datos Preescolar'!$E:$E,C$82,'Datos Preescolar'!$I:$I,"&gt;=01/11/2024",'Datos Preescolar'!$I:$I,"&lt;=30/11/2024")</f>
        <v>0</v>
      </c>
      <c r="D105" s="8">
        <f>COUNTIFS('Datos Preescolar'!$E:$E,D$82,'Datos Preescolar'!$I:$I,"&gt;=01/11/2024",'Datos Preescolar'!$I:$I,"&lt;=30/11/2024")</f>
        <v>0</v>
      </c>
      <c r="E105" s="8">
        <f>COUNTIFS('Datos Preescolar'!$E:$E,E$82,'Datos Preescolar'!$I:$I,"&gt;=01/11/2024",'Datos Preescolar'!$I:$I,"&lt;=30/11/2024")</f>
        <v>0</v>
      </c>
      <c r="F105" s="36">
        <f t="shared" si="21"/>
        <v>0</v>
      </c>
      <c r="H105" s="251"/>
      <c r="I105" s="33" t="s">
        <v>87</v>
      </c>
      <c r="J105" s="34">
        <f>SUM(C$95:C105)</f>
        <v>1</v>
      </c>
      <c r="K105" s="34">
        <f>SUM(D$95:D105)</f>
        <v>1</v>
      </c>
      <c r="L105" s="34">
        <f>SUM(E$95:E105)</f>
        <v>3</v>
      </c>
      <c r="M105" s="36">
        <f t="shared" si="22"/>
        <v>5</v>
      </c>
      <c r="O105" s="251"/>
      <c r="P105" s="33" t="s">
        <v>87</v>
      </c>
      <c r="Q105" s="34">
        <f>SUM(C$83:C105)</f>
        <v>2</v>
      </c>
      <c r="R105" s="34">
        <f>SUM(D$83:D105)</f>
        <v>2</v>
      </c>
      <c r="S105" s="34">
        <f>SUM(E$83:E105)</f>
        <v>5</v>
      </c>
      <c r="T105" s="36">
        <f t="shared" si="23"/>
        <v>9</v>
      </c>
    </row>
    <row r="106" spans="1:20">
      <c r="A106" s="251"/>
      <c r="B106" s="33" t="s">
        <v>173</v>
      </c>
      <c r="C106" s="8">
        <f>COUNTIFS('Datos Preescolar'!$E:$E,C$82,'Datos Preescolar'!$I:$I,"&gt;=01/12/2024",'Datos Preescolar'!$I:$I,"&lt;=31/12/2024")</f>
        <v>0</v>
      </c>
      <c r="D106" s="8">
        <f>COUNTIFS('Datos Preescolar'!$E:$E,D$82,'Datos Preescolar'!$I:$I,"&gt;=01/12/2024",'Datos Preescolar'!$I:$I,"&lt;=31/12/2024")</f>
        <v>0</v>
      </c>
      <c r="E106" s="8">
        <f>COUNTIFS('Datos Preescolar'!$E:$E,E$82,'Datos Preescolar'!$I:$I,"&gt;=01/12/2024",'Datos Preescolar'!$I:$I,"&lt;=31/12/2024")</f>
        <v>0</v>
      </c>
      <c r="F106" s="36">
        <f t="shared" si="21"/>
        <v>0</v>
      </c>
      <c r="H106" s="251"/>
      <c r="I106" s="33" t="s">
        <v>173</v>
      </c>
      <c r="J106" s="34">
        <f>SUM(C$95:C106)</f>
        <v>1</v>
      </c>
      <c r="K106" s="34">
        <f>SUM(D$95:D106)</f>
        <v>1</v>
      </c>
      <c r="L106" s="34">
        <f>SUM(E$95:E106)</f>
        <v>3</v>
      </c>
      <c r="M106" s="36">
        <f t="shared" si="22"/>
        <v>5</v>
      </c>
      <c r="O106" s="251"/>
      <c r="P106" s="33" t="s">
        <v>173</v>
      </c>
      <c r="Q106" s="34">
        <f>SUM(C$83:C106)</f>
        <v>2</v>
      </c>
      <c r="R106" s="34">
        <f>SUM(D$83:D106)</f>
        <v>2</v>
      </c>
      <c r="S106" s="34">
        <f>SUM(E$83:E106)</f>
        <v>5</v>
      </c>
      <c r="T106" s="36">
        <f t="shared" si="23"/>
        <v>9</v>
      </c>
    </row>
    <row r="107" spans="1:20">
      <c r="A107" s="251">
        <f>A27</f>
        <v>2025</v>
      </c>
      <c r="B107" s="33" t="s">
        <v>13</v>
      </c>
      <c r="C107" s="8">
        <f>COUNTIFS('Datos Preescolar'!$E:$E,C$82,'Datos Preescolar'!$I:$I,"&gt;=01/01/2025",'Datos Preescolar'!$I:$I,"&lt;=31/01/2025")</f>
        <v>2</v>
      </c>
      <c r="D107" s="8">
        <f>COUNTIFS('Datos Preescolar'!$E:$E,D$82,'Datos Preescolar'!$I:$I,"&gt;=01/01/2025",'Datos Preescolar'!$I:$I,"&lt;=31/01/2025")</f>
        <v>1</v>
      </c>
      <c r="E107" s="8">
        <f>COUNTIFS('Datos Preescolar'!$E:$E,E$82,'Datos Preescolar'!$I:$I,"&gt;=01/01/2025",'Datos Preescolar'!$I:$I,"&lt;=31/01/2025")</f>
        <v>0</v>
      </c>
      <c r="F107" s="36">
        <f>SUM(C107:E107)</f>
        <v>3</v>
      </c>
      <c r="H107" s="251">
        <f>A107</f>
        <v>2025</v>
      </c>
      <c r="I107" s="33" t="s">
        <v>13</v>
      </c>
      <c r="J107" s="34">
        <f>SUM(C$107:C107)</f>
        <v>2</v>
      </c>
      <c r="K107" s="34">
        <f>SUM(D$107:D107)</f>
        <v>1</v>
      </c>
      <c r="L107" s="34">
        <f>SUM(E$107:E107)</f>
        <v>0</v>
      </c>
      <c r="M107" s="36">
        <f>SUM(J107:L107)</f>
        <v>3</v>
      </c>
      <c r="O107" s="251">
        <f>A107</f>
        <v>2025</v>
      </c>
      <c r="P107" s="33" t="s">
        <v>13</v>
      </c>
      <c r="Q107" s="34">
        <f>SUM(C$83:C107)</f>
        <v>4</v>
      </c>
      <c r="R107" s="34">
        <f>SUM(D$83:D107)</f>
        <v>3</v>
      </c>
      <c r="S107" s="34">
        <f>SUM(E$83:E107)</f>
        <v>5</v>
      </c>
      <c r="T107" s="36">
        <f>SUM(Q107:S107)</f>
        <v>12</v>
      </c>
    </row>
    <row r="108" spans="1:20">
      <c r="A108" s="251"/>
      <c r="B108" s="33" t="s">
        <v>24</v>
      </c>
      <c r="C108" s="8">
        <f>COUNTIFS('Datos Preescolar'!$E:$E,C$82,'Datos Preescolar'!$I:$I,"&gt;=01/02/2025",'Datos Preescolar'!$I:$I,"&lt;=28/02/2025")</f>
        <v>1</v>
      </c>
      <c r="D108" s="8">
        <f>COUNTIFS('Datos Preescolar'!$E:$E,D$82,'Datos Preescolar'!$I:$I,"&gt;=01/02/2025",'Datos Preescolar'!$I:$I,"&lt;=28/02/2025")</f>
        <v>1</v>
      </c>
      <c r="E108" s="8">
        <f>COUNTIFS('Datos Preescolar'!$E:$E,E$82,'Datos Preescolar'!$I:$I,"&gt;=01/02/2025",'Datos Preescolar'!$I:$I,"&lt;=28/02/2025")</f>
        <v>1</v>
      </c>
      <c r="F108" s="36">
        <f t="shared" ref="F108:F118" si="24">SUM(C108:E108)</f>
        <v>3</v>
      </c>
      <c r="H108" s="251"/>
      <c r="I108" s="33" t="s">
        <v>24</v>
      </c>
      <c r="J108" s="34">
        <f>SUM(C$107:C108)</f>
        <v>3</v>
      </c>
      <c r="K108" s="34">
        <f>SUM(D$107:D108)</f>
        <v>2</v>
      </c>
      <c r="L108" s="34">
        <f>SUM(E$107:E108)</f>
        <v>1</v>
      </c>
      <c r="M108" s="36">
        <f t="shared" ref="M108:M118" si="25">SUM(J108:L108)</f>
        <v>6</v>
      </c>
      <c r="O108" s="251"/>
      <c r="P108" s="33" t="s">
        <v>24</v>
      </c>
      <c r="Q108" s="34">
        <f>SUM(C$83:C108)</f>
        <v>5</v>
      </c>
      <c r="R108" s="34">
        <f>SUM(D$83:D108)</f>
        <v>4</v>
      </c>
      <c r="S108" s="34">
        <f>SUM(E$83:E108)</f>
        <v>6</v>
      </c>
      <c r="T108" s="36">
        <f t="shared" ref="T108:T118" si="26">SUM(Q108:S108)</f>
        <v>15</v>
      </c>
    </row>
    <row r="109" spans="1:20">
      <c r="A109" s="251"/>
      <c r="B109" s="33" t="s">
        <v>34</v>
      </c>
      <c r="C109" s="8">
        <f>COUNTIFS('Datos Preescolar'!$E:$E,C$82,'Datos Preescolar'!$I:$I,"&gt;=01/03/2025",'Datos Preescolar'!$I:$I,"&lt;=31/03/2025")</f>
        <v>0</v>
      </c>
      <c r="D109" s="8">
        <f>COUNTIFS('Datos Preescolar'!$E:$E,D$82,'Datos Preescolar'!$I:$I,"&gt;=01/03/2025",'Datos Preescolar'!$I:$I,"&lt;=31/03/2025")</f>
        <v>0</v>
      </c>
      <c r="E109" s="8">
        <f>COUNTIFS('Datos Preescolar'!$E:$E,E$82,'Datos Preescolar'!$I:$I,"&gt;=01/03/2025",'Datos Preescolar'!$I:$I,"&lt;=31/03/2025")</f>
        <v>0</v>
      </c>
      <c r="F109" s="36">
        <f t="shared" si="24"/>
        <v>0</v>
      </c>
      <c r="H109" s="251"/>
      <c r="I109" s="33" t="s">
        <v>34</v>
      </c>
      <c r="J109" s="34">
        <f>SUM(C$107:C109)</f>
        <v>3</v>
      </c>
      <c r="K109" s="34">
        <f>SUM(D$107:D109)</f>
        <v>2</v>
      </c>
      <c r="L109" s="34">
        <f>SUM(E$107:E109)</f>
        <v>1</v>
      </c>
      <c r="M109" s="36">
        <f t="shared" si="25"/>
        <v>6</v>
      </c>
      <c r="O109" s="251"/>
      <c r="P109" s="33" t="s">
        <v>34</v>
      </c>
      <c r="Q109" s="34">
        <f>SUM(C$83:C109)</f>
        <v>5</v>
      </c>
      <c r="R109" s="34">
        <f>SUM(D$83:D109)</f>
        <v>4</v>
      </c>
      <c r="S109" s="34">
        <f>SUM(E$83:E109)</f>
        <v>6</v>
      </c>
      <c r="T109" s="36">
        <f t="shared" si="26"/>
        <v>15</v>
      </c>
    </row>
    <row r="110" spans="1:20">
      <c r="A110" s="251"/>
      <c r="B110" s="33" t="s">
        <v>38</v>
      </c>
      <c r="C110" s="8">
        <f>COUNTIFS('Datos Preescolar'!$E:$E,C$82,'Datos Preescolar'!$I:$I,"&gt;=01/04/2025",'Datos Preescolar'!$I:$I,"&lt;=30/04/2025")</f>
        <v>0</v>
      </c>
      <c r="D110" s="8">
        <f>COUNTIFS('Datos Preescolar'!$E:$E,D$82,'Datos Preescolar'!$I:$I,"&gt;=01/04/2025",'Datos Preescolar'!$I:$I,"&lt;=30/04/2025")</f>
        <v>0</v>
      </c>
      <c r="E110" s="8">
        <f>COUNTIFS('Datos Preescolar'!$E:$E,E$82,'Datos Preescolar'!$I:$I,"&gt;=01/04/2025",'Datos Preescolar'!$I:$I,"&lt;=30/04/2025")</f>
        <v>0</v>
      </c>
      <c r="F110" s="36">
        <f t="shared" si="24"/>
        <v>0</v>
      </c>
      <c r="H110" s="251"/>
      <c r="I110" s="33" t="s">
        <v>38</v>
      </c>
      <c r="J110" s="34">
        <f>SUM(C$107:C110)</f>
        <v>3</v>
      </c>
      <c r="K110" s="34">
        <f>SUM(D$107:D110)</f>
        <v>2</v>
      </c>
      <c r="L110" s="34">
        <f>SUM(E$107:E110)</f>
        <v>1</v>
      </c>
      <c r="M110" s="36">
        <f t="shared" si="25"/>
        <v>6</v>
      </c>
      <c r="O110" s="251"/>
      <c r="P110" s="33" t="s">
        <v>38</v>
      </c>
      <c r="Q110" s="34">
        <f>SUM(C$83:C110)</f>
        <v>5</v>
      </c>
      <c r="R110" s="34">
        <f>SUM(D$83:D110)</f>
        <v>4</v>
      </c>
      <c r="S110" s="34">
        <f>SUM(E$83:E110)</f>
        <v>6</v>
      </c>
      <c r="T110" s="36">
        <f t="shared" si="26"/>
        <v>15</v>
      </c>
    </row>
    <row r="111" spans="1:20">
      <c r="A111" s="251"/>
      <c r="B111" s="33" t="s">
        <v>47</v>
      </c>
      <c r="C111" s="8">
        <f>COUNTIFS('Datos Preescolar'!$E:$E,C$82,'Datos Preescolar'!$I:$I,"&gt;=01/05/2025",'Datos Preescolar'!$I:$I,"&lt;=31/05/2025")</f>
        <v>0</v>
      </c>
      <c r="D111" s="8">
        <f>COUNTIFS('Datos Preescolar'!$E:$E,D$82,'Datos Preescolar'!$I:$I,"&gt;=01/05/2025",'Datos Preescolar'!$I:$I,"&lt;=31/05/2025")</f>
        <v>1</v>
      </c>
      <c r="E111" s="8">
        <f>COUNTIFS('Datos Preescolar'!$E:$E,E$82,'Datos Preescolar'!$I:$I,"&gt;=01/05/2025",'Datos Preescolar'!$I:$I,"&lt;=31/05/2025")</f>
        <v>0</v>
      </c>
      <c r="F111" s="36">
        <f t="shared" si="24"/>
        <v>1</v>
      </c>
      <c r="H111" s="251"/>
      <c r="I111" s="33" t="s">
        <v>47</v>
      </c>
      <c r="J111" s="34">
        <f>SUM(C$107:C111)</f>
        <v>3</v>
      </c>
      <c r="K111" s="34">
        <f>SUM(D$107:D111)</f>
        <v>3</v>
      </c>
      <c r="L111" s="34">
        <f>SUM(E$107:E111)</f>
        <v>1</v>
      </c>
      <c r="M111" s="36">
        <f t="shared" si="25"/>
        <v>7</v>
      </c>
      <c r="O111" s="251"/>
      <c r="P111" s="33" t="s">
        <v>47</v>
      </c>
      <c r="Q111" s="34">
        <f>SUM(C$83:C111)</f>
        <v>5</v>
      </c>
      <c r="R111" s="34">
        <f>SUM(D$83:D111)</f>
        <v>5</v>
      </c>
      <c r="S111" s="34">
        <f>SUM(E$83:E111)</f>
        <v>6</v>
      </c>
      <c r="T111" s="36">
        <f t="shared" si="26"/>
        <v>16</v>
      </c>
    </row>
    <row r="112" spans="1:20">
      <c r="A112" s="251"/>
      <c r="B112" s="33" t="s">
        <v>57</v>
      </c>
      <c r="C112" s="8">
        <f>COUNTIFS('Datos Preescolar'!$E:$E,C$82,'Datos Preescolar'!$I:$I,"&gt;=01/06/2025",'Datos Preescolar'!$I:$I,"&lt;=30/06/2025")</f>
        <v>0</v>
      </c>
      <c r="D112" s="8">
        <f>COUNTIFS('Datos Preescolar'!$E:$E,D$82,'Datos Preescolar'!$I:$I,"&gt;=01/06/2025",'Datos Preescolar'!$I:$I,"&lt;=30/06/2025")</f>
        <v>0</v>
      </c>
      <c r="E112" s="8">
        <f>COUNTIFS('Datos Preescolar'!$E:$E,E$82,'Datos Preescolar'!$I:$I,"&gt;=01/06/2025",'Datos Preescolar'!$I:$I,"&lt;=30/06/2025")</f>
        <v>1</v>
      </c>
      <c r="F112" s="36">
        <f t="shared" si="24"/>
        <v>1</v>
      </c>
      <c r="H112" s="251"/>
      <c r="I112" s="33" t="s">
        <v>57</v>
      </c>
      <c r="J112" s="34">
        <f>SUM(C$107:C112)</f>
        <v>3</v>
      </c>
      <c r="K112" s="34">
        <f>SUM(D$107:D112)</f>
        <v>3</v>
      </c>
      <c r="L112" s="34">
        <f>SUM(E$107:E112)</f>
        <v>2</v>
      </c>
      <c r="M112" s="36">
        <f t="shared" si="25"/>
        <v>8</v>
      </c>
      <c r="O112" s="251"/>
      <c r="P112" s="33" t="s">
        <v>57</v>
      </c>
      <c r="Q112" s="34">
        <f>SUM(C$83:C112)</f>
        <v>5</v>
      </c>
      <c r="R112" s="34">
        <f>SUM(D$83:D112)</f>
        <v>5</v>
      </c>
      <c r="S112" s="34">
        <f>SUM(E$83:E112)</f>
        <v>7</v>
      </c>
      <c r="T112" s="36">
        <f t="shared" si="26"/>
        <v>17</v>
      </c>
    </row>
    <row r="113" spans="1:20">
      <c r="A113" s="251"/>
      <c r="B113" s="33" t="s">
        <v>62</v>
      </c>
      <c r="C113" s="8">
        <f>COUNTIFS('Datos Preescolar'!$E:$E,C$82,'Datos Preescolar'!$I:$I,"&gt;=01/07/2025",'Datos Preescolar'!$I:$I,"&lt;=31/07/2025")</f>
        <v>1</v>
      </c>
      <c r="D113" s="8">
        <f>COUNTIFS('Datos Preescolar'!$E:$E,D$82,'Datos Preescolar'!$I:$I,"&gt;=01/07/2025",'Datos Preescolar'!$I:$I,"&lt;=31/07/2025")</f>
        <v>0</v>
      </c>
      <c r="E113" s="8">
        <f>COUNTIFS('Datos Preescolar'!$E:$E,E$82,'Datos Preescolar'!$I:$I,"&gt;=01/07/2025",'Datos Preescolar'!$I:$I,"&lt;=31/07/2025")</f>
        <v>0</v>
      </c>
      <c r="F113" s="36">
        <f t="shared" si="24"/>
        <v>1</v>
      </c>
      <c r="H113" s="251"/>
      <c r="I113" s="33" t="s">
        <v>62</v>
      </c>
      <c r="J113" s="34">
        <f>SUM(C$107:C113)</f>
        <v>4</v>
      </c>
      <c r="K113" s="34">
        <f>SUM(D$107:D113)</f>
        <v>3</v>
      </c>
      <c r="L113" s="34">
        <f>SUM(E$107:E113)</f>
        <v>2</v>
      </c>
      <c r="M113" s="36">
        <f t="shared" si="25"/>
        <v>9</v>
      </c>
      <c r="O113" s="251"/>
      <c r="P113" s="33" t="s">
        <v>62</v>
      </c>
      <c r="Q113" s="34">
        <f>SUM(C$83:C113)</f>
        <v>6</v>
      </c>
      <c r="R113" s="34">
        <f>SUM(D$83:D113)</f>
        <v>5</v>
      </c>
      <c r="S113" s="34">
        <f>SUM(E$83:E113)</f>
        <v>7</v>
      </c>
      <c r="T113" s="36">
        <f t="shared" si="26"/>
        <v>18</v>
      </c>
    </row>
    <row r="114" spans="1:20">
      <c r="A114" s="251"/>
      <c r="B114" s="33" t="s">
        <v>68</v>
      </c>
      <c r="C114" s="8">
        <f>COUNTIFS('Datos Preescolar'!$E:$E,C$82,'Datos Preescolar'!$I:$I,"&gt;=01/08/2025",'Datos Preescolar'!$I:$I,"&lt;=31/08/2025")</f>
        <v>0</v>
      </c>
      <c r="D114" s="8">
        <f>COUNTIFS('Datos Preescolar'!$E:$E,D$82,'Datos Preescolar'!$I:$I,"&gt;=01/08/2025",'Datos Preescolar'!$I:$I,"&lt;=31/08/2025")</f>
        <v>0</v>
      </c>
      <c r="E114" s="8">
        <f>COUNTIFS('Datos Preescolar'!$E:$E,E$82,'Datos Preescolar'!$I:$I,"&gt;=01/08/2025",'Datos Preescolar'!$I:$I,"&lt;=31/08/2025")</f>
        <v>0</v>
      </c>
      <c r="F114" s="36">
        <f t="shared" si="24"/>
        <v>0</v>
      </c>
      <c r="H114" s="251"/>
      <c r="I114" s="33" t="s">
        <v>68</v>
      </c>
      <c r="J114" s="34">
        <f>SUM(C$107:C114)</f>
        <v>4</v>
      </c>
      <c r="K114" s="34">
        <f>SUM(D$107:D114)</f>
        <v>3</v>
      </c>
      <c r="L114" s="34">
        <f>SUM(E$107:E114)</f>
        <v>2</v>
      </c>
      <c r="M114" s="36">
        <f t="shared" si="25"/>
        <v>9</v>
      </c>
      <c r="O114" s="251"/>
      <c r="P114" s="33" t="s">
        <v>68</v>
      </c>
      <c r="Q114" s="34">
        <f>SUM(C$83:C114)</f>
        <v>6</v>
      </c>
      <c r="R114" s="34">
        <f>SUM(D$83:D114)</f>
        <v>5</v>
      </c>
      <c r="S114" s="34">
        <f>SUM(E$83:E114)</f>
        <v>7</v>
      </c>
      <c r="T114" s="36">
        <f t="shared" si="26"/>
        <v>18</v>
      </c>
    </row>
    <row r="115" spans="1:20">
      <c r="A115" s="251"/>
      <c r="B115" s="33" t="s">
        <v>77</v>
      </c>
      <c r="C115" s="8">
        <f>COUNTIFS('Datos Preescolar'!$E:$E,C$82,'Datos Preescolar'!$I:$I,"&gt;=01/09/2025",'Datos Preescolar'!$I:$I,"&lt;=30/09/2025")</f>
        <v>0</v>
      </c>
      <c r="D115" s="8">
        <f>COUNTIFS('Datos Preescolar'!$E:$E,D$82,'Datos Preescolar'!$I:$I,"&gt;=01/09/2025",'Datos Preescolar'!$I:$I,"&lt;=30/09/2025")</f>
        <v>0</v>
      </c>
      <c r="E115" s="8">
        <f>COUNTIFS('Datos Preescolar'!$E:$E,E$82,'Datos Preescolar'!$I:$I,"&gt;=01/09/2025",'Datos Preescolar'!$I:$I,"&lt;=30/09/2025")</f>
        <v>0</v>
      </c>
      <c r="F115" s="36">
        <f t="shared" si="24"/>
        <v>0</v>
      </c>
      <c r="H115" s="251"/>
      <c r="I115" s="33" t="s">
        <v>77</v>
      </c>
      <c r="J115" s="34">
        <f>SUM(C$107:C115)</f>
        <v>4</v>
      </c>
      <c r="K115" s="34">
        <f>SUM(D$107:D115)</f>
        <v>3</v>
      </c>
      <c r="L115" s="34">
        <f>SUM(E$107:E115)</f>
        <v>2</v>
      </c>
      <c r="M115" s="36">
        <f t="shared" si="25"/>
        <v>9</v>
      </c>
      <c r="O115" s="251"/>
      <c r="P115" s="33" t="s">
        <v>77</v>
      </c>
      <c r="Q115" s="34">
        <f>SUM(C$83:C115)</f>
        <v>6</v>
      </c>
      <c r="R115" s="34">
        <f>SUM(D$83:D115)</f>
        <v>5</v>
      </c>
      <c r="S115" s="34">
        <f>SUM(E$83:E115)</f>
        <v>7</v>
      </c>
      <c r="T115" s="36">
        <f t="shared" si="26"/>
        <v>18</v>
      </c>
    </row>
    <row r="116" spans="1:20">
      <c r="A116" s="251"/>
      <c r="B116" s="33" t="s">
        <v>84</v>
      </c>
      <c r="C116" s="8">
        <f>COUNTIFS('Datos Preescolar'!$E:$E,C$82,'Datos Preescolar'!$I:$I,"&gt;=01/10/2025",'Datos Preescolar'!$I:$I,"&lt;=31/10/2025")</f>
        <v>1</v>
      </c>
      <c r="D116" s="8">
        <f>COUNTIFS('Datos Preescolar'!$E:$E,D$82,'Datos Preescolar'!$I:$I,"&gt;=01/10/2025",'Datos Preescolar'!$I:$I,"&lt;=31/10/2025")</f>
        <v>1</v>
      </c>
      <c r="E116" s="8">
        <f>COUNTIFS('Datos Preescolar'!$E:$E,E$82,'Datos Preescolar'!$I:$I,"&gt;=01/10/2025",'Datos Preescolar'!$I:$I,"&lt;=31/10/2025")</f>
        <v>1</v>
      </c>
      <c r="F116" s="36">
        <f t="shared" si="24"/>
        <v>3</v>
      </c>
      <c r="H116" s="251"/>
      <c r="I116" s="33" t="s">
        <v>84</v>
      </c>
      <c r="J116" s="34">
        <f>SUM(C$107:C116)</f>
        <v>5</v>
      </c>
      <c r="K116" s="34">
        <f>SUM(D$107:D116)</f>
        <v>4</v>
      </c>
      <c r="L116" s="34">
        <f>SUM(E$107:E116)</f>
        <v>3</v>
      </c>
      <c r="M116" s="36">
        <f t="shared" si="25"/>
        <v>12</v>
      </c>
      <c r="O116" s="251"/>
      <c r="P116" s="33" t="s">
        <v>84</v>
      </c>
      <c r="Q116" s="34">
        <f>SUM(C$83:C116)</f>
        <v>7</v>
      </c>
      <c r="R116" s="34">
        <f>SUM(D$83:D116)</f>
        <v>6</v>
      </c>
      <c r="S116" s="34">
        <f>SUM(E$83:E116)</f>
        <v>8</v>
      </c>
      <c r="T116" s="36">
        <f t="shared" si="26"/>
        <v>21</v>
      </c>
    </row>
    <row r="117" spans="1:20">
      <c r="A117" s="251"/>
      <c r="B117" s="33" t="s">
        <v>87</v>
      </c>
      <c r="C117" s="8">
        <f>COUNTIFS('Datos Preescolar'!$E:$E,C$82,'Datos Preescolar'!$I:$I,"&gt;=01/11/2025",'Datos Preescolar'!$I:$I,"&lt;=30/11/2025")</f>
        <v>0</v>
      </c>
      <c r="D117" s="8">
        <f>COUNTIFS('Datos Preescolar'!$E:$E,D$82,'Datos Preescolar'!$I:$I,"&gt;=01/11/2025",'Datos Preescolar'!$I:$I,"&lt;=30/11/2025")</f>
        <v>0</v>
      </c>
      <c r="E117" s="8">
        <f>COUNTIFS('Datos Preescolar'!$E:$E,E$82,'Datos Preescolar'!$I:$I,"&gt;=01/11/2025",'Datos Preescolar'!$I:$I,"&lt;=30/11/2025")</f>
        <v>0</v>
      </c>
      <c r="F117" s="36">
        <f t="shared" si="24"/>
        <v>0</v>
      </c>
      <c r="H117" s="251"/>
      <c r="I117" s="33" t="s">
        <v>87</v>
      </c>
      <c r="J117" s="34">
        <f>SUM(C$107:C117)</f>
        <v>5</v>
      </c>
      <c r="K117" s="34">
        <f>SUM(D$107:D117)</f>
        <v>4</v>
      </c>
      <c r="L117" s="34">
        <f>SUM(E$107:E117)</f>
        <v>3</v>
      </c>
      <c r="M117" s="36">
        <f t="shared" si="25"/>
        <v>12</v>
      </c>
      <c r="O117" s="251"/>
      <c r="P117" s="33" t="s">
        <v>87</v>
      </c>
      <c r="Q117" s="34">
        <f>SUM(C$83:C117)</f>
        <v>7</v>
      </c>
      <c r="R117" s="34">
        <f>SUM(D$83:D117)</f>
        <v>6</v>
      </c>
      <c r="S117" s="34">
        <f>SUM(E$83:E117)</f>
        <v>8</v>
      </c>
      <c r="T117" s="36">
        <f t="shared" si="26"/>
        <v>21</v>
      </c>
    </row>
    <row r="118" spans="1:20">
      <c r="A118" s="251"/>
      <c r="B118" s="33" t="s">
        <v>173</v>
      </c>
      <c r="C118" s="8">
        <f>COUNTIFS('Datos Preescolar'!$E:$E,C$82,'Datos Preescolar'!$I:$I,"&gt;=01/12/2025",'Datos Preescolar'!$I:$I,"&lt;=31/12/2025")</f>
        <v>0</v>
      </c>
      <c r="D118" s="8">
        <f>COUNTIFS('Datos Preescolar'!$E:$E,D$82,'Datos Preescolar'!$I:$I,"&gt;=01/12/2025",'Datos Preescolar'!$I:$I,"&lt;=31/12/2025")</f>
        <v>0</v>
      </c>
      <c r="E118" s="8">
        <f>COUNTIFS('Datos Preescolar'!$E:$E,E$82,'Datos Preescolar'!$I:$I,"&gt;=01/12/2025",'Datos Preescolar'!$I:$I,"&lt;=31/12/2025")</f>
        <v>0</v>
      </c>
      <c r="F118" s="36">
        <f t="shared" si="24"/>
        <v>0</v>
      </c>
      <c r="H118" s="251"/>
      <c r="I118" s="33" t="s">
        <v>173</v>
      </c>
      <c r="J118" s="34">
        <f>SUM(C$107:C118)</f>
        <v>5</v>
      </c>
      <c r="K118" s="34">
        <f>SUM(D$107:D118)</f>
        <v>4</v>
      </c>
      <c r="L118" s="34">
        <f>SUM(E$107:E118)</f>
        <v>3</v>
      </c>
      <c r="M118" s="36">
        <f t="shared" si="25"/>
        <v>12</v>
      </c>
      <c r="O118" s="251"/>
      <c r="P118" s="33" t="s">
        <v>173</v>
      </c>
      <c r="Q118" s="34">
        <f>SUM(C$83:C118)</f>
        <v>7</v>
      </c>
      <c r="R118" s="34">
        <f>SUM(D$83:D118)</f>
        <v>6</v>
      </c>
      <c r="S118" s="34">
        <f>SUM(E$83:E118)</f>
        <v>8</v>
      </c>
      <c r="T118" s="36">
        <f t="shared" si="26"/>
        <v>21</v>
      </c>
    </row>
  </sheetData>
  <mergeCells count="36">
    <mergeCell ref="A107:A118"/>
    <mergeCell ref="H107:H118"/>
    <mergeCell ref="O107:O118"/>
    <mergeCell ref="H27:H38"/>
    <mergeCell ref="O27:O38"/>
    <mergeCell ref="A67:A78"/>
    <mergeCell ref="H67:H78"/>
    <mergeCell ref="O67:O78"/>
    <mergeCell ref="I41:M41"/>
    <mergeCell ref="H43:H54"/>
    <mergeCell ref="H55:H66"/>
    <mergeCell ref="P81:T81"/>
    <mergeCell ref="O83:O94"/>
    <mergeCell ref="O95:O106"/>
    <mergeCell ref="A83:A94"/>
    <mergeCell ref="A95:A106"/>
    <mergeCell ref="I81:M81"/>
    <mergeCell ref="H83:H94"/>
    <mergeCell ref="H95:H106"/>
    <mergeCell ref="P41:T41"/>
    <mergeCell ref="O43:O54"/>
    <mergeCell ref="O55:O66"/>
    <mergeCell ref="I1:M1"/>
    <mergeCell ref="H3:H14"/>
    <mergeCell ref="H15:H26"/>
    <mergeCell ref="P1:T1"/>
    <mergeCell ref="O3:O14"/>
    <mergeCell ref="O15:O26"/>
    <mergeCell ref="B1:F1"/>
    <mergeCell ref="B41:F41"/>
    <mergeCell ref="B81:F81"/>
    <mergeCell ref="A3:A14"/>
    <mergeCell ref="A15:A26"/>
    <mergeCell ref="A43:A54"/>
    <mergeCell ref="A55:A66"/>
    <mergeCell ref="A27:A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BFA5-DDC1-4552-A300-3572FADBE115}">
  <dimension ref="A1:Z158"/>
  <sheetViews>
    <sheetView showGridLines="0" topLeftCell="A83" workbookViewId="0">
      <selection activeCell="L85" sqref="L85"/>
    </sheetView>
  </sheetViews>
  <sheetFormatPr defaultColWidth="11.42578125" defaultRowHeight="14.45"/>
  <cols>
    <col min="1" max="1" width="4.5703125" customWidth="1"/>
    <col min="2" max="2" width="11.5703125" customWidth="1"/>
    <col min="3" max="8" width="6.5703125" customWidth="1"/>
    <col min="9" max="9" width="5.5703125" customWidth="1"/>
    <col min="10" max="10" width="4.5703125" customWidth="1"/>
    <col min="11" max="11" width="11.5703125" customWidth="1"/>
    <col min="12" max="17" width="6.5703125" customWidth="1"/>
    <col min="18" max="18" width="5.5703125" customWidth="1"/>
    <col min="19" max="19" width="4.5703125" customWidth="1"/>
    <col min="20" max="20" width="11.5703125" customWidth="1"/>
    <col min="21" max="26" width="6.5703125" customWidth="1"/>
  </cols>
  <sheetData>
    <row r="1" spans="1:26">
      <c r="A1" s="31"/>
      <c r="B1" s="255" t="s">
        <v>1418</v>
      </c>
      <c r="C1" s="256"/>
      <c r="D1" s="256"/>
      <c r="E1" s="256"/>
      <c r="F1" s="256"/>
      <c r="G1" s="256"/>
      <c r="H1" s="257"/>
      <c r="J1" s="31"/>
      <c r="K1" s="255" t="s">
        <v>1419</v>
      </c>
      <c r="L1" s="256"/>
      <c r="M1" s="256"/>
      <c r="N1" s="256"/>
      <c r="O1" s="256"/>
      <c r="P1" s="256"/>
      <c r="Q1" s="257"/>
      <c r="S1" s="31"/>
      <c r="T1" s="255" t="s">
        <v>1420</v>
      </c>
      <c r="U1" s="256"/>
      <c r="V1" s="256"/>
      <c r="W1" s="256"/>
      <c r="X1" s="256"/>
      <c r="Y1" s="256"/>
      <c r="Z1" s="257"/>
    </row>
    <row r="2" spans="1:26">
      <c r="A2" s="31"/>
      <c r="B2" s="22" t="s">
        <v>1421</v>
      </c>
      <c r="C2" s="22" t="s">
        <v>324</v>
      </c>
      <c r="D2" s="22" t="s">
        <v>326</v>
      </c>
      <c r="E2" s="22" t="s">
        <v>321</v>
      </c>
      <c r="F2" s="22" t="s">
        <v>319</v>
      </c>
      <c r="G2" s="22" t="s">
        <v>329</v>
      </c>
      <c r="H2" s="22" t="s">
        <v>1422</v>
      </c>
      <c r="J2" s="31"/>
      <c r="K2" s="22" t="s">
        <v>1421</v>
      </c>
      <c r="L2" s="22" t="s">
        <v>324</v>
      </c>
      <c r="M2" s="22" t="s">
        <v>326</v>
      </c>
      <c r="N2" s="22" t="s">
        <v>321</v>
      </c>
      <c r="O2" s="22" t="s">
        <v>319</v>
      </c>
      <c r="P2" s="22" t="s">
        <v>329</v>
      </c>
      <c r="Q2" s="22" t="s">
        <v>1422</v>
      </c>
      <c r="S2" s="31"/>
      <c r="T2" s="22" t="s">
        <v>1421</v>
      </c>
      <c r="U2" s="22" t="s">
        <v>324</v>
      </c>
      <c r="V2" s="22" t="s">
        <v>326</v>
      </c>
      <c r="W2" s="22" t="s">
        <v>321</v>
      </c>
      <c r="X2" s="22" t="s">
        <v>319</v>
      </c>
      <c r="Y2" s="22" t="s">
        <v>329</v>
      </c>
      <c r="Z2" s="22" t="s">
        <v>1422</v>
      </c>
    </row>
    <row r="3" spans="1:26">
      <c r="A3" s="251">
        <v>2023</v>
      </c>
      <c r="B3" s="23" t="s">
        <v>13</v>
      </c>
      <c r="C3" s="8">
        <f>COUNTIFS('Datos Primaria'!$E:$E,C$2,'Datos Primaria'!$C:$C,"&gt;=01/01/2023",'Datos Primaria'!$C:$C,"&lt;=31/01/2023")</f>
        <v>2</v>
      </c>
      <c r="D3" s="8">
        <f>COUNTIFS('Datos Primaria'!$E:$E,D$2,'Datos Primaria'!$C:$C,"&gt;=01/01/2023",'Datos Primaria'!$C:$C,"&lt;=31/01/2023")</f>
        <v>1</v>
      </c>
      <c r="E3" s="8">
        <f>COUNTIFS('Datos Primaria'!$E:$E,E$2,'Datos Primaria'!$C:$C,"&gt;=01/01/2023",'Datos Primaria'!$C:$C,"&lt;=31/01/2023")</f>
        <v>4</v>
      </c>
      <c r="F3" s="8">
        <f>COUNTIFS('Datos Primaria'!$E:$E,F$2,'Datos Primaria'!$C:$C,"&gt;=01/01/2023",'Datos Primaria'!$C:$C,"&lt;=31/01/2023")</f>
        <v>1</v>
      </c>
      <c r="G3" s="8">
        <f>COUNTIFS('Datos Primaria'!$E:$E,G$2,'Datos Primaria'!$C:$C,"&gt;=01/01/2023",'Datos Primaria'!$C:$C,"&lt;=31/01/2023")</f>
        <v>1</v>
      </c>
      <c r="H3" s="8">
        <f t="shared" ref="H3:H26" si="0">SUM(C3:G3)</f>
        <v>9</v>
      </c>
      <c r="J3" s="251">
        <f>A3</f>
        <v>2023</v>
      </c>
      <c r="K3" s="23" t="s">
        <v>13</v>
      </c>
      <c r="L3" s="34">
        <f>SUM(C$3:C3)</f>
        <v>2</v>
      </c>
      <c r="M3" s="34">
        <f>SUM(D$3:D3)</f>
        <v>1</v>
      </c>
      <c r="N3" s="34">
        <f>SUM(E$3:E3)</f>
        <v>4</v>
      </c>
      <c r="O3" s="34">
        <f>SUM(F$3:F3)</f>
        <v>1</v>
      </c>
      <c r="P3" s="34">
        <f>SUM(G$3:G3)</f>
        <v>1</v>
      </c>
      <c r="Q3" s="8">
        <f t="shared" ref="Q3:Q26" si="1">SUM(L3:P3)</f>
        <v>9</v>
      </c>
      <c r="S3" s="251">
        <f>A3</f>
        <v>2023</v>
      </c>
      <c r="T3" s="23" t="s">
        <v>13</v>
      </c>
      <c r="U3" s="34">
        <f>SUM(C$3:C3)</f>
        <v>2</v>
      </c>
      <c r="V3" s="34">
        <f>SUM(D$3:D3)</f>
        <v>1</v>
      </c>
      <c r="W3" s="34">
        <f>SUM(E$3:E3)</f>
        <v>4</v>
      </c>
      <c r="X3" s="34">
        <f>SUM(F$3:F3)</f>
        <v>1</v>
      </c>
      <c r="Y3" s="34">
        <f>SUM(G$3:G3)</f>
        <v>1</v>
      </c>
      <c r="Z3" s="8">
        <f t="shared" ref="Z3:Z26" si="2">SUM(U3:Y3)</f>
        <v>9</v>
      </c>
    </row>
    <row r="4" spans="1:26">
      <c r="A4" s="251"/>
      <c r="B4" s="23" t="s">
        <v>24</v>
      </c>
      <c r="C4" s="8">
        <f>COUNTIFS('Datos Primaria'!$E:$E,C$2,'Datos Primaria'!$C:$C,"&gt;=01/02/2023",'Datos Primaria'!$C:$C,"&lt;=28/02/2023")</f>
        <v>1</v>
      </c>
      <c r="D4" s="8">
        <f>COUNTIFS('Datos Primaria'!$E:$E,D$2,'Datos Primaria'!$C:$C,"&gt;=01/02/2023",'Datos Primaria'!$C:$C,"&lt;=28/02/2023")</f>
        <v>0</v>
      </c>
      <c r="E4" s="8">
        <f>COUNTIFS('Datos Primaria'!$E:$E,E$2,'Datos Primaria'!$C:$C,"&gt;=01/02/2023",'Datos Primaria'!$C:$C,"&lt;=28/02/2023")</f>
        <v>0</v>
      </c>
      <c r="F4" s="8">
        <f>COUNTIFS('Datos Primaria'!$E:$E,F$2,'Datos Primaria'!$C:$C,"&gt;=01/02/2023",'Datos Primaria'!$C:$C,"&lt;=28/02/2023")</f>
        <v>1</v>
      </c>
      <c r="G4" s="8">
        <f>COUNTIFS('Datos Primaria'!$E:$E,G$2,'Datos Primaria'!$C:$C,"&gt;=01/02/2023",'Datos Primaria'!$C:$C,"&lt;=28/02/2023")</f>
        <v>3</v>
      </c>
      <c r="H4" s="8">
        <f t="shared" si="0"/>
        <v>5</v>
      </c>
      <c r="J4" s="251"/>
      <c r="K4" s="23" t="s">
        <v>24</v>
      </c>
      <c r="L4" s="34">
        <f>SUM(C$3:C4)</f>
        <v>3</v>
      </c>
      <c r="M4" s="34">
        <f>SUM(D$3:D4)</f>
        <v>1</v>
      </c>
      <c r="N4" s="34">
        <f>SUM(E$3:E4)</f>
        <v>4</v>
      </c>
      <c r="O4" s="34">
        <f>SUM(F$3:F4)</f>
        <v>2</v>
      </c>
      <c r="P4" s="34">
        <f>SUM(G$3:G4)</f>
        <v>4</v>
      </c>
      <c r="Q4" s="8">
        <f t="shared" si="1"/>
        <v>14</v>
      </c>
      <c r="S4" s="251"/>
      <c r="T4" s="23" t="s">
        <v>24</v>
      </c>
      <c r="U4" s="34">
        <f>SUM(C$3:C4)</f>
        <v>3</v>
      </c>
      <c r="V4" s="34">
        <f>SUM(D$3:D4)</f>
        <v>1</v>
      </c>
      <c r="W4" s="34">
        <f>SUM(E$3:E4)</f>
        <v>4</v>
      </c>
      <c r="X4" s="34">
        <f>SUM(F$3:F4)</f>
        <v>2</v>
      </c>
      <c r="Y4" s="34">
        <f>SUM(G$3:G4)</f>
        <v>4</v>
      </c>
      <c r="Z4" s="8">
        <f t="shared" si="2"/>
        <v>14</v>
      </c>
    </row>
    <row r="5" spans="1:26">
      <c r="A5" s="251"/>
      <c r="B5" s="23" t="s">
        <v>34</v>
      </c>
      <c r="C5" s="8">
        <f>COUNTIFS('Datos Primaria'!$E:$E,C$2,'Datos Primaria'!$C:$C,"&gt;=01/03/2023",'Datos Primaria'!$C:$C,"&lt;=31/03/2023")</f>
        <v>1</v>
      </c>
      <c r="D5" s="8">
        <f>COUNTIFS('Datos Primaria'!$E:$E,D$2,'Datos Primaria'!$C:$C,"&gt;=01/03/2023",'Datos Primaria'!$C:$C,"&lt;=31/03/2023")</f>
        <v>1</v>
      </c>
      <c r="E5" s="8">
        <f>COUNTIFS('Datos Primaria'!$E:$E,E$2,'Datos Primaria'!$C:$C,"&gt;=01/03/2023",'Datos Primaria'!$C:$C,"&lt;=31/03/2023")</f>
        <v>0</v>
      </c>
      <c r="F5" s="8">
        <f>COUNTIFS('Datos Primaria'!$E:$E,F$2,'Datos Primaria'!$C:$C,"&gt;=01/03/2023",'Datos Primaria'!$C:$C,"&lt;=31/03/2023")</f>
        <v>0</v>
      </c>
      <c r="G5" s="8">
        <f>COUNTIFS('Datos Primaria'!$E:$E,G$2,'Datos Primaria'!$C:$C,"&gt;=01/03/2023",'Datos Primaria'!$C:$C,"&lt;=31/03/2023")</f>
        <v>0</v>
      </c>
      <c r="H5" s="8">
        <f t="shared" si="0"/>
        <v>2</v>
      </c>
      <c r="J5" s="251"/>
      <c r="K5" s="23" t="s">
        <v>34</v>
      </c>
      <c r="L5" s="34">
        <f>SUM(C$3:C5)</f>
        <v>4</v>
      </c>
      <c r="M5" s="34">
        <f>SUM(D$3:D5)</f>
        <v>2</v>
      </c>
      <c r="N5" s="34">
        <f>SUM(E$3:E5)</f>
        <v>4</v>
      </c>
      <c r="O5" s="34">
        <f>SUM(F$3:F5)</f>
        <v>2</v>
      </c>
      <c r="P5" s="34">
        <f>SUM(G$3:G5)</f>
        <v>4</v>
      </c>
      <c r="Q5" s="8">
        <f t="shared" si="1"/>
        <v>16</v>
      </c>
      <c r="S5" s="251"/>
      <c r="T5" s="23" t="s">
        <v>34</v>
      </c>
      <c r="U5" s="34">
        <f>SUM(C$3:C5)</f>
        <v>4</v>
      </c>
      <c r="V5" s="34">
        <f>SUM(D$3:D5)</f>
        <v>2</v>
      </c>
      <c r="W5" s="34">
        <f>SUM(E$3:E5)</f>
        <v>4</v>
      </c>
      <c r="X5" s="34">
        <f>SUM(F$3:F5)</f>
        <v>2</v>
      </c>
      <c r="Y5" s="34">
        <f>SUM(G$3:G5)</f>
        <v>4</v>
      </c>
      <c r="Z5" s="8">
        <f t="shared" si="2"/>
        <v>16</v>
      </c>
    </row>
    <row r="6" spans="1:26">
      <c r="A6" s="251"/>
      <c r="B6" s="23" t="s">
        <v>38</v>
      </c>
      <c r="C6" s="8">
        <f>COUNTIFS('Datos Primaria'!$E:$E,C$2,'Datos Primaria'!$C:$C,"&gt;=01/04/2023",'Datos Primaria'!$C:$C,"&lt;=30/04/2023")</f>
        <v>1</v>
      </c>
      <c r="D6" s="8">
        <f>COUNTIFS('Datos Primaria'!$E:$E,D$2,'Datos Primaria'!$C:$C,"&gt;=01/04/2023",'Datos Primaria'!$C:$C,"&lt;=30/04/2023")</f>
        <v>1</v>
      </c>
      <c r="E6" s="8">
        <f>COUNTIFS('Datos Primaria'!$E:$E,E$2,'Datos Primaria'!$C:$C,"&gt;=01/04/2023",'Datos Primaria'!$C:$C,"&lt;=30/04/2023")</f>
        <v>2</v>
      </c>
      <c r="F6" s="8">
        <f>COUNTIFS('Datos Primaria'!$E:$E,F$2,'Datos Primaria'!$C:$C,"&gt;=01/04/2023",'Datos Primaria'!$C:$C,"&lt;=30/04/2023")</f>
        <v>1</v>
      </c>
      <c r="G6" s="8">
        <f>COUNTIFS('Datos Primaria'!$E:$E,G$2,'Datos Primaria'!$C:$C,"&gt;=01/04/2023",'Datos Primaria'!$C:$C,"&lt;=30/04/2023")</f>
        <v>1</v>
      </c>
      <c r="H6" s="8">
        <f t="shared" si="0"/>
        <v>6</v>
      </c>
      <c r="J6" s="251"/>
      <c r="K6" s="23" t="s">
        <v>38</v>
      </c>
      <c r="L6" s="34">
        <f>SUM(C$3:C6)</f>
        <v>5</v>
      </c>
      <c r="M6" s="34">
        <f>SUM(D$3:D6)</f>
        <v>3</v>
      </c>
      <c r="N6" s="34">
        <f>SUM(E$3:E6)</f>
        <v>6</v>
      </c>
      <c r="O6" s="34">
        <f>SUM(F$3:F6)</f>
        <v>3</v>
      </c>
      <c r="P6" s="34">
        <f>SUM(G$3:G6)</f>
        <v>5</v>
      </c>
      <c r="Q6" s="8">
        <f t="shared" si="1"/>
        <v>22</v>
      </c>
      <c r="S6" s="251"/>
      <c r="T6" s="23" t="s">
        <v>38</v>
      </c>
      <c r="U6" s="34">
        <f>SUM(C$3:C6)</f>
        <v>5</v>
      </c>
      <c r="V6" s="34">
        <f>SUM(D$3:D6)</f>
        <v>3</v>
      </c>
      <c r="W6" s="34">
        <f>SUM(E$3:E6)</f>
        <v>6</v>
      </c>
      <c r="X6" s="34">
        <f>SUM(F$3:F6)</f>
        <v>3</v>
      </c>
      <c r="Y6" s="34">
        <f>SUM(G$3:G6)</f>
        <v>5</v>
      </c>
      <c r="Z6" s="8">
        <f t="shared" si="2"/>
        <v>22</v>
      </c>
    </row>
    <row r="7" spans="1:26">
      <c r="A7" s="251"/>
      <c r="B7" s="23" t="s">
        <v>47</v>
      </c>
      <c r="C7" s="8">
        <f>COUNTIFS('Datos Primaria'!$E:$E,C$2,'Datos Primaria'!$C:$C,"&gt;=01/05/2023",'Datos Primaria'!$C:$C,"&lt;=31/05/2023")</f>
        <v>0</v>
      </c>
      <c r="D7" s="8">
        <f>COUNTIFS('Datos Primaria'!$E:$E,D$2,'Datos Primaria'!$C:$C,"&gt;=01/05/2023",'Datos Primaria'!$C:$C,"&lt;=31/05/2023")</f>
        <v>2</v>
      </c>
      <c r="E7" s="8">
        <f>COUNTIFS('Datos Primaria'!$E:$E,E$2,'Datos Primaria'!$C:$C,"&gt;=01/05/2023",'Datos Primaria'!$C:$C,"&lt;=31/05/2023")</f>
        <v>1</v>
      </c>
      <c r="F7" s="8">
        <f>COUNTIFS('Datos Primaria'!$E:$E,F$2,'Datos Primaria'!$C:$C,"&gt;=01/05/2023",'Datos Primaria'!$C:$C,"&lt;=31/05/2023")</f>
        <v>0</v>
      </c>
      <c r="G7" s="8">
        <f>COUNTIFS('Datos Primaria'!$E:$E,G$2,'Datos Primaria'!$C:$C,"&gt;=01/05/2023",'Datos Primaria'!$C:$C,"&lt;=31/05/2023")</f>
        <v>1</v>
      </c>
      <c r="H7" s="8">
        <f t="shared" si="0"/>
        <v>4</v>
      </c>
      <c r="J7" s="251"/>
      <c r="K7" s="23" t="s">
        <v>47</v>
      </c>
      <c r="L7" s="34">
        <f>SUM(C$3:C7)</f>
        <v>5</v>
      </c>
      <c r="M7" s="34">
        <f>SUM(D$3:D7)</f>
        <v>5</v>
      </c>
      <c r="N7" s="34">
        <f>SUM(E$3:E7)</f>
        <v>7</v>
      </c>
      <c r="O7" s="34">
        <f>SUM(F$3:F7)</f>
        <v>3</v>
      </c>
      <c r="P7" s="34">
        <f>SUM(G$3:G7)</f>
        <v>6</v>
      </c>
      <c r="Q7" s="8">
        <f t="shared" si="1"/>
        <v>26</v>
      </c>
      <c r="S7" s="251"/>
      <c r="T7" s="23" t="s">
        <v>47</v>
      </c>
      <c r="U7" s="34">
        <f>SUM(C$3:C7)</f>
        <v>5</v>
      </c>
      <c r="V7" s="34">
        <f>SUM(D$3:D7)</f>
        <v>5</v>
      </c>
      <c r="W7" s="34">
        <f>SUM(E$3:E7)</f>
        <v>7</v>
      </c>
      <c r="X7" s="34">
        <f>SUM(F$3:F7)</f>
        <v>3</v>
      </c>
      <c r="Y7" s="34">
        <f>SUM(G$3:G7)</f>
        <v>6</v>
      </c>
      <c r="Z7" s="8">
        <f t="shared" si="2"/>
        <v>26</v>
      </c>
    </row>
    <row r="8" spans="1:26">
      <c r="A8" s="251"/>
      <c r="B8" s="23" t="s">
        <v>57</v>
      </c>
      <c r="C8" s="8">
        <f>COUNTIFS('Datos Primaria'!$E:$E,C$2,'Datos Primaria'!$C:$C,"&gt;=01/06/2023",'Datos Primaria'!$C:$C,"&lt;=30/06/2023")</f>
        <v>3</v>
      </c>
      <c r="D8" s="8">
        <f>COUNTIFS('Datos Primaria'!$E:$E,D$2,'Datos Primaria'!$C:$C,"&gt;=01/06/2023",'Datos Primaria'!$C:$C,"&lt;=30/06/2023")</f>
        <v>2</v>
      </c>
      <c r="E8" s="8">
        <f>COUNTIFS('Datos Primaria'!$E:$E,E$2,'Datos Primaria'!$C:$C,"&gt;=01/06/2023",'Datos Primaria'!$C:$C,"&lt;=30/06/2023")</f>
        <v>2</v>
      </c>
      <c r="F8" s="8">
        <f>COUNTIFS('Datos Primaria'!$E:$E,F$2,'Datos Primaria'!$C:$C,"&gt;=01/06/2023",'Datos Primaria'!$C:$C,"&lt;=30/06/2023")</f>
        <v>1</v>
      </c>
      <c r="G8" s="8">
        <f>COUNTIFS('Datos Primaria'!$E:$E,G$2,'Datos Primaria'!$C:$C,"&gt;=01/06/2023",'Datos Primaria'!$C:$C,"&lt;=30/06/2023")</f>
        <v>3</v>
      </c>
      <c r="H8" s="8">
        <f t="shared" si="0"/>
        <v>11</v>
      </c>
      <c r="J8" s="251"/>
      <c r="K8" s="23" t="s">
        <v>57</v>
      </c>
      <c r="L8" s="34">
        <f>SUM(C$3:C8)</f>
        <v>8</v>
      </c>
      <c r="M8" s="34">
        <f>SUM(D$3:D8)</f>
        <v>7</v>
      </c>
      <c r="N8" s="34">
        <f>SUM(E$3:E8)</f>
        <v>9</v>
      </c>
      <c r="O8" s="34">
        <f>SUM(F$3:F8)</f>
        <v>4</v>
      </c>
      <c r="P8" s="34">
        <f>SUM(G$3:G8)</f>
        <v>9</v>
      </c>
      <c r="Q8" s="8">
        <f t="shared" si="1"/>
        <v>37</v>
      </c>
      <c r="S8" s="251"/>
      <c r="T8" s="23" t="s">
        <v>57</v>
      </c>
      <c r="U8" s="34">
        <f>SUM(C$3:C8)</f>
        <v>8</v>
      </c>
      <c r="V8" s="34">
        <f>SUM(D$3:D8)</f>
        <v>7</v>
      </c>
      <c r="W8" s="34">
        <f>SUM(E$3:E8)</f>
        <v>9</v>
      </c>
      <c r="X8" s="34">
        <f>SUM(F$3:F8)</f>
        <v>4</v>
      </c>
      <c r="Y8" s="34">
        <f>SUM(G$3:G8)</f>
        <v>9</v>
      </c>
      <c r="Z8" s="8">
        <f t="shared" si="2"/>
        <v>37</v>
      </c>
    </row>
    <row r="9" spans="1:26">
      <c r="A9" s="251"/>
      <c r="B9" s="23" t="s">
        <v>62</v>
      </c>
      <c r="C9" s="8">
        <f>COUNTIFS('Datos Primaria'!$E:$E,C$2,'Datos Primaria'!$C:$C,"&gt;=01/07/2023",'Datos Primaria'!$C:$C,"&lt;=31/07/2023")</f>
        <v>3</v>
      </c>
      <c r="D9" s="8">
        <f>COUNTIFS('Datos Primaria'!$E:$E,D$2,'Datos Primaria'!$C:$C,"&gt;=01/07/2023",'Datos Primaria'!$C:$C,"&lt;=31/07/2023")</f>
        <v>0</v>
      </c>
      <c r="E9" s="8">
        <f>COUNTIFS('Datos Primaria'!$E:$E,E$2,'Datos Primaria'!$C:$C,"&gt;=01/07/2023",'Datos Primaria'!$C:$C,"&lt;=31/07/2023")</f>
        <v>4</v>
      </c>
      <c r="F9" s="8">
        <f>COUNTIFS('Datos Primaria'!$E:$E,F$2,'Datos Primaria'!$C:$C,"&gt;=01/07/2023",'Datos Primaria'!$C:$C,"&lt;=31/07/2023")</f>
        <v>2</v>
      </c>
      <c r="G9" s="8">
        <f>COUNTIFS('Datos Primaria'!$E:$E,G$2,'Datos Primaria'!$C:$C,"&gt;=01/07/2023",'Datos Primaria'!$C:$C,"&lt;=31/07/2023")</f>
        <v>2</v>
      </c>
      <c r="H9" s="8">
        <f t="shared" si="0"/>
        <v>11</v>
      </c>
      <c r="J9" s="251"/>
      <c r="K9" s="23" t="s">
        <v>62</v>
      </c>
      <c r="L9" s="34">
        <f>SUM(C$3:C9)</f>
        <v>11</v>
      </c>
      <c r="M9" s="34">
        <f>SUM(D$3:D9)</f>
        <v>7</v>
      </c>
      <c r="N9" s="34">
        <f>SUM(E$3:E9)</f>
        <v>13</v>
      </c>
      <c r="O9" s="34">
        <f>SUM(F$3:F9)</f>
        <v>6</v>
      </c>
      <c r="P9" s="34">
        <f>SUM(G$3:G9)</f>
        <v>11</v>
      </c>
      <c r="Q9" s="8">
        <f t="shared" si="1"/>
        <v>48</v>
      </c>
      <c r="S9" s="251"/>
      <c r="T9" s="23" t="s">
        <v>62</v>
      </c>
      <c r="U9" s="34">
        <f>SUM(C$3:C9)</f>
        <v>11</v>
      </c>
      <c r="V9" s="34">
        <f>SUM(D$3:D9)</f>
        <v>7</v>
      </c>
      <c r="W9" s="34">
        <f>SUM(E$3:E9)</f>
        <v>13</v>
      </c>
      <c r="X9" s="34">
        <f>SUM(F$3:F9)</f>
        <v>6</v>
      </c>
      <c r="Y9" s="34">
        <f>SUM(G$3:G9)</f>
        <v>11</v>
      </c>
      <c r="Z9" s="8">
        <f t="shared" si="2"/>
        <v>48</v>
      </c>
    </row>
    <row r="10" spans="1:26">
      <c r="A10" s="251"/>
      <c r="B10" s="23" t="s">
        <v>68</v>
      </c>
      <c r="C10" s="8">
        <f>COUNTIFS('Datos Primaria'!$E:$E,C$2,'Datos Primaria'!$C:$C,"&gt;=01/08/2023",'Datos Primaria'!$C:$C,"&lt;=31/08/2023")</f>
        <v>6</v>
      </c>
      <c r="D10" s="8">
        <f>COUNTIFS('Datos Primaria'!$E:$E,D$2,'Datos Primaria'!$C:$C,"&gt;=01/08/2023",'Datos Primaria'!$C:$C,"&lt;=31/08/2023")</f>
        <v>1</v>
      </c>
      <c r="E10" s="8">
        <f>COUNTIFS('Datos Primaria'!$E:$E,E$2,'Datos Primaria'!$C:$C,"&gt;=01/08/2023",'Datos Primaria'!$C:$C,"&lt;=31/08/2023")</f>
        <v>2</v>
      </c>
      <c r="F10" s="8">
        <f>COUNTIFS('Datos Primaria'!$E:$E,F$2,'Datos Primaria'!$C:$C,"&gt;=01/08/2023",'Datos Primaria'!$C:$C,"&lt;=31/08/2023")</f>
        <v>4</v>
      </c>
      <c r="G10" s="8">
        <f>COUNTIFS('Datos Primaria'!$E:$E,G$2,'Datos Primaria'!$C:$C,"&gt;=01/08/2023",'Datos Primaria'!$C:$C,"&lt;=31/08/2023")</f>
        <v>4</v>
      </c>
      <c r="H10" s="8">
        <f t="shared" si="0"/>
        <v>17</v>
      </c>
      <c r="J10" s="251"/>
      <c r="K10" s="23" t="s">
        <v>68</v>
      </c>
      <c r="L10" s="34">
        <f>SUM(C$3:C10)</f>
        <v>17</v>
      </c>
      <c r="M10" s="34">
        <f>SUM(D$3:D10)</f>
        <v>8</v>
      </c>
      <c r="N10" s="34">
        <f>SUM(E$3:E10)</f>
        <v>15</v>
      </c>
      <c r="O10" s="34">
        <f>SUM(F$3:F10)</f>
        <v>10</v>
      </c>
      <c r="P10" s="34">
        <f>SUM(G$3:G10)</f>
        <v>15</v>
      </c>
      <c r="Q10" s="8">
        <f t="shared" si="1"/>
        <v>65</v>
      </c>
      <c r="S10" s="251"/>
      <c r="T10" s="23" t="s">
        <v>68</v>
      </c>
      <c r="U10" s="34">
        <f>SUM(C$3:C10)</f>
        <v>17</v>
      </c>
      <c r="V10" s="34">
        <f>SUM(D$3:D10)</f>
        <v>8</v>
      </c>
      <c r="W10" s="34">
        <f>SUM(E$3:E10)</f>
        <v>15</v>
      </c>
      <c r="X10" s="34">
        <f>SUM(F$3:F10)</f>
        <v>10</v>
      </c>
      <c r="Y10" s="34">
        <f>SUM(G$3:G10)</f>
        <v>15</v>
      </c>
      <c r="Z10" s="8">
        <f t="shared" si="2"/>
        <v>65</v>
      </c>
    </row>
    <row r="11" spans="1:26">
      <c r="A11" s="251"/>
      <c r="B11" s="23" t="s">
        <v>77</v>
      </c>
      <c r="C11" s="8">
        <f>COUNTIFS('Datos Primaria'!$E:$E,C$2,'Datos Primaria'!$C:$C,"&gt;=01/09/2023",'Datos Primaria'!$C:$C,"&lt;=30/09/2023")</f>
        <v>3</v>
      </c>
      <c r="D11" s="8">
        <f>COUNTIFS('Datos Primaria'!$E:$E,D$2,'Datos Primaria'!$C:$C,"&gt;=01/09/2023",'Datos Primaria'!$C:$C,"&lt;=30/09/2023")</f>
        <v>1</v>
      </c>
      <c r="E11" s="8">
        <f>COUNTIFS('Datos Primaria'!$E:$E,E$2,'Datos Primaria'!$C:$C,"&gt;=01/09/2023",'Datos Primaria'!$C:$C,"&lt;=30/09/2023")</f>
        <v>2</v>
      </c>
      <c r="F11" s="8">
        <f>COUNTIFS('Datos Primaria'!$E:$E,F$2,'Datos Primaria'!$C:$C,"&gt;=01/09/2023",'Datos Primaria'!$C:$C,"&lt;=30/09/2023")</f>
        <v>4</v>
      </c>
      <c r="G11" s="8">
        <f>COUNTIFS('Datos Primaria'!$E:$E,G$2,'Datos Primaria'!$C:$C,"&gt;=01/09/2023",'Datos Primaria'!$C:$C,"&lt;=30/09/2023")</f>
        <v>1</v>
      </c>
      <c r="H11" s="8">
        <f t="shared" si="0"/>
        <v>11</v>
      </c>
      <c r="J11" s="251"/>
      <c r="K11" s="23" t="s">
        <v>77</v>
      </c>
      <c r="L11" s="34">
        <f>SUM(C$3:C11)</f>
        <v>20</v>
      </c>
      <c r="M11" s="34">
        <f>SUM(D$3:D11)</f>
        <v>9</v>
      </c>
      <c r="N11" s="34">
        <f>SUM(E$3:E11)</f>
        <v>17</v>
      </c>
      <c r="O11" s="34">
        <f>SUM(F$3:F11)</f>
        <v>14</v>
      </c>
      <c r="P11" s="34">
        <f>SUM(G$3:G11)</f>
        <v>16</v>
      </c>
      <c r="Q11" s="8">
        <f t="shared" si="1"/>
        <v>76</v>
      </c>
      <c r="S11" s="251"/>
      <c r="T11" s="23" t="s">
        <v>77</v>
      </c>
      <c r="U11" s="34">
        <f>SUM(C$3:C11)</f>
        <v>20</v>
      </c>
      <c r="V11" s="34">
        <f>SUM(D$3:D11)</f>
        <v>9</v>
      </c>
      <c r="W11" s="34">
        <f>SUM(E$3:E11)</f>
        <v>17</v>
      </c>
      <c r="X11" s="34">
        <f>SUM(F$3:F11)</f>
        <v>14</v>
      </c>
      <c r="Y11" s="34">
        <f>SUM(G$3:G11)</f>
        <v>16</v>
      </c>
      <c r="Z11" s="8">
        <f t="shared" si="2"/>
        <v>76</v>
      </c>
    </row>
    <row r="12" spans="1:26">
      <c r="A12" s="251"/>
      <c r="B12" s="23" t="s">
        <v>84</v>
      </c>
      <c r="C12" s="8">
        <f>COUNTIFS('Datos Primaria'!$E:$E,C$2,'Datos Primaria'!$C:$C,"&gt;=01/10/2023",'Datos Primaria'!$C:$C,"&lt;=31/10/2023")</f>
        <v>3</v>
      </c>
      <c r="D12" s="8">
        <f>COUNTIFS('Datos Primaria'!$E:$E,D$2,'Datos Primaria'!$C:$C,"&gt;=01/10/2023",'Datos Primaria'!$C:$C,"&lt;=31/10/2023")</f>
        <v>1</v>
      </c>
      <c r="E12" s="8">
        <f>COUNTIFS('Datos Primaria'!$E:$E,E$2,'Datos Primaria'!$C:$C,"&gt;=01/10/2023",'Datos Primaria'!$C:$C,"&lt;=31/10/2023")</f>
        <v>0</v>
      </c>
      <c r="F12" s="8">
        <f>COUNTIFS('Datos Primaria'!$E:$E,F$2,'Datos Primaria'!$C:$C,"&gt;=01/10/2023",'Datos Primaria'!$C:$C,"&lt;=31/10/2023")</f>
        <v>2</v>
      </c>
      <c r="G12" s="8">
        <f>COUNTIFS('Datos Primaria'!$E:$E,G$2,'Datos Primaria'!$C:$C,"&gt;=01/10/2023",'Datos Primaria'!$C:$C,"&lt;=31/10/2023")</f>
        <v>2</v>
      </c>
      <c r="H12" s="8">
        <f t="shared" si="0"/>
        <v>8</v>
      </c>
      <c r="J12" s="251"/>
      <c r="K12" s="23" t="s">
        <v>84</v>
      </c>
      <c r="L12" s="34">
        <f>SUM(C$3:C12)</f>
        <v>23</v>
      </c>
      <c r="M12" s="34">
        <f>SUM(D$3:D12)</f>
        <v>10</v>
      </c>
      <c r="N12" s="34">
        <f>SUM(E$3:E12)</f>
        <v>17</v>
      </c>
      <c r="O12" s="34">
        <f>SUM(F$3:F12)</f>
        <v>16</v>
      </c>
      <c r="P12" s="34">
        <f>SUM(G$3:G12)</f>
        <v>18</v>
      </c>
      <c r="Q12" s="8">
        <f t="shared" si="1"/>
        <v>84</v>
      </c>
      <c r="S12" s="251"/>
      <c r="T12" s="23" t="s">
        <v>84</v>
      </c>
      <c r="U12" s="34">
        <f>SUM(C$3:C12)</f>
        <v>23</v>
      </c>
      <c r="V12" s="34">
        <f>SUM(D$3:D12)</f>
        <v>10</v>
      </c>
      <c r="W12" s="34">
        <f>SUM(E$3:E12)</f>
        <v>17</v>
      </c>
      <c r="X12" s="34">
        <f>SUM(F$3:F12)</f>
        <v>16</v>
      </c>
      <c r="Y12" s="34">
        <f>SUM(G$3:G12)</f>
        <v>18</v>
      </c>
      <c r="Z12" s="8">
        <f t="shared" si="2"/>
        <v>84</v>
      </c>
    </row>
    <row r="13" spans="1:26">
      <c r="A13" s="251"/>
      <c r="B13" s="23" t="s">
        <v>87</v>
      </c>
      <c r="C13" s="8">
        <f>COUNTIFS('Datos Primaria'!$E:$E,C$2,'Datos Primaria'!$C:$C,"&gt;=01/11/2023",'Datos Primaria'!$C:$C,"&lt;=30/11/2023")</f>
        <v>4</v>
      </c>
      <c r="D13" s="8">
        <f>COUNTIFS('Datos Primaria'!$E:$E,D$2,'Datos Primaria'!$C:$C,"&gt;=01/11/2023",'Datos Primaria'!$C:$C,"&lt;=30/11/2023")</f>
        <v>3</v>
      </c>
      <c r="E13" s="8">
        <f>COUNTIFS('Datos Primaria'!$E:$E,E$2,'Datos Primaria'!$C:$C,"&gt;=01/11/2023",'Datos Primaria'!$C:$C,"&lt;=30/11/2023")</f>
        <v>4</v>
      </c>
      <c r="F13" s="8">
        <f>COUNTIFS('Datos Primaria'!$E:$E,F$2,'Datos Primaria'!$C:$C,"&gt;=01/11/2023",'Datos Primaria'!$C:$C,"&lt;=30/11/2023")</f>
        <v>0</v>
      </c>
      <c r="G13" s="8">
        <f>COUNTIFS('Datos Primaria'!$E:$E,G$2,'Datos Primaria'!$C:$C,"&gt;=01/11/2023",'Datos Primaria'!$C:$C,"&lt;=30/11/2023")</f>
        <v>2</v>
      </c>
      <c r="H13" s="8">
        <f t="shared" si="0"/>
        <v>13</v>
      </c>
      <c r="J13" s="251"/>
      <c r="K13" s="23" t="s">
        <v>87</v>
      </c>
      <c r="L13" s="34">
        <f>SUM(C$3:C13)</f>
        <v>27</v>
      </c>
      <c r="M13" s="34">
        <f>SUM(D$3:D13)</f>
        <v>13</v>
      </c>
      <c r="N13" s="34">
        <f>SUM(E$3:E13)</f>
        <v>21</v>
      </c>
      <c r="O13" s="34">
        <f>SUM(F$3:F13)</f>
        <v>16</v>
      </c>
      <c r="P13" s="34">
        <f>SUM(G$3:G13)</f>
        <v>20</v>
      </c>
      <c r="Q13" s="8">
        <f t="shared" si="1"/>
        <v>97</v>
      </c>
      <c r="S13" s="251"/>
      <c r="T13" s="23" t="s">
        <v>87</v>
      </c>
      <c r="U13" s="34">
        <f>SUM(C$3:C13)</f>
        <v>27</v>
      </c>
      <c r="V13" s="34">
        <f>SUM(D$3:D13)</f>
        <v>13</v>
      </c>
      <c r="W13" s="34">
        <f>SUM(E$3:E13)</f>
        <v>21</v>
      </c>
      <c r="X13" s="34">
        <f>SUM(F$3:F13)</f>
        <v>16</v>
      </c>
      <c r="Y13" s="34">
        <f>SUM(G$3:G13)</f>
        <v>20</v>
      </c>
      <c r="Z13" s="8">
        <f t="shared" si="2"/>
        <v>97</v>
      </c>
    </row>
    <row r="14" spans="1:26">
      <c r="A14" s="251"/>
      <c r="B14" s="23" t="s">
        <v>173</v>
      </c>
      <c r="C14" s="8">
        <f>COUNTIFS('Datos Primaria'!$E:$E,C$2,'Datos Primaria'!$C:$C,"&gt;=01/12/2023",'Datos Primaria'!$C:$C,"&lt;=31/12/2023")</f>
        <v>0</v>
      </c>
      <c r="D14" s="8">
        <f>COUNTIFS('Datos Primaria'!$E:$E,D$2,'Datos Primaria'!$C:$C,"&gt;=01/12/2023",'Datos Primaria'!$C:$C,"&lt;=31/12/2023")</f>
        <v>1</v>
      </c>
      <c r="E14" s="8">
        <f>COUNTIFS('Datos Primaria'!$E:$E,E$2,'Datos Primaria'!$C:$C,"&gt;=01/12/2023",'Datos Primaria'!$C:$C,"&lt;=31/12/2023")</f>
        <v>0</v>
      </c>
      <c r="F14" s="8">
        <f>COUNTIFS('Datos Primaria'!$E:$E,F$2,'Datos Primaria'!$C:$C,"&gt;=01/12/2023",'Datos Primaria'!$C:$C,"&lt;=31/12/2023")</f>
        <v>0</v>
      </c>
      <c r="G14" s="8">
        <f>COUNTIFS('Datos Primaria'!$E:$E,G$2,'Datos Primaria'!$C:$C,"&gt;=01/12/2023",'Datos Primaria'!$C:$C,"&lt;=31/12/2023")</f>
        <v>1</v>
      </c>
      <c r="H14" s="8">
        <f t="shared" si="0"/>
        <v>2</v>
      </c>
      <c r="J14" s="251"/>
      <c r="K14" s="23" t="s">
        <v>173</v>
      </c>
      <c r="L14" s="34">
        <f>SUM(C$3:C14)</f>
        <v>27</v>
      </c>
      <c r="M14" s="34">
        <f>SUM(D$3:D14)</f>
        <v>14</v>
      </c>
      <c r="N14" s="34">
        <f>SUM(E$3:E14)</f>
        <v>21</v>
      </c>
      <c r="O14" s="34">
        <f>SUM(F$3:F14)</f>
        <v>16</v>
      </c>
      <c r="P14" s="34">
        <f>SUM(G$3:G14)</f>
        <v>21</v>
      </c>
      <c r="Q14" s="8">
        <f t="shared" si="1"/>
        <v>99</v>
      </c>
      <c r="S14" s="251"/>
      <c r="T14" s="23" t="s">
        <v>173</v>
      </c>
      <c r="U14" s="34">
        <f>SUM(C$3:C14)</f>
        <v>27</v>
      </c>
      <c r="V14" s="34">
        <f>SUM(D$3:D14)</f>
        <v>14</v>
      </c>
      <c r="W14" s="34">
        <f>SUM(E$3:E14)</f>
        <v>21</v>
      </c>
      <c r="X14" s="34">
        <f>SUM(F$3:F14)</f>
        <v>16</v>
      </c>
      <c r="Y14" s="34">
        <f>SUM(G$3:G14)</f>
        <v>21</v>
      </c>
      <c r="Z14" s="8">
        <f t="shared" si="2"/>
        <v>99</v>
      </c>
    </row>
    <row r="15" spans="1:26" ht="14.45" customHeight="1">
      <c r="A15" s="251">
        <v>2024</v>
      </c>
      <c r="B15" s="23" t="s">
        <v>13</v>
      </c>
      <c r="C15" s="8">
        <f>COUNTIFS('Datos Primaria'!$E:$E,C$2,'Datos Primaria'!$C:$C,"&gt;=01/01/2024",'Datos Primaria'!$C:$C,"&lt;=31/01/2024")</f>
        <v>2</v>
      </c>
      <c r="D15" s="8">
        <f>COUNTIFS('Datos Primaria'!$E:$E,D$2,'Datos Primaria'!$C:$C,"&gt;=01/01/2024",'Datos Primaria'!$C:$C,"&lt;=31/01/2024")</f>
        <v>2</v>
      </c>
      <c r="E15" s="8">
        <f>COUNTIFS('Datos Primaria'!$E:$E,E$2,'Datos Primaria'!$C:$C,"&gt;=01/01/2024",'Datos Primaria'!$C:$C,"&lt;=31/01/2024")</f>
        <v>1</v>
      </c>
      <c r="F15" s="8">
        <f>COUNTIFS('Datos Primaria'!$E:$E,F$2,'Datos Primaria'!$C:$C,"&gt;=01/01/2024",'Datos Primaria'!$C:$C,"&lt;=31/01/2024")</f>
        <v>3</v>
      </c>
      <c r="G15" s="8">
        <f>COUNTIFS('Datos Primaria'!$E:$E,G$2,'Datos Primaria'!$C:$C,"&gt;=01/01/2024",'Datos Primaria'!$C:$C,"&lt;=31/01/2024")</f>
        <v>0</v>
      </c>
      <c r="H15" s="8">
        <f t="shared" si="0"/>
        <v>8</v>
      </c>
      <c r="J15" s="251">
        <f>A15</f>
        <v>2024</v>
      </c>
      <c r="K15" s="23" t="s">
        <v>13</v>
      </c>
      <c r="L15" s="34">
        <f>SUM(C$15:C15)</f>
        <v>2</v>
      </c>
      <c r="M15" s="34">
        <f>SUM(D$15:D15)</f>
        <v>2</v>
      </c>
      <c r="N15" s="34">
        <f>SUM(E$15:E15)</f>
        <v>1</v>
      </c>
      <c r="O15" s="34">
        <f>SUM(F$15:F15)</f>
        <v>3</v>
      </c>
      <c r="P15" s="34">
        <f>SUM(G$15:G15)</f>
        <v>0</v>
      </c>
      <c r="Q15" s="8">
        <f t="shared" si="1"/>
        <v>8</v>
      </c>
      <c r="S15" s="251">
        <f>A15</f>
        <v>2024</v>
      </c>
      <c r="T15" s="23" t="s">
        <v>13</v>
      </c>
      <c r="U15" s="34">
        <f>SUM(C$3:C15)</f>
        <v>29</v>
      </c>
      <c r="V15" s="34">
        <f>SUM(D$3:D15)</f>
        <v>16</v>
      </c>
      <c r="W15" s="34">
        <f>SUM(E$3:E15)</f>
        <v>22</v>
      </c>
      <c r="X15" s="34">
        <f>SUM(F$3:F15)</f>
        <v>19</v>
      </c>
      <c r="Y15" s="34">
        <f>SUM(G$3:G15)</f>
        <v>21</v>
      </c>
      <c r="Z15" s="8">
        <f t="shared" si="2"/>
        <v>107</v>
      </c>
    </row>
    <row r="16" spans="1:26">
      <c r="A16" s="251"/>
      <c r="B16" s="23" t="s">
        <v>24</v>
      </c>
      <c r="C16" s="8">
        <f>COUNTIFS('Datos Primaria'!$E:$E,C$2,'Datos Primaria'!$C:$C,"&gt;=01/02/2024",'Datos Primaria'!$C:$C,"&lt;=29/02/2024")</f>
        <v>1</v>
      </c>
      <c r="D16" s="8">
        <f>COUNTIFS('Datos Primaria'!$E:$E,D$2,'Datos Primaria'!$C:$C,"&gt;=01/02/2024",'Datos Primaria'!$C:$C,"&lt;=29/02/2024")</f>
        <v>0</v>
      </c>
      <c r="E16" s="8">
        <f>COUNTIFS('Datos Primaria'!$E:$E,E$2,'Datos Primaria'!$C:$C,"&gt;=01/02/2024",'Datos Primaria'!$C:$C,"&lt;=29/02/2024")</f>
        <v>0</v>
      </c>
      <c r="F16" s="8">
        <f>COUNTIFS('Datos Primaria'!$E:$E,F$2,'Datos Primaria'!$C:$C,"&gt;=01/02/2024",'Datos Primaria'!$C:$C,"&lt;=29/02/2024")</f>
        <v>1</v>
      </c>
      <c r="G16" s="8">
        <f>COUNTIFS('Datos Primaria'!$E:$E,G$2,'Datos Primaria'!$C:$C,"&gt;=01/02/2024",'Datos Primaria'!$C:$C,"&lt;=29/02/2024")</f>
        <v>0</v>
      </c>
      <c r="H16" s="8">
        <f t="shared" si="0"/>
        <v>2</v>
      </c>
      <c r="J16" s="251"/>
      <c r="K16" s="23" t="s">
        <v>24</v>
      </c>
      <c r="L16" s="34">
        <f>SUM(C$15:C16)</f>
        <v>3</v>
      </c>
      <c r="M16" s="34">
        <f>SUM(D$15:D16)</f>
        <v>2</v>
      </c>
      <c r="N16" s="34">
        <f>SUM(E$15:E16)</f>
        <v>1</v>
      </c>
      <c r="O16" s="34">
        <f>SUM(F$15:F16)</f>
        <v>4</v>
      </c>
      <c r="P16" s="34">
        <f>SUM(G$15:G16)</f>
        <v>0</v>
      </c>
      <c r="Q16" s="8">
        <f t="shared" si="1"/>
        <v>10</v>
      </c>
      <c r="S16" s="251"/>
      <c r="T16" s="23" t="s">
        <v>24</v>
      </c>
      <c r="U16" s="34">
        <f>SUM(C$3:C16)</f>
        <v>30</v>
      </c>
      <c r="V16" s="34">
        <f>SUM(D$3:D16)</f>
        <v>16</v>
      </c>
      <c r="W16" s="34">
        <f>SUM(E$3:E16)</f>
        <v>22</v>
      </c>
      <c r="X16" s="34">
        <f>SUM(F$3:F16)</f>
        <v>20</v>
      </c>
      <c r="Y16" s="34">
        <f>SUM(G$3:G16)</f>
        <v>21</v>
      </c>
      <c r="Z16" s="8">
        <f t="shared" si="2"/>
        <v>109</v>
      </c>
    </row>
    <row r="17" spans="1:26">
      <c r="A17" s="251"/>
      <c r="B17" s="23" t="s">
        <v>34</v>
      </c>
      <c r="C17" s="8">
        <f>COUNTIFS('Datos Primaria'!$E:$E,C$2,'Datos Primaria'!$C:$C,"&gt;=01/03/2024",'Datos Primaria'!$C:$C,"&lt;=31/03/2024")</f>
        <v>0</v>
      </c>
      <c r="D17" s="8">
        <f>COUNTIFS('Datos Primaria'!$E:$E,D$2,'Datos Primaria'!$C:$C,"&gt;=01/03/2024",'Datos Primaria'!$C:$C,"&lt;=31/03/2024")</f>
        <v>1</v>
      </c>
      <c r="E17" s="8">
        <f>COUNTIFS('Datos Primaria'!$E:$E,E$2,'Datos Primaria'!$C:$C,"&gt;=01/03/2024",'Datos Primaria'!$C:$C,"&lt;=31/03/2024")</f>
        <v>0</v>
      </c>
      <c r="F17" s="8">
        <f>COUNTIFS('Datos Primaria'!$E:$E,F$2,'Datos Primaria'!$C:$C,"&gt;=01/03/2024",'Datos Primaria'!$C:$C,"&lt;=31/03/2024")</f>
        <v>2</v>
      </c>
      <c r="G17" s="8">
        <f>COUNTIFS('Datos Primaria'!$E:$E,G$2,'Datos Primaria'!$C:$C,"&gt;=01/03/2024",'Datos Primaria'!$C:$C,"&lt;=31/03/2024")</f>
        <v>0</v>
      </c>
      <c r="H17" s="8">
        <f t="shared" si="0"/>
        <v>3</v>
      </c>
      <c r="J17" s="251"/>
      <c r="K17" s="23" t="s">
        <v>34</v>
      </c>
      <c r="L17" s="34">
        <f>SUM(C$15:C17)</f>
        <v>3</v>
      </c>
      <c r="M17" s="34">
        <f>SUM(D$15:D17)</f>
        <v>3</v>
      </c>
      <c r="N17" s="34">
        <f>SUM(E$15:E17)</f>
        <v>1</v>
      </c>
      <c r="O17" s="34">
        <f>SUM(F$15:F17)</f>
        <v>6</v>
      </c>
      <c r="P17" s="34">
        <f>SUM(G$15:G17)</f>
        <v>0</v>
      </c>
      <c r="Q17" s="8">
        <f t="shared" si="1"/>
        <v>13</v>
      </c>
      <c r="S17" s="251"/>
      <c r="T17" s="23" t="s">
        <v>34</v>
      </c>
      <c r="U17" s="34">
        <f>SUM(C$3:C17)</f>
        <v>30</v>
      </c>
      <c r="V17" s="34">
        <f>SUM(D$3:D17)</f>
        <v>17</v>
      </c>
      <c r="W17" s="34">
        <f>SUM(E$3:E17)</f>
        <v>22</v>
      </c>
      <c r="X17" s="34">
        <f>SUM(F$3:F17)</f>
        <v>22</v>
      </c>
      <c r="Y17" s="34">
        <f>SUM(G$3:G17)</f>
        <v>21</v>
      </c>
      <c r="Z17" s="8">
        <f t="shared" si="2"/>
        <v>112</v>
      </c>
    </row>
    <row r="18" spans="1:26">
      <c r="A18" s="251"/>
      <c r="B18" s="23" t="s">
        <v>38</v>
      </c>
      <c r="C18" s="8">
        <f>COUNTIFS('Datos Primaria'!$E:$E,C$2,'Datos Primaria'!$C:$C,"&gt;=01/04/2024",'Datos Primaria'!$C:$C,"&lt;=30/04/2024")</f>
        <v>0</v>
      </c>
      <c r="D18" s="8">
        <f>COUNTIFS('Datos Primaria'!$E:$E,D$2,'Datos Primaria'!$C:$C,"&gt;=01/04/2024",'Datos Primaria'!$C:$C,"&lt;=30/04/2024")</f>
        <v>3</v>
      </c>
      <c r="E18" s="8">
        <f>COUNTIFS('Datos Primaria'!$E:$E,E$2,'Datos Primaria'!$C:$C,"&gt;=01/04/2024",'Datos Primaria'!$C:$C,"&lt;=30/04/2024")</f>
        <v>2</v>
      </c>
      <c r="F18" s="8">
        <f>COUNTIFS('Datos Primaria'!$E:$E,F$2,'Datos Primaria'!$C:$C,"&gt;=01/04/2024",'Datos Primaria'!$C:$C,"&lt;=30/04/2024")</f>
        <v>0</v>
      </c>
      <c r="G18" s="8">
        <f>COUNTIFS('Datos Primaria'!$E:$E,G$2,'Datos Primaria'!$C:$C,"&gt;=01/04/2024",'Datos Primaria'!$C:$C,"&lt;=30/04/2024")</f>
        <v>1</v>
      </c>
      <c r="H18" s="8">
        <f t="shared" si="0"/>
        <v>6</v>
      </c>
      <c r="J18" s="251"/>
      <c r="K18" s="23" t="s">
        <v>38</v>
      </c>
      <c r="L18" s="34">
        <f>SUM(C$15:C18)</f>
        <v>3</v>
      </c>
      <c r="M18" s="34">
        <f>SUM(D$15:D18)</f>
        <v>6</v>
      </c>
      <c r="N18" s="34">
        <f>SUM(E$15:E18)</f>
        <v>3</v>
      </c>
      <c r="O18" s="34">
        <f>SUM(F$15:F18)</f>
        <v>6</v>
      </c>
      <c r="P18" s="34">
        <f>SUM(G$15:G18)</f>
        <v>1</v>
      </c>
      <c r="Q18" s="8">
        <f t="shared" si="1"/>
        <v>19</v>
      </c>
      <c r="S18" s="251"/>
      <c r="T18" s="23" t="s">
        <v>38</v>
      </c>
      <c r="U18" s="34">
        <f>SUM(C$3:C18)</f>
        <v>30</v>
      </c>
      <c r="V18" s="34">
        <f>SUM(D$3:D18)</f>
        <v>20</v>
      </c>
      <c r="W18" s="34">
        <f>SUM(E$3:E18)</f>
        <v>24</v>
      </c>
      <c r="X18" s="34">
        <f>SUM(F$3:F18)</f>
        <v>22</v>
      </c>
      <c r="Y18" s="34">
        <f>SUM(G$3:G18)</f>
        <v>22</v>
      </c>
      <c r="Z18" s="8">
        <f t="shared" si="2"/>
        <v>118</v>
      </c>
    </row>
    <row r="19" spans="1:26">
      <c r="A19" s="251"/>
      <c r="B19" s="23" t="s">
        <v>47</v>
      </c>
      <c r="C19" s="8">
        <f>COUNTIFS('Datos Primaria'!$E:$E,C$2,'Datos Primaria'!$C:$C,"&gt;=01/05/2024",'Datos Primaria'!$C:$C,"&lt;=31/05/2024")</f>
        <v>0</v>
      </c>
      <c r="D19" s="8">
        <f>COUNTIFS('Datos Primaria'!$E:$E,D$2,'Datos Primaria'!$C:$C,"&gt;=01/05/2024",'Datos Primaria'!$C:$C,"&lt;=31/05/2024")</f>
        <v>3</v>
      </c>
      <c r="E19" s="8">
        <f>COUNTIFS('Datos Primaria'!$E:$E,E$2,'Datos Primaria'!$C:$C,"&gt;=01/05/2024",'Datos Primaria'!$C:$C,"&lt;=31/05/2024")</f>
        <v>2</v>
      </c>
      <c r="F19" s="8">
        <f>COUNTIFS('Datos Primaria'!$E:$E,F$2,'Datos Primaria'!$C:$C,"&gt;=01/05/2024",'Datos Primaria'!$C:$C,"&lt;=31/05/2024")</f>
        <v>1</v>
      </c>
      <c r="G19" s="8">
        <f>COUNTIFS('Datos Primaria'!$E:$E,G$2,'Datos Primaria'!$C:$C,"&gt;=01/05/2024",'Datos Primaria'!$C:$C,"&lt;=31/05/2024")</f>
        <v>1</v>
      </c>
      <c r="H19" s="8">
        <f t="shared" si="0"/>
        <v>7</v>
      </c>
      <c r="J19" s="251"/>
      <c r="K19" s="23" t="s">
        <v>47</v>
      </c>
      <c r="L19" s="34">
        <f>SUM(C$15:C19)</f>
        <v>3</v>
      </c>
      <c r="M19" s="34">
        <f>SUM(D$15:D19)</f>
        <v>9</v>
      </c>
      <c r="N19" s="34">
        <f>SUM(E$15:E19)</f>
        <v>5</v>
      </c>
      <c r="O19" s="34">
        <f>SUM(F$15:F19)</f>
        <v>7</v>
      </c>
      <c r="P19" s="34">
        <f>SUM(G$15:G19)</f>
        <v>2</v>
      </c>
      <c r="Q19" s="8">
        <f t="shared" si="1"/>
        <v>26</v>
      </c>
      <c r="S19" s="251"/>
      <c r="T19" s="23" t="s">
        <v>47</v>
      </c>
      <c r="U19" s="34">
        <f>SUM(C$3:C19)</f>
        <v>30</v>
      </c>
      <c r="V19" s="34">
        <f>SUM(D$3:D19)</f>
        <v>23</v>
      </c>
      <c r="W19" s="34">
        <f>SUM(E$3:E19)</f>
        <v>26</v>
      </c>
      <c r="X19" s="34">
        <f>SUM(F$3:F19)</f>
        <v>23</v>
      </c>
      <c r="Y19" s="34">
        <f>SUM(G$3:G19)</f>
        <v>23</v>
      </c>
      <c r="Z19" s="8">
        <f t="shared" si="2"/>
        <v>125</v>
      </c>
    </row>
    <row r="20" spans="1:26">
      <c r="A20" s="251"/>
      <c r="B20" s="23" t="s">
        <v>57</v>
      </c>
      <c r="C20" s="8">
        <f>COUNTIFS('Datos Primaria'!$E:$E,C$2,'Datos Primaria'!$C:$C,"&gt;=01/06/2024",'Datos Primaria'!$C:$C,"&lt;=30/06/2024")</f>
        <v>1</v>
      </c>
      <c r="D20" s="8">
        <f>COUNTIFS('Datos Primaria'!$E:$E,D$2,'Datos Primaria'!$C:$C,"&gt;=01/06/2024",'Datos Primaria'!$C:$C,"&lt;=30/06/2024")</f>
        <v>0</v>
      </c>
      <c r="E20" s="8">
        <f>COUNTIFS('Datos Primaria'!$E:$E,E$2,'Datos Primaria'!$C:$C,"&gt;=01/06/2024",'Datos Primaria'!$C:$C,"&lt;=30/06/2024")</f>
        <v>2</v>
      </c>
      <c r="F20" s="8">
        <f>COUNTIFS('Datos Primaria'!$E:$E,F$2,'Datos Primaria'!$C:$C,"&gt;=01/06/2024",'Datos Primaria'!$C:$C,"&lt;=30/06/2024")</f>
        <v>2</v>
      </c>
      <c r="G20" s="8">
        <f>COUNTIFS('Datos Primaria'!$E:$E,G$2,'Datos Primaria'!$C:$C,"&gt;=01/06/2024",'Datos Primaria'!$C:$C,"&lt;=30/06/2024")</f>
        <v>0</v>
      </c>
      <c r="H20" s="8">
        <f t="shared" si="0"/>
        <v>5</v>
      </c>
      <c r="J20" s="251"/>
      <c r="K20" s="23" t="s">
        <v>57</v>
      </c>
      <c r="L20" s="34">
        <f>SUM(C$15:C20)</f>
        <v>4</v>
      </c>
      <c r="M20" s="34">
        <f>SUM(D$15:D20)</f>
        <v>9</v>
      </c>
      <c r="N20" s="34">
        <f>SUM(E$15:E20)</f>
        <v>7</v>
      </c>
      <c r="O20" s="34">
        <f>SUM(F$15:F20)</f>
        <v>9</v>
      </c>
      <c r="P20" s="34">
        <f>SUM(G$15:G20)</f>
        <v>2</v>
      </c>
      <c r="Q20" s="8">
        <f t="shared" si="1"/>
        <v>31</v>
      </c>
      <c r="S20" s="251"/>
      <c r="T20" s="23" t="s">
        <v>57</v>
      </c>
      <c r="U20" s="34">
        <f>SUM(C$3:C20)</f>
        <v>31</v>
      </c>
      <c r="V20" s="34">
        <f>SUM(D$3:D20)</f>
        <v>23</v>
      </c>
      <c r="W20" s="34">
        <f>SUM(E$3:E20)</f>
        <v>28</v>
      </c>
      <c r="X20" s="34">
        <f>SUM(F$3:F20)</f>
        <v>25</v>
      </c>
      <c r="Y20" s="34">
        <f>SUM(G$3:G20)</f>
        <v>23</v>
      </c>
      <c r="Z20" s="8">
        <f t="shared" si="2"/>
        <v>130</v>
      </c>
    </row>
    <row r="21" spans="1:26">
      <c r="A21" s="251"/>
      <c r="B21" s="23" t="s">
        <v>62</v>
      </c>
      <c r="C21" s="8">
        <f>COUNTIFS('Datos Primaria'!$E:$E,C$2,'Datos Primaria'!$C:$C,"&gt;=01/07/2024",'Datos Primaria'!$C:$C,"&lt;=31/07/2024")</f>
        <v>2</v>
      </c>
      <c r="D21" s="8">
        <f>COUNTIFS('Datos Primaria'!$E:$E,D$2,'Datos Primaria'!$C:$C,"&gt;=01/07/2024",'Datos Primaria'!$C:$C,"&lt;=31/07/2024")</f>
        <v>1</v>
      </c>
      <c r="E21" s="8">
        <f>COUNTIFS('Datos Primaria'!$E:$E,E$2,'Datos Primaria'!$C:$C,"&gt;=01/07/2024",'Datos Primaria'!$C:$C,"&lt;=31/07/2024")</f>
        <v>1</v>
      </c>
      <c r="F21" s="8">
        <f>COUNTIFS('Datos Primaria'!$E:$E,F$2,'Datos Primaria'!$C:$C,"&gt;=01/07/2024",'Datos Primaria'!$C:$C,"&lt;=31/07/2024")</f>
        <v>2</v>
      </c>
      <c r="G21" s="8">
        <f>COUNTIFS('Datos Primaria'!$E:$E,G$2,'Datos Primaria'!$C:$C,"&gt;=01/07/2024",'Datos Primaria'!$C:$C,"&lt;=31/07/2024")</f>
        <v>2</v>
      </c>
      <c r="H21" s="8">
        <f t="shared" si="0"/>
        <v>8</v>
      </c>
      <c r="J21" s="251"/>
      <c r="K21" s="23" t="s">
        <v>62</v>
      </c>
      <c r="L21" s="34">
        <f>SUM(C$15:C21)</f>
        <v>6</v>
      </c>
      <c r="M21" s="34">
        <f>SUM(D$15:D21)</f>
        <v>10</v>
      </c>
      <c r="N21" s="34">
        <f>SUM(E$15:E21)</f>
        <v>8</v>
      </c>
      <c r="O21" s="34">
        <f>SUM(F$15:F21)</f>
        <v>11</v>
      </c>
      <c r="P21" s="34">
        <f>SUM(G$15:G21)</f>
        <v>4</v>
      </c>
      <c r="Q21" s="8">
        <f t="shared" si="1"/>
        <v>39</v>
      </c>
      <c r="S21" s="251"/>
      <c r="T21" s="23" t="s">
        <v>62</v>
      </c>
      <c r="U21" s="34">
        <f>SUM(C$3:C21)</f>
        <v>33</v>
      </c>
      <c r="V21" s="34">
        <f>SUM(D$3:D21)</f>
        <v>24</v>
      </c>
      <c r="W21" s="34">
        <f>SUM(E$3:E21)</f>
        <v>29</v>
      </c>
      <c r="X21" s="34">
        <f>SUM(F$3:F21)</f>
        <v>27</v>
      </c>
      <c r="Y21" s="34">
        <f>SUM(G$3:G21)</f>
        <v>25</v>
      </c>
      <c r="Z21" s="8">
        <f t="shared" si="2"/>
        <v>138</v>
      </c>
    </row>
    <row r="22" spans="1:26">
      <c r="A22" s="251"/>
      <c r="B22" s="23" t="s">
        <v>68</v>
      </c>
      <c r="C22" s="8">
        <f>COUNTIFS('Datos Primaria'!$E:$E,C$2,'Datos Primaria'!$C:$C,"&gt;=01/08/2024",'Datos Primaria'!$C:$C,"&lt;=31/08/2024")</f>
        <v>3</v>
      </c>
      <c r="D22" s="8">
        <f>COUNTIFS('Datos Primaria'!$E:$E,D$2,'Datos Primaria'!$C:$C,"&gt;=01/08/2024",'Datos Primaria'!$C:$C,"&lt;=31/08/2024")</f>
        <v>0</v>
      </c>
      <c r="E22" s="8">
        <f>COUNTIFS('Datos Primaria'!$E:$E,E$2,'Datos Primaria'!$C:$C,"&gt;=01/08/2024",'Datos Primaria'!$C:$C,"&lt;=31/08/2024")</f>
        <v>1</v>
      </c>
      <c r="F22" s="8">
        <f>COUNTIFS('Datos Primaria'!$E:$E,F$2,'Datos Primaria'!$C:$C,"&gt;=01/08/2024",'Datos Primaria'!$C:$C,"&lt;=31/08/2024")</f>
        <v>1</v>
      </c>
      <c r="G22" s="8">
        <f>COUNTIFS('Datos Primaria'!$E:$E,G$2,'Datos Primaria'!$C:$C,"&gt;=01/08/2024",'Datos Primaria'!$C:$C,"&lt;=31/08/2024")</f>
        <v>4</v>
      </c>
      <c r="H22" s="8">
        <f t="shared" si="0"/>
        <v>9</v>
      </c>
      <c r="J22" s="251"/>
      <c r="K22" s="23" t="s">
        <v>68</v>
      </c>
      <c r="L22" s="34">
        <f>SUM(C$15:C22)</f>
        <v>9</v>
      </c>
      <c r="M22" s="34">
        <f>SUM(D$15:D22)</f>
        <v>10</v>
      </c>
      <c r="N22" s="34">
        <f>SUM(E$15:E22)</f>
        <v>9</v>
      </c>
      <c r="O22" s="34">
        <f>SUM(F$15:F22)</f>
        <v>12</v>
      </c>
      <c r="P22" s="34">
        <f>SUM(G$15:G22)</f>
        <v>8</v>
      </c>
      <c r="Q22" s="8">
        <f t="shared" si="1"/>
        <v>48</v>
      </c>
      <c r="S22" s="251"/>
      <c r="T22" s="23" t="s">
        <v>68</v>
      </c>
      <c r="U22" s="34">
        <f>SUM(C$3:C22)</f>
        <v>36</v>
      </c>
      <c r="V22" s="34">
        <f>SUM(D$3:D22)</f>
        <v>24</v>
      </c>
      <c r="W22" s="34">
        <f>SUM(E$3:E22)</f>
        <v>30</v>
      </c>
      <c r="X22" s="34">
        <f>SUM(F$3:F22)</f>
        <v>28</v>
      </c>
      <c r="Y22" s="34">
        <f>SUM(G$3:G22)</f>
        <v>29</v>
      </c>
      <c r="Z22" s="8">
        <f t="shared" si="2"/>
        <v>147</v>
      </c>
    </row>
    <row r="23" spans="1:26">
      <c r="A23" s="251"/>
      <c r="B23" s="23" t="s">
        <v>77</v>
      </c>
      <c r="C23" s="8">
        <f>COUNTIFS('Datos Primaria'!$E:$E,C$2,'Datos Primaria'!$C:$C,"&gt;=01/09/2024",'Datos Primaria'!$C:$C,"&lt;=30/09/2024")</f>
        <v>0</v>
      </c>
      <c r="D23" s="8">
        <f>COUNTIFS('Datos Primaria'!$E:$E,D$2,'Datos Primaria'!$C:$C,"&gt;=01/09/2024",'Datos Primaria'!$C:$C,"&lt;=30/09/2024")</f>
        <v>0</v>
      </c>
      <c r="E23" s="8">
        <f>COUNTIFS('Datos Primaria'!$E:$E,E$2,'Datos Primaria'!$C:$C,"&gt;=01/09/2024",'Datos Primaria'!$C:$C,"&lt;=30/09/2024")</f>
        <v>1</v>
      </c>
      <c r="F23" s="8">
        <f>COUNTIFS('Datos Primaria'!$E:$E,F$2,'Datos Primaria'!$C:$C,"&gt;=01/09/2024",'Datos Primaria'!$C:$C,"&lt;=30/09/2024")</f>
        <v>1</v>
      </c>
      <c r="G23" s="8">
        <f>COUNTIFS('Datos Primaria'!$E:$E,G$2,'Datos Primaria'!$C:$C,"&gt;=01/09/2024",'Datos Primaria'!$C:$C,"&lt;=30/09/2024")</f>
        <v>2</v>
      </c>
      <c r="H23" s="8">
        <f t="shared" si="0"/>
        <v>4</v>
      </c>
      <c r="J23" s="251"/>
      <c r="K23" s="23" t="s">
        <v>77</v>
      </c>
      <c r="L23" s="34">
        <f>SUM(C$15:C23)</f>
        <v>9</v>
      </c>
      <c r="M23" s="34">
        <f>SUM(D$15:D23)</f>
        <v>10</v>
      </c>
      <c r="N23" s="34">
        <f>SUM(E$15:E23)</f>
        <v>10</v>
      </c>
      <c r="O23" s="34">
        <f>SUM(F$15:F23)</f>
        <v>13</v>
      </c>
      <c r="P23" s="34">
        <f>SUM(G$15:G23)</f>
        <v>10</v>
      </c>
      <c r="Q23" s="8">
        <f t="shared" si="1"/>
        <v>52</v>
      </c>
      <c r="S23" s="251"/>
      <c r="T23" s="23" t="s">
        <v>77</v>
      </c>
      <c r="U23" s="34">
        <f>SUM(C$3:C23)</f>
        <v>36</v>
      </c>
      <c r="V23" s="34">
        <f>SUM(D$3:D23)</f>
        <v>24</v>
      </c>
      <c r="W23" s="34">
        <f>SUM(E$3:E23)</f>
        <v>31</v>
      </c>
      <c r="X23" s="34">
        <f>SUM(F$3:F23)</f>
        <v>29</v>
      </c>
      <c r="Y23" s="34">
        <f>SUM(G$3:G23)</f>
        <v>31</v>
      </c>
      <c r="Z23" s="8">
        <f t="shared" si="2"/>
        <v>151</v>
      </c>
    </row>
    <row r="24" spans="1:26">
      <c r="A24" s="251"/>
      <c r="B24" s="23" t="s">
        <v>84</v>
      </c>
      <c r="C24" s="8">
        <f>COUNTIFS('Datos Primaria'!$E:$E,C$2,'Datos Primaria'!$C:$C,"&gt;=01/10/2024",'Datos Primaria'!$C:$C,"&lt;=31/10/2024")</f>
        <v>1</v>
      </c>
      <c r="D24" s="8">
        <f>COUNTIFS('Datos Primaria'!$E:$E,D$2,'Datos Primaria'!$C:$C,"&gt;=01/10/2024",'Datos Primaria'!$C:$C,"&lt;=31/10/2024")</f>
        <v>1</v>
      </c>
      <c r="E24" s="8">
        <f>COUNTIFS('Datos Primaria'!$E:$E,E$2,'Datos Primaria'!$C:$C,"&gt;=01/10/2024",'Datos Primaria'!$C:$C,"&lt;=31/10/2024")</f>
        <v>2</v>
      </c>
      <c r="F24" s="8">
        <f>COUNTIFS('Datos Primaria'!$E:$E,F$2,'Datos Primaria'!$C:$C,"&gt;=01/10/2024",'Datos Primaria'!$C:$C,"&lt;=31/10/2024")</f>
        <v>2</v>
      </c>
      <c r="G24" s="8">
        <f>COUNTIFS('Datos Primaria'!$E:$E,G$2,'Datos Primaria'!$C:$C,"&gt;=01/10/2024",'Datos Primaria'!$C:$C,"&lt;=31/10/2024")</f>
        <v>1</v>
      </c>
      <c r="H24" s="8">
        <f t="shared" si="0"/>
        <v>7</v>
      </c>
      <c r="J24" s="251"/>
      <c r="K24" s="23" t="s">
        <v>84</v>
      </c>
      <c r="L24" s="34">
        <f>SUM(C$15:C24)</f>
        <v>10</v>
      </c>
      <c r="M24" s="34">
        <f>SUM(D$15:D24)</f>
        <v>11</v>
      </c>
      <c r="N24" s="34">
        <f>SUM(E$15:E24)</f>
        <v>12</v>
      </c>
      <c r="O24" s="34">
        <f>SUM(F$15:F24)</f>
        <v>15</v>
      </c>
      <c r="P24" s="34">
        <f>SUM(G$15:G24)</f>
        <v>11</v>
      </c>
      <c r="Q24" s="8">
        <f t="shared" si="1"/>
        <v>59</v>
      </c>
      <c r="S24" s="251"/>
      <c r="T24" s="23" t="s">
        <v>84</v>
      </c>
      <c r="U24" s="34">
        <f>SUM(C$3:C24)</f>
        <v>37</v>
      </c>
      <c r="V24" s="34">
        <f>SUM(D$3:D24)</f>
        <v>25</v>
      </c>
      <c r="W24" s="34">
        <f>SUM(E$3:E24)</f>
        <v>33</v>
      </c>
      <c r="X24" s="34">
        <f>SUM(F$3:F24)</f>
        <v>31</v>
      </c>
      <c r="Y24" s="34">
        <f>SUM(G$3:G24)</f>
        <v>32</v>
      </c>
      <c r="Z24" s="8">
        <f t="shared" si="2"/>
        <v>158</v>
      </c>
    </row>
    <row r="25" spans="1:26">
      <c r="A25" s="251"/>
      <c r="B25" s="23" t="s">
        <v>87</v>
      </c>
      <c r="C25" s="8">
        <f>COUNTIFS('Datos Primaria'!$E:$E,C$2,'Datos Primaria'!$C:$C,"&gt;=01/11/2024",'Datos Primaria'!$C:$C,"&lt;=30/11/2024")</f>
        <v>1</v>
      </c>
      <c r="D25" s="8">
        <f>COUNTIFS('Datos Primaria'!$E:$E,D$2,'Datos Primaria'!$C:$C,"&gt;=01/11/2024",'Datos Primaria'!$C:$C,"&lt;=30/11/2024")</f>
        <v>2</v>
      </c>
      <c r="E25" s="8">
        <f>COUNTIFS('Datos Primaria'!$E:$E,E$2,'Datos Primaria'!$C:$C,"&gt;=01/11/2024",'Datos Primaria'!$C:$C,"&lt;=30/11/2024")</f>
        <v>2</v>
      </c>
      <c r="F25" s="8">
        <f>COUNTIFS('Datos Primaria'!$E:$E,F$2,'Datos Primaria'!$C:$C,"&gt;=01/11/2024",'Datos Primaria'!$C:$C,"&lt;=30/11/2024")</f>
        <v>3</v>
      </c>
      <c r="G25" s="8">
        <f>COUNTIFS('Datos Primaria'!$E:$E,G$2,'Datos Primaria'!$C:$C,"&gt;=01/11/2024",'Datos Primaria'!$C:$C,"&lt;=30/11/2024")</f>
        <v>5</v>
      </c>
      <c r="H25" s="8">
        <f t="shared" si="0"/>
        <v>13</v>
      </c>
      <c r="J25" s="251"/>
      <c r="K25" s="23" t="s">
        <v>87</v>
      </c>
      <c r="L25" s="34">
        <f>SUM(C$15:C25)</f>
        <v>11</v>
      </c>
      <c r="M25" s="34">
        <f>SUM(D$15:D25)</f>
        <v>13</v>
      </c>
      <c r="N25" s="34">
        <f>SUM(E$15:E25)</f>
        <v>14</v>
      </c>
      <c r="O25" s="34">
        <f>SUM(F$15:F25)</f>
        <v>18</v>
      </c>
      <c r="P25" s="34">
        <f>SUM(G$15:G25)</f>
        <v>16</v>
      </c>
      <c r="Q25" s="8">
        <f t="shared" si="1"/>
        <v>72</v>
      </c>
      <c r="S25" s="251"/>
      <c r="T25" s="23" t="s">
        <v>87</v>
      </c>
      <c r="U25" s="34">
        <f>SUM(C$3:C25)</f>
        <v>38</v>
      </c>
      <c r="V25" s="34">
        <f>SUM(D$3:D25)</f>
        <v>27</v>
      </c>
      <c r="W25" s="34">
        <f>SUM(E$3:E25)</f>
        <v>35</v>
      </c>
      <c r="X25" s="34">
        <f>SUM(F$3:F25)</f>
        <v>34</v>
      </c>
      <c r="Y25" s="34">
        <f>SUM(G$3:G25)</f>
        <v>37</v>
      </c>
      <c r="Z25" s="8">
        <f t="shared" si="2"/>
        <v>171</v>
      </c>
    </row>
    <row r="26" spans="1:26">
      <c r="A26" s="251"/>
      <c r="B26" s="23" t="s">
        <v>173</v>
      </c>
      <c r="C26" s="8">
        <f>COUNTIFS('Datos Primaria'!$E:$E,C$2,'Datos Primaria'!$C:$C,"&gt;=01/12/2024",'Datos Primaria'!$C:$C,"&lt;=31/12/2024")</f>
        <v>0</v>
      </c>
      <c r="D26" s="8">
        <f>COUNTIFS('Datos Primaria'!$E:$E,D$2,'Datos Primaria'!$C:$C,"&gt;=01/12/2024",'Datos Primaria'!$C:$C,"&lt;=31/12/2024")</f>
        <v>0</v>
      </c>
      <c r="E26" s="8">
        <f>COUNTIFS('Datos Primaria'!$E:$E,E$2,'Datos Primaria'!$C:$C,"&gt;=01/12/2024",'Datos Primaria'!$C:$C,"&lt;=31/12/2024")</f>
        <v>1</v>
      </c>
      <c r="F26" s="8">
        <f>COUNTIFS('Datos Primaria'!$E:$E,F$2,'Datos Primaria'!$C:$C,"&gt;=01/12/2024",'Datos Primaria'!$C:$C,"&lt;=31/12/2024")</f>
        <v>0</v>
      </c>
      <c r="G26" s="8">
        <f>COUNTIFS('Datos Primaria'!$E:$E,G$2,'Datos Primaria'!$C:$C,"&gt;=01/12/2024",'Datos Primaria'!$C:$C,"&lt;=31/12/2024")</f>
        <v>0</v>
      </c>
      <c r="H26" s="8">
        <f t="shared" si="0"/>
        <v>1</v>
      </c>
      <c r="J26" s="251"/>
      <c r="K26" s="23" t="s">
        <v>173</v>
      </c>
      <c r="L26" s="34">
        <f>SUM(C$15:C26)</f>
        <v>11</v>
      </c>
      <c r="M26" s="34">
        <f>SUM(D$15:D26)</f>
        <v>13</v>
      </c>
      <c r="N26" s="34">
        <f>SUM(E$15:E26)</f>
        <v>15</v>
      </c>
      <c r="O26" s="34">
        <f>SUM(F$15:F26)</f>
        <v>18</v>
      </c>
      <c r="P26" s="34">
        <f>SUM(G$15:G26)</f>
        <v>16</v>
      </c>
      <c r="Q26" s="8">
        <f t="shared" si="1"/>
        <v>73</v>
      </c>
      <c r="S26" s="251"/>
      <c r="T26" s="23" t="s">
        <v>173</v>
      </c>
      <c r="U26" s="34">
        <f>SUM(C$3:C26)</f>
        <v>38</v>
      </c>
      <c r="V26" s="34">
        <f>SUM(D$3:D26)</f>
        <v>27</v>
      </c>
      <c r="W26" s="34">
        <f>SUM(E$3:E26)</f>
        <v>36</v>
      </c>
      <c r="X26" s="34">
        <f>SUM(F$3:F26)</f>
        <v>34</v>
      </c>
      <c r="Y26" s="34">
        <f>SUM(G$3:G26)</f>
        <v>37</v>
      </c>
      <c r="Z26" s="8">
        <f t="shared" si="2"/>
        <v>172</v>
      </c>
    </row>
    <row r="27" spans="1:26" ht="14.45" customHeight="1">
      <c r="A27" s="251">
        <v>2025</v>
      </c>
      <c r="B27" s="23" t="s">
        <v>13</v>
      </c>
      <c r="C27" s="8">
        <f>COUNTIFS('Datos Primaria'!$E:$E,C$2,'Datos Primaria'!$C:$C,"&gt;=01/01/2025",'Datos Primaria'!$C:$C,"&lt;=31/01/2025")</f>
        <v>4</v>
      </c>
      <c r="D27" s="8">
        <f>COUNTIFS('Datos Primaria'!$E:$E,D$2,'Datos Primaria'!$C:$C,"&gt;=01/01/2025",'Datos Primaria'!$C:$C,"&lt;=31/01/2025")</f>
        <v>1</v>
      </c>
      <c r="E27" s="8">
        <f>COUNTIFS('Datos Primaria'!$E:$E,E$2,'Datos Primaria'!$C:$C,"&gt;=01/01/2025",'Datos Primaria'!$C:$C,"&lt;=31/01/2025")</f>
        <v>4</v>
      </c>
      <c r="F27" s="8">
        <f>COUNTIFS('Datos Primaria'!$E:$E,F$2,'Datos Primaria'!$C:$C,"&gt;=01/01/2025",'Datos Primaria'!$C:$C,"&lt;=31/01/2025")</f>
        <v>4</v>
      </c>
      <c r="G27" s="8">
        <f>COUNTIFS('Datos Primaria'!$E:$E,G$2,'Datos Primaria'!$C:$C,"&gt;=01/01/2025",'Datos Primaria'!$C:$C,"&lt;=31/01/2025")</f>
        <v>1</v>
      </c>
      <c r="H27" s="8">
        <f t="shared" ref="H27:H38" si="3">SUM(C27:G27)</f>
        <v>14</v>
      </c>
      <c r="J27" s="251">
        <f>A27</f>
        <v>2025</v>
      </c>
      <c r="K27" s="23" t="s">
        <v>13</v>
      </c>
      <c r="L27" s="34">
        <f>SUM(C$27:C27)</f>
        <v>4</v>
      </c>
      <c r="M27" s="34">
        <f>SUM(D$27:D27)</f>
        <v>1</v>
      </c>
      <c r="N27" s="34">
        <f>SUM(E$27:E27)</f>
        <v>4</v>
      </c>
      <c r="O27" s="34">
        <f>SUM(F$27:F27)</f>
        <v>4</v>
      </c>
      <c r="P27" s="34">
        <f>SUM(G$27:G27)</f>
        <v>1</v>
      </c>
      <c r="Q27" s="8">
        <f t="shared" ref="Q27:Q38" si="4">SUM(L27:P27)</f>
        <v>14</v>
      </c>
      <c r="S27" s="251">
        <f>A27</f>
        <v>2025</v>
      </c>
      <c r="T27" s="23" t="s">
        <v>13</v>
      </c>
      <c r="U27" s="34">
        <f>SUM(C$3:C27)</f>
        <v>42</v>
      </c>
      <c r="V27" s="34">
        <f>SUM(D$3:D27)</f>
        <v>28</v>
      </c>
      <c r="W27" s="34">
        <f>SUM(E$3:E27)</f>
        <v>40</v>
      </c>
      <c r="X27" s="34">
        <f>SUM(F$3:F27)</f>
        <v>38</v>
      </c>
      <c r="Y27" s="34">
        <f>SUM(G$3:G27)</f>
        <v>38</v>
      </c>
      <c r="Z27" s="8">
        <f t="shared" ref="Z27:Z38" si="5">SUM(U27:Y27)</f>
        <v>186</v>
      </c>
    </row>
    <row r="28" spans="1:26">
      <c r="A28" s="251"/>
      <c r="B28" s="23" t="s">
        <v>24</v>
      </c>
      <c r="C28" s="8">
        <f>COUNTIFS('Datos Primaria'!$E:$E,C$2,'Datos Primaria'!$C:$C,"&gt;=01/02/2025",'Datos Primaria'!$C:$C,"&lt;=28/02/2025")</f>
        <v>1</v>
      </c>
      <c r="D28" s="8">
        <f>COUNTIFS('Datos Primaria'!$E:$E,D$2,'Datos Primaria'!$C:$C,"&gt;=01/02/2025",'Datos Primaria'!$C:$C,"&lt;=28/02/2025")</f>
        <v>1</v>
      </c>
      <c r="E28" s="8">
        <f>COUNTIFS('Datos Primaria'!$E:$E,E$2,'Datos Primaria'!$C:$C,"&gt;=01/02/2025",'Datos Primaria'!$C:$C,"&lt;=28/02/2025")</f>
        <v>1</v>
      </c>
      <c r="F28" s="8">
        <f>COUNTIFS('Datos Primaria'!$E:$E,F$2,'Datos Primaria'!$C:$C,"&gt;=01/02/2025",'Datos Primaria'!$C:$C,"&lt;=28/02/2025")</f>
        <v>3</v>
      </c>
      <c r="G28" s="8">
        <f>COUNTIFS('Datos Primaria'!$E:$E,G$2,'Datos Primaria'!$C:$C,"&gt;=01/02/2025",'Datos Primaria'!$C:$C,"&lt;=28/02/2025")</f>
        <v>2</v>
      </c>
      <c r="H28" s="8">
        <f t="shared" si="3"/>
        <v>8</v>
      </c>
      <c r="J28" s="251"/>
      <c r="K28" s="23" t="s">
        <v>24</v>
      </c>
      <c r="L28" s="34">
        <f>SUM(C$27:C28)</f>
        <v>5</v>
      </c>
      <c r="M28" s="34">
        <f>SUM(D$27:D28)</f>
        <v>2</v>
      </c>
      <c r="N28" s="34">
        <f>SUM(E$27:E28)</f>
        <v>5</v>
      </c>
      <c r="O28" s="34">
        <f>SUM(F$27:F28)</f>
        <v>7</v>
      </c>
      <c r="P28" s="34">
        <f>SUM(G$27:G28)</f>
        <v>3</v>
      </c>
      <c r="Q28" s="8">
        <f t="shared" si="4"/>
        <v>22</v>
      </c>
      <c r="S28" s="251"/>
      <c r="T28" s="23" t="s">
        <v>24</v>
      </c>
      <c r="U28" s="34">
        <f>SUM(C$3:C28)</f>
        <v>43</v>
      </c>
      <c r="V28" s="34">
        <f>SUM(D$3:D28)</f>
        <v>29</v>
      </c>
      <c r="W28" s="34">
        <f>SUM(E$3:E28)</f>
        <v>41</v>
      </c>
      <c r="X28" s="34">
        <f>SUM(F$3:F28)</f>
        <v>41</v>
      </c>
      <c r="Y28" s="34">
        <f>SUM(G$3:G28)</f>
        <v>40</v>
      </c>
      <c r="Z28" s="8">
        <f t="shared" si="5"/>
        <v>194</v>
      </c>
    </row>
    <row r="29" spans="1:26">
      <c r="A29" s="251"/>
      <c r="B29" s="23" t="s">
        <v>34</v>
      </c>
      <c r="C29" s="8">
        <f>COUNTIFS('Datos Primaria'!$E:$E,C$2,'Datos Primaria'!$C:$C,"&gt;=01/03/2025",'Datos Primaria'!$C:$C,"&lt;=31/03/2025")</f>
        <v>0</v>
      </c>
      <c r="D29" s="8">
        <f>COUNTIFS('Datos Primaria'!$E:$E,D$2,'Datos Primaria'!$C:$C,"&gt;=01/03/2025",'Datos Primaria'!$C:$C,"&lt;=31/03/2025")</f>
        <v>1</v>
      </c>
      <c r="E29" s="8">
        <f>COUNTIFS('Datos Primaria'!$E:$E,E$2,'Datos Primaria'!$C:$C,"&gt;=01/03/2025",'Datos Primaria'!$C:$C,"&lt;=31/03/2025")</f>
        <v>1</v>
      </c>
      <c r="F29" s="8">
        <f>COUNTIFS('Datos Primaria'!$E:$E,F$2,'Datos Primaria'!$C:$C,"&gt;=01/03/2025",'Datos Primaria'!$C:$C,"&lt;=31/03/2025")</f>
        <v>1</v>
      </c>
      <c r="G29" s="8">
        <f>COUNTIFS('Datos Primaria'!$E:$E,G$2,'Datos Primaria'!$C:$C,"&gt;=01/03/2025",'Datos Primaria'!$C:$C,"&lt;=31/03/2025")</f>
        <v>2</v>
      </c>
      <c r="H29" s="8">
        <f t="shared" si="3"/>
        <v>5</v>
      </c>
      <c r="J29" s="251"/>
      <c r="K29" s="23" t="s">
        <v>34</v>
      </c>
      <c r="L29" s="34">
        <f>SUM(C$27:C29)</f>
        <v>5</v>
      </c>
      <c r="M29" s="34">
        <f>SUM(D$27:D29)</f>
        <v>3</v>
      </c>
      <c r="N29" s="34">
        <f>SUM(E$27:E29)</f>
        <v>6</v>
      </c>
      <c r="O29" s="34">
        <f>SUM(F$27:F29)</f>
        <v>8</v>
      </c>
      <c r="P29" s="34">
        <f>SUM(G$27:G29)</f>
        <v>5</v>
      </c>
      <c r="Q29" s="8">
        <f t="shared" si="4"/>
        <v>27</v>
      </c>
      <c r="S29" s="251"/>
      <c r="T29" s="23" t="s">
        <v>34</v>
      </c>
      <c r="U29" s="34">
        <f>SUM(C$3:C29)</f>
        <v>43</v>
      </c>
      <c r="V29" s="34">
        <f>SUM(D$3:D29)</f>
        <v>30</v>
      </c>
      <c r="W29" s="34">
        <f>SUM(E$3:E29)</f>
        <v>42</v>
      </c>
      <c r="X29" s="34">
        <f>SUM(F$3:F29)</f>
        <v>42</v>
      </c>
      <c r="Y29" s="34">
        <f>SUM(G$3:G29)</f>
        <v>42</v>
      </c>
      <c r="Z29" s="8">
        <f t="shared" si="5"/>
        <v>199</v>
      </c>
    </row>
    <row r="30" spans="1:26">
      <c r="A30" s="251"/>
      <c r="B30" s="23" t="s">
        <v>38</v>
      </c>
      <c r="C30" s="8">
        <f>COUNTIFS('Datos Primaria'!$E:$E,C$2,'Datos Primaria'!$C:$C,"&gt;=01/04/2025",'Datos Primaria'!$C:$C,"&lt;=30/04/2025")</f>
        <v>1</v>
      </c>
      <c r="D30" s="8">
        <f>COUNTIFS('Datos Primaria'!$E:$E,D$2,'Datos Primaria'!$C:$C,"&gt;=01/04/2025",'Datos Primaria'!$C:$C,"&lt;=30/04/2025")</f>
        <v>6</v>
      </c>
      <c r="E30" s="8">
        <f>COUNTIFS('Datos Primaria'!$E:$E,E$2,'Datos Primaria'!$C:$C,"&gt;=01/04/2025",'Datos Primaria'!$C:$C,"&lt;=30/04/2025")</f>
        <v>2</v>
      </c>
      <c r="F30" s="8">
        <f>COUNTIFS('Datos Primaria'!$E:$E,F$2,'Datos Primaria'!$C:$C,"&gt;=01/04/2025",'Datos Primaria'!$C:$C,"&lt;=30/04/2025")</f>
        <v>1</v>
      </c>
      <c r="G30" s="8">
        <f>COUNTIFS('Datos Primaria'!$E:$E,G$2,'Datos Primaria'!$C:$C,"&gt;=01/04/2025",'Datos Primaria'!$C:$C,"&lt;=30/04/2025")</f>
        <v>4</v>
      </c>
      <c r="H30" s="8">
        <f t="shared" si="3"/>
        <v>14</v>
      </c>
      <c r="J30" s="251"/>
      <c r="K30" s="23" t="s">
        <v>38</v>
      </c>
      <c r="L30" s="34">
        <f>SUM(C$27:C30)</f>
        <v>6</v>
      </c>
      <c r="M30" s="34">
        <f>SUM(D$27:D30)</f>
        <v>9</v>
      </c>
      <c r="N30" s="34">
        <f>SUM(E$27:E30)</f>
        <v>8</v>
      </c>
      <c r="O30" s="34">
        <f>SUM(F$27:F30)</f>
        <v>9</v>
      </c>
      <c r="P30" s="34">
        <f>SUM(G$27:G30)</f>
        <v>9</v>
      </c>
      <c r="Q30" s="8">
        <f t="shared" si="4"/>
        <v>41</v>
      </c>
      <c r="S30" s="251"/>
      <c r="T30" s="23" t="s">
        <v>38</v>
      </c>
      <c r="U30" s="34">
        <f>SUM(C$3:C30)</f>
        <v>44</v>
      </c>
      <c r="V30" s="34">
        <f>SUM(D$3:D30)</f>
        <v>36</v>
      </c>
      <c r="W30" s="34">
        <f>SUM(E$3:E30)</f>
        <v>44</v>
      </c>
      <c r="X30" s="34">
        <f>SUM(F$3:F30)</f>
        <v>43</v>
      </c>
      <c r="Y30" s="34">
        <f>SUM(G$3:G30)</f>
        <v>46</v>
      </c>
      <c r="Z30" s="8">
        <f t="shared" si="5"/>
        <v>213</v>
      </c>
    </row>
    <row r="31" spans="1:26">
      <c r="A31" s="251"/>
      <c r="B31" s="23" t="s">
        <v>47</v>
      </c>
      <c r="C31" s="8">
        <f>COUNTIFS('Datos Primaria'!$E:$E,C$2,'Datos Primaria'!$C:$C,"&gt;=01/05/2025",'Datos Primaria'!$C:$C,"&lt;=31/05/2025")</f>
        <v>4</v>
      </c>
      <c r="D31" s="8">
        <f>COUNTIFS('Datos Primaria'!$E:$E,D$2,'Datos Primaria'!$C:$C,"&gt;=01/05/2025",'Datos Primaria'!$C:$C,"&lt;=31/05/2025")</f>
        <v>4</v>
      </c>
      <c r="E31" s="8">
        <f>COUNTIFS('Datos Primaria'!$E:$E,E$2,'Datos Primaria'!$C:$C,"&gt;=01/05/2025",'Datos Primaria'!$C:$C,"&lt;=31/05/2025")</f>
        <v>4</v>
      </c>
      <c r="F31" s="8">
        <f>COUNTIFS('Datos Primaria'!$E:$E,F$2,'Datos Primaria'!$C:$C,"&gt;=01/05/2025",'Datos Primaria'!$C:$C,"&lt;=31/05/2025")</f>
        <v>2</v>
      </c>
      <c r="G31" s="8">
        <f>COUNTIFS('Datos Primaria'!$E:$E,G$2,'Datos Primaria'!$C:$C,"&gt;=01/05/2025",'Datos Primaria'!$C:$C,"&lt;=31/05/2025")</f>
        <v>1</v>
      </c>
      <c r="H31" s="8">
        <f t="shared" si="3"/>
        <v>15</v>
      </c>
      <c r="J31" s="251"/>
      <c r="K31" s="23" t="s">
        <v>47</v>
      </c>
      <c r="L31" s="34">
        <f>SUM(C$27:C31)</f>
        <v>10</v>
      </c>
      <c r="M31" s="34">
        <f>SUM(D$27:D31)</f>
        <v>13</v>
      </c>
      <c r="N31" s="34">
        <f>SUM(E$27:E31)</f>
        <v>12</v>
      </c>
      <c r="O31" s="34">
        <f>SUM(F$27:F31)</f>
        <v>11</v>
      </c>
      <c r="P31" s="34">
        <f>SUM(G$27:G31)</f>
        <v>10</v>
      </c>
      <c r="Q31" s="8">
        <f t="shared" si="4"/>
        <v>56</v>
      </c>
      <c r="S31" s="251"/>
      <c r="T31" s="23" t="s">
        <v>47</v>
      </c>
      <c r="U31" s="34">
        <f>SUM(C$3:C31)</f>
        <v>48</v>
      </c>
      <c r="V31" s="34">
        <f>SUM(D$3:D31)</f>
        <v>40</v>
      </c>
      <c r="W31" s="34">
        <f>SUM(E$3:E31)</f>
        <v>48</v>
      </c>
      <c r="X31" s="34">
        <f>SUM(F$3:F31)</f>
        <v>45</v>
      </c>
      <c r="Y31" s="34">
        <f>SUM(G$3:G31)</f>
        <v>47</v>
      </c>
      <c r="Z31" s="8">
        <f t="shared" si="5"/>
        <v>228</v>
      </c>
    </row>
    <row r="32" spans="1:26">
      <c r="A32" s="251"/>
      <c r="B32" s="23" t="s">
        <v>57</v>
      </c>
      <c r="C32" s="8">
        <f>COUNTIFS('Datos Primaria'!$E:$E,C$2,'Datos Primaria'!$C:$C,"&gt;=01/06/2025",'Datos Primaria'!$C:$C,"&lt;=30/06/2025")</f>
        <v>3</v>
      </c>
      <c r="D32" s="8">
        <f>COUNTIFS('Datos Primaria'!$E:$E,D$2,'Datos Primaria'!$C:$C,"&gt;=01/06/2025",'Datos Primaria'!$C:$C,"&lt;=30/06/2025")</f>
        <v>1</v>
      </c>
      <c r="E32" s="8">
        <f>COUNTIFS('Datos Primaria'!$E:$E,E$2,'Datos Primaria'!$C:$C,"&gt;=01/06/2025",'Datos Primaria'!$C:$C,"&lt;=30/06/2025")</f>
        <v>1</v>
      </c>
      <c r="F32" s="8">
        <f>COUNTIFS('Datos Primaria'!$E:$E,F$2,'Datos Primaria'!$C:$C,"&gt;=01/06/2025",'Datos Primaria'!$C:$C,"&lt;=30/06/2025")</f>
        <v>3</v>
      </c>
      <c r="G32" s="8">
        <f>COUNTIFS('Datos Primaria'!$E:$E,G$2,'Datos Primaria'!$C:$C,"&gt;=01/06/2025",'Datos Primaria'!$C:$C,"&lt;=30/06/2025")</f>
        <v>0</v>
      </c>
      <c r="H32" s="8">
        <f t="shared" si="3"/>
        <v>8</v>
      </c>
      <c r="J32" s="251"/>
      <c r="K32" s="23" t="s">
        <v>57</v>
      </c>
      <c r="L32" s="34">
        <f>SUM(C$27:C32)</f>
        <v>13</v>
      </c>
      <c r="M32" s="34">
        <f>SUM(D$27:D32)</f>
        <v>14</v>
      </c>
      <c r="N32" s="34">
        <f>SUM(E$27:E32)</f>
        <v>13</v>
      </c>
      <c r="O32" s="34">
        <f>SUM(F$27:F32)</f>
        <v>14</v>
      </c>
      <c r="P32" s="34">
        <f>SUM(G$27:G32)</f>
        <v>10</v>
      </c>
      <c r="Q32" s="8">
        <f t="shared" si="4"/>
        <v>64</v>
      </c>
      <c r="S32" s="251"/>
      <c r="T32" s="23" t="s">
        <v>57</v>
      </c>
      <c r="U32" s="34">
        <f>SUM(C$3:C32)</f>
        <v>51</v>
      </c>
      <c r="V32" s="34">
        <f>SUM(D$3:D32)</f>
        <v>41</v>
      </c>
      <c r="W32" s="34">
        <f>SUM(E$3:E32)</f>
        <v>49</v>
      </c>
      <c r="X32" s="34">
        <f>SUM(F$3:F32)</f>
        <v>48</v>
      </c>
      <c r="Y32" s="34">
        <f>SUM(G$3:G32)</f>
        <v>47</v>
      </c>
      <c r="Z32" s="8">
        <f t="shared" si="5"/>
        <v>236</v>
      </c>
    </row>
    <row r="33" spans="1:26">
      <c r="A33" s="251"/>
      <c r="B33" s="23" t="s">
        <v>62</v>
      </c>
      <c r="C33" s="8">
        <f>COUNTIFS('Datos Primaria'!$E:$E,C$2,'Datos Primaria'!$C:$C,"&gt;=01/07/2025",'Datos Primaria'!$C:$C,"&lt;=31/07/2025")</f>
        <v>1</v>
      </c>
      <c r="D33" s="8">
        <f>COUNTIFS('Datos Primaria'!$E:$E,D$2,'Datos Primaria'!$C:$C,"&gt;=01/07/2025",'Datos Primaria'!$C:$C,"&lt;=31/07/2025")</f>
        <v>0</v>
      </c>
      <c r="E33" s="8">
        <f>COUNTIFS('Datos Primaria'!$E:$E,E$2,'Datos Primaria'!$C:$C,"&gt;=01/07/2025",'Datos Primaria'!$C:$C,"&lt;=31/07/2025")</f>
        <v>4</v>
      </c>
      <c r="F33" s="8">
        <f>COUNTIFS('Datos Primaria'!$E:$E,F$2,'Datos Primaria'!$C:$C,"&gt;=01/07/2025",'Datos Primaria'!$C:$C,"&lt;=31/07/2025")</f>
        <v>0</v>
      </c>
      <c r="G33" s="8">
        <f>COUNTIFS('Datos Primaria'!$E:$E,G$2,'Datos Primaria'!$C:$C,"&gt;=01/07/2025",'Datos Primaria'!$C:$C,"&lt;=31/07/2025")</f>
        <v>2</v>
      </c>
      <c r="H33" s="8">
        <f t="shared" si="3"/>
        <v>7</v>
      </c>
      <c r="J33" s="251"/>
      <c r="K33" s="23" t="s">
        <v>62</v>
      </c>
      <c r="L33" s="34">
        <f>SUM(C$27:C33)</f>
        <v>14</v>
      </c>
      <c r="M33" s="34">
        <f>SUM(D$27:D33)</f>
        <v>14</v>
      </c>
      <c r="N33" s="34">
        <f>SUM(E$27:E33)</f>
        <v>17</v>
      </c>
      <c r="O33" s="34">
        <f>SUM(F$27:F33)</f>
        <v>14</v>
      </c>
      <c r="P33" s="34">
        <f>SUM(G$27:G33)</f>
        <v>12</v>
      </c>
      <c r="Q33" s="8">
        <f t="shared" si="4"/>
        <v>71</v>
      </c>
      <c r="S33" s="251"/>
      <c r="T33" s="23" t="s">
        <v>62</v>
      </c>
      <c r="U33" s="34">
        <f>SUM(C$3:C33)</f>
        <v>52</v>
      </c>
      <c r="V33" s="34">
        <f>SUM(D$3:D33)</f>
        <v>41</v>
      </c>
      <c r="W33" s="34">
        <f>SUM(E$3:E33)</f>
        <v>53</v>
      </c>
      <c r="X33" s="34">
        <f>SUM(F$3:F33)</f>
        <v>48</v>
      </c>
      <c r="Y33" s="34">
        <f>SUM(G$3:G33)</f>
        <v>49</v>
      </c>
      <c r="Z33" s="8">
        <f t="shared" si="5"/>
        <v>243</v>
      </c>
    </row>
    <row r="34" spans="1:26">
      <c r="A34" s="251"/>
      <c r="B34" s="23" t="s">
        <v>68</v>
      </c>
      <c r="C34" s="8">
        <f>COUNTIFS('Datos Primaria'!$E:$E,C$2,'Datos Primaria'!$C:$C,"&gt;=01/08/2025",'Datos Primaria'!$C:$C,"&lt;=31/08/2025")</f>
        <v>4</v>
      </c>
      <c r="D34" s="8">
        <f>COUNTIFS('Datos Primaria'!$E:$E,D$2,'Datos Primaria'!$C:$C,"&gt;=01/08/2025",'Datos Primaria'!$C:$C,"&lt;=31/08/2025")</f>
        <v>0</v>
      </c>
      <c r="E34" s="8">
        <f>COUNTIFS('Datos Primaria'!$E:$E,E$2,'Datos Primaria'!$C:$C,"&gt;=01/08/2025",'Datos Primaria'!$C:$C,"&lt;=31/08/2025")</f>
        <v>1</v>
      </c>
      <c r="F34" s="8">
        <f>COUNTIFS('Datos Primaria'!$E:$E,F$2,'Datos Primaria'!$C:$C,"&gt;=01/08/2025",'Datos Primaria'!$C:$C,"&lt;=31/08/2025")</f>
        <v>1</v>
      </c>
      <c r="G34" s="8">
        <f>COUNTIFS('Datos Primaria'!$E:$E,G$2,'Datos Primaria'!$C:$C,"&gt;=01/08/2025",'Datos Primaria'!$C:$C,"&lt;=31/08/2025")</f>
        <v>3</v>
      </c>
      <c r="H34" s="8">
        <f t="shared" si="3"/>
        <v>9</v>
      </c>
      <c r="J34" s="251"/>
      <c r="K34" s="23" t="s">
        <v>68</v>
      </c>
      <c r="L34" s="34">
        <f>SUM(C$27:C34)</f>
        <v>18</v>
      </c>
      <c r="M34" s="34">
        <f>SUM(D$27:D34)</f>
        <v>14</v>
      </c>
      <c r="N34" s="34">
        <f>SUM(E$27:E34)</f>
        <v>18</v>
      </c>
      <c r="O34" s="34">
        <f>SUM(F$27:F34)</f>
        <v>15</v>
      </c>
      <c r="P34" s="34">
        <f>SUM(G$27:G34)</f>
        <v>15</v>
      </c>
      <c r="Q34" s="8">
        <f t="shared" si="4"/>
        <v>80</v>
      </c>
      <c r="S34" s="251"/>
      <c r="T34" s="23" t="s">
        <v>68</v>
      </c>
      <c r="U34" s="34">
        <f>SUM(C$3:C34)</f>
        <v>56</v>
      </c>
      <c r="V34" s="34">
        <f>SUM(D$3:D34)</f>
        <v>41</v>
      </c>
      <c r="W34" s="34">
        <f>SUM(E$3:E34)</f>
        <v>54</v>
      </c>
      <c r="X34" s="34">
        <f>SUM(F$3:F34)</f>
        <v>49</v>
      </c>
      <c r="Y34" s="34">
        <f>SUM(G$3:G34)</f>
        <v>52</v>
      </c>
      <c r="Z34" s="8">
        <f t="shared" si="5"/>
        <v>252</v>
      </c>
    </row>
    <row r="35" spans="1:26">
      <c r="A35" s="251"/>
      <c r="B35" s="23" t="s">
        <v>77</v>
      </c>
      <c r="C35" s="8">
        <f>COUNTIFS('Datos Primaria'!$E:$E,C$2,'Datos Primaria'!$C:$C,"&gt;=01/09/2025",'Datos Primaria'!$C:$C,"&lt;=30/09/2025")</f>
        <v>2</v>
      </c>
      <c r="D35" s="8">
        <f>COUNTIFS('Datos Primaria'!$E:$E,D$2,'Datos Primaria'!$C:$C,"&gt;=01/09/2025",'Datos Primaria'!$C:$C,"&lt;=30/09/2025")</f>
        <v>3</v>
      </c>
      <c r="E35" s="8">
        <f>COUNTIFS('Datos Primaria'!$E:$E,E$2,'Datos Primaria'!$C:$C,"&gt;=01/09/2025",'Datos Primaria'!$C:$C,"&lt;=30/09/2025")</f>
        <v>0</v>
      </c>
      <c r="F35" s="8">
        <f>COUNTIFS('Datos Primaria'!$E:$E,F$2,'Datos Primaria'!$C:$C,"&gt;=01/09/2025",'Datos Primaria'!$C:$C,"&lt;=30/09/2025")</f>
        <v>2</v>
      </c>
      <c r="G35" s="8">
        <f>COUNTIFS('Datos Primaria'!$E:$E,G$2,'Datos Primaria'!$C:$C,"&gt;=01/09/2025",'Datos Primaria'!$C:$C,"&lt;=30/09/2025")</f>
        <v>2</v>
      </c>
      <c r="H35" s="8">
        <f t="shared" si="3"/>
        <v>9</v>
      </c>
      <c r="J35" s="251"/>
      <c r="K35" s="23" t="s">
        <v>77</v>
      </c>
      <c r="L35" s="34">
        <f>SUM(C$27:C35)</f>
        <v>20</v>
      </c>
      <c r="M35" s="34">
        <f>SUM(D$27:D35)</f>
        <v>17</v>
      </c>
      <c r="N35" s="34">
        <f>SUM(E$27:E35)</f>
        <v>18</v>
      </c>
      <c r="O35" s="34">
        <f>SUM(F$27:F35)</f>
        <v>17</v>
      </c>
      <c r="P35" s="34">
        <f>SUM(G$27:G35)</f>
        <v>17</v>
      </c>
      <c r="Q35" s="8">
        <f t="shared" si="4"/>
        <v>89</v>
      </c>
      <c r="S35" s="251"/>
      <c r="T35" s="23" t="s">
        <v>77</v>
      </c>
      <c r="U35" s="34">
        <f>SUM(C$3:C35)</f>
        <v>58</v>
      </c>
      <c r="V35" s="34">
        <f>SUM(D$3:D35)</f>
        <v>44</v>
      </c>
      <c r="W35" s="34">
        <f>SUM(E$3:E35)</f>
        <v>54</v>
      </c>
      <c r="X35" s="34">
        <f>SUM(F$3:F35)</f>
        <v>51</v>
      </c>
      <c r="Y35" s="34">
        <f>SUM(G$3:G35)</f>
        <v>54</v>
      </c>
      <c r="Z35" s="8">
        <f t="shared" si="5"/>
        <v>261</v>
      </c>
    </row>
    <row r="36" spans="1:26">
      <c r="A36" s="251"/>
      <c r="B36" s="23" t="s">
        <v>84</v>
      </c>
      <c r="C36" s="8">
        <f>COUNTIFS('Datos Primaria'!$E:$E,C$2,'Datos Primaria'!$C:$C,"&gt;=01/10/2025",'Datos Primaria'!$C:$C,"&lt;=31/10/2025")</f>
        <v>1</v>
      </c>
      <c r="D36" s="8">
        <f>COUNTIFS('Datos Primaria'!$E:$E,D$2,'Datos Primaria'!$C:$C,"&gt;=01/10/2025",'Datos Primaria'!$C:$C,"&lt;=31/10/2025")</f>
        <v>2</v>
      </c>
      <c r="E36" s="8">
        <f>COUNTIFS('Datos Primaria'!$E:$E,E$2,'Datos Primaria'!$C:$C,"&gt;=01/10/2025",'Datos Primaria'!$C:$C,"&lt;=31/10/2025")</f>
        <v>2</v>
      </c>
      <c r="F36" s="8">
        <f>COUNTIFS('Datos Primaria'!$E:$E,F$2,'Datos Primaria'!$C:$C,"&gt;=01/10/2025",'Datos Primaria'!$C:$C,"&lt;=31/10/2025")</f>
        <v>2</v>
      </c>
      <c r="G36" s="8">
        <f>COUNTIFS('Datos Primaria'!$E:$E,G$2,'Datos Primaria'!$C:$C,"&gt;=01/10/2025",'Datos Primaria'!$C:$C,"&lt;=31/10/2025")</f>
        <v>2</v>
      </c>
      <c r="H36" s="8">
        <f t="shared" si="3"/>
        <v>9</v>
      </c>
      <c r="J36" s="251"/>
      <c r="K36" s="23" t="s">
        <v>84</v>
      </c>
      <c r="L36" s="34">
        <f>SUM(C$27:C36)</f>
        <v>21</v>
      </c>
      <c r="M36" s="34">
        <f>SUM(D$27:D36)</f>
        <v>19</v>
      </c>
      <c r="N36" s="34">
        <f>SUM(E$27:E36)</f>
        <v>20</v>
      </c>
      <c r="O36" s="34">
        <f>SUM(F$27:F36)</f>
        <v>19</v>
      </c>
      <c r="P36" s="34">
        <f>SUM(G$27:G36)</f>
        <v>19</v>
      </c>
      <c r="Q36" s="8">
        <f t="shared" si="4"/>
        <v>98</v>
      </c>
      <c r="S36" s="251"/>
      <c r="T36" s="23" t="s">
        <v>84</v>
      </c>
      <c r="U36" s="34">
        <f>SUM(C$3:C36)</f>
        <v>59</v>
      </c>
      <c r="V36" s="34">
        <f>SUM(D$3:D36)</f>
        <v>46</v>
      </c>
      <c r="W36" s="34">
        <f>SUM(E$3:E36)</f>
        <v>56</v>
      </c>
      <c r="X36" s="34">
        <f>SUM(F$3:F36)</f>
        <v>53</v>
      </c>
      <c r="Y36" s="34">
        <f>SUM(G$3:G36)</f>
        <v>56</v>
      </c>
      <c r="Z36" s="8">
        <f t="shared" si="5"/>
        <v>270</v>
      </c>
    </row>
    <row r="37" spans="1:26">
      <c r="A37" s="251"/>
      <c r="B37" s="23" t="s">
        <v>87</v>
      </c>
      <c r="C37" s="8">
        <f>COUNTIFS('Datos Primaria'!$E:$E,C$2,'Datos Primaria'!$C:$C,"&gt;=01/11/2025",'Datos Primaria'!$C:$C,"&lt;=30/11/2025")</f>
        <v>2</v>
      </c>
      <c r="D37" s="8">
        <f>COUNTIFS('Datos Primaria'!$E:$E,D$2,'Datos Primaria'!$C:$C,"&gt;=01/11/2025",'Datos Primaria'!$C:$C,"&lt;=30/11/2025")</f>
        <v>0</v>
      </c>
      <c r="E37" s="8">
        <f>COUNTIFS('Datos Primaria'!$E:$E,E$2,'Datos Primaria'!$C:$C,"&gt;=01/11/2025",'Datos Primaria'!$C:$C,"&lt;=30/11/2025")</f>
        <v>5</v>
      </c>
      <c r="F37" s="8">
        <f>COUNTIFS('Datos Primaria'!$E:$E,F$2,'Datos Primaria'!$C:$C,"&gt;=01/11/2025",'Datos Primaria'!$C:$C,"&lt;=30/11/2025")</f>
        <v>1</v>
      </c>
      <c r="G37" s="8">
        <f>COUNTIFS('Datos Primaria'!$E:$E,G$2,'Datos Primaria'!$C:$C,"&gt;=01/11/2025",'Datos Primaria'!$C:$C,"&lt;=30/11/2025")</f>
        <v>0</v>
      </c>
      <c r="H37" s="8">
        <f t="shared" si="3"/>
        <v>8</v>
      </c>
      <c r="J37" s="251"/>
      <c r="K37" s="23" t="s">
        <v>87</v>
      </c>
      <c r="L37" s="34">
        <f>SUM(C$27:C37)</f>
        <v>23</v>
      </c>
      <c r="M37" s="34">
        <f>SUM(D$27:D37)</f>
        <v>19</v>
      </c>
      <c r="N37" s="34">
        <f>SUM(E$27:E37)</f>
        <v>25</v>
      </c>
      <c r="O37" s="34">
        <f>SUM(F$27:F37)</f>
        <v>20</v>
      </c>
      <c r="P37" s="34">
        <f>SUM(G$27:G37)</f>
        <v>19</v>
      </c>
      <c r="Q37" s="8">
        <f t="shared" si="4"/>
        <v>106</v>
      </c>
      <c r="S37" s="251"/>
      <c r="T37" s="23" t="s">
        <v>87</v>
      </c>
      <c r="U37" s="34">
        <f>SUM(C$3:C37)</f>
        <v>61</v>
      </c>
      <c r="V37" s="34">
        <f>SUM(D$3:D37)</f>
        <v>46</v>
      </c>
      <c r="W37" s="34">
        <f>SUM(E$3:E37)</f>
        <v>61</v>
      </c>
      <c r="X37" s="34">
        <f>SUM(F$3:F37)</f>
        <v>54</v>
      </c>
      <c r="Y37" s="34">
        <f>SUM(G$3:G37)</f>
        <v>56</v>
      </c>
      <c r="Z37" s="8">
        <f t="shared" si="5"/>
        <v>278</v>
      </c>
    </row>
    <row r="38" spans="1:26">
      <c r="A38" s="251"/>
      <c r="B38" s="23" t="s">
        <v>173</v>
      </c>
      <c r="C38" s="8">
        <f>COUNTIFS('Datos Primaria'!$E:$E,C$2,'Datos Primaria'!$C:$C,"&gt;=01/12/2025",'Datos Primaria'!$C:$C,"&lt;=31/12/2025")</f>
        <v>2</v>
      </c>
      <c r="D38" s="8">
        <f>COUNTIFS('Datos Primaria'!$E:$E,D$2,'Datos Primaria'!$C:$C,"&gt;=01/12/2025",'Datos Primaria'!$C:$C,"&lt;=31/12/2025")</f>
        <v>0</v>
      </c>
      <c r="E38" s="8">
        <f>COUNTIFS('Datos Primaria'!$E:$E,E$2,'Datos Primaria'!$C:$C,"&gt;=01/12/2025",'Datos Primaria'!$C:$C,"&lt;=31/12/2025")</f>
        <v>2</v>
      </c>
      <c r="F38" s="8">
        <f>COUNTIFS('Datos Primaria'!$E:$E,F$2,'Datos Primaria'!$C:$C,"&gt;=01/12/2025",'Datos Primaria'!$C:$C,"&lt;=31/12/2025")</f>
        <v>1</v>
      </c>
      <c r="G38" s="8">
        <f>COUNTIFS('Datos Primaria'!$E:$E,G$2,'Datos Primaria'!$C:$C,"&gt;=01/12/2025",'Datos Primaria'!$C:$C,"&lt;=31/12/2025")</f>
        <v>2</v>
      </c>
      <c r="H38" s="8">
        <f t="shared" si="3"/>
        <v>7</v>
      </c>
      <c r="J38" s="251"/>
      <c r="K38" s="23" t="s">
        <v>173</v>
      </c>
      <c r="L38" s="34">
        <f>SUM(C$27:C38)</f>
        <v>25</v>
      </c>
      <c r="M38" s="34">
        <f>SUM(D$27:D38)</f>
        <v>19</v>
      </c>
      <c r="N38" s="34">
        <f>SUM(E$27:E38)</f>
        <v>27</v>
      </c>
      <c r="O38" s="34">
        <f>SUM(F$27:F38)</f>
        <v>21</v>
      </c>
      <c r="P38" s="34">
        <f>SUM(G$27:G38)</f>
        <v>21</v>
      </c>
      <c r="Q38" s="8">
        <f t="shared" si="4"/>
        <v>113</v>
      </c>
      <c r="S38" s="251"/>
      <c r="T38" s="23" t="s">
        <v>173</v>
      </c>
      <c r="U38" s="34">
        <f>SUM(C$3:C38)</f>
        <v>63</v>
      </c>
      <c r="V38" s="34">
        <f>SUM(D$3:D38)</f>
        <v>46</v>
      </c>
      <c r="W38" s="34">
        <f>SUM(E$3:E38)</f>
        <v>63</v>
      </c>
      <c r="X38" s="34">
        <f>SUM(F$3:F38)</f>
        <v>55</v>
      </c>
      <c r="Y38" s="34">
        <f>SUM(G$3:G38)</f>
        <v>58</v>
      </c>
      <c r="Z38" s="8">
        <f t="shared" si="5"/>
        <v>285</v>
      </c>
    </row>
    <row r="41" spans="1:26">
      <c r="B41" s="255" t="s">
        <v>1429</v>
      </c>
      <c r="C41" s="256"/>
      <c r="D41" s="257"/>
      <c r="K41" s="255" t="s">
        <v>1430</v>
      </c>
      <c r="L41" s="256"/>
      <c r="M41" s="257"/>
      <c r="T41" s="255" t="s">
        <v>1431</v>
      </c>
      <c r="U41" s="256"/>
      <c r="V41" s="257"/>
    </row>
    <row r="42" spans="1:26">
      <c r="B42" s="22" t="s">
        <v>1421</v>
      </c>
      <c r="C42" s="22" t="s">
        <v>329</v>
      </c>
      <c r="D42" s="22" t="s">
        <v>1422</v>
      </c>
      <c r="K42" s="22" t="s">
        <v>1421</v>
      </c>
      <c r="L42" s="22" t="s">
        <v>329</v>
      </c>
      <c r="M42" s="22" t="s">
        <v>1422</v>
      </c>
      <c r="T42" s="22" t="s">
        <v>1421</v>
      </c>
      <c r="U42" s="22" t="s">
        <v>329</v>
      </c>
      <c r="V42" s="22" t="s">
        <v>1422</v>
      </c>
    </row>
    <row r="43" spans="1:26">
      <c r="A43" s="251">
        <f>A3</f>
        <v>2023</v>
      </c>
      <c r="B43" s="23" t="s">
        <v>13</v>
      </c>
      <c r="C43" s="8">
        <f>COUNTIFS('Datos Primaria'!$E:$E,C$42,'Datos Primaria'!$H:$H,"&gt;=01/01/2023",'Datos Primaria'!$H:$H,"&lt;=31/01/2023")</f>
        <v>0</v>
      </c>
      <c r="D43" s="8">
        <f>SUM(C43)</f>
        <v>0</v>
      </c>
      <c r="J43" s="251">
        <f>A43</f>
        <v>2023</v>
      </c>
      <c r="K43" s="23" t="s">
        <v>13</v>
      </c>
      <c r="L43" s="34">
        <f>SUM(C$43:C43)</f>
        <v>0</v>
      </c>
      <c r="M43" s="8">
        <f>SUM(L43)</f>
        <v>0</v>
      </c>
      <c r="S43" s="251">
        <f>A43</f>
        <v>2023</v>
      </c>
      <c r="T43" s="23" t="s">
        <v>13</v>
      </c>
      <c r="U43" s="34">
        <f>SUM(C$43:C43)</f>
        <v>0</v>
      </c>
      <c r="V43" s="8">
        <f>SUM(U43)</f>
        <v>0</v>
      </c>
    </row>
    <row r="44" spans="1:26">
      <c r="A44" s="251"/>
      <c r="B44" s="23" t="s">
        <v>24</v>
      </c>
      <c r="C44" s="8">
        <f>COUNTIFS('Datos Primaria'!$E:$E,C$42,'Datos Primaria'!$H:$H,"&gt;=01/02/2023",'Datos Primaria'!$H:$H,"&lt;=28/02/2023")</f>
        <v>0</v>
      </c>
      <c r="D44" s="8">
        <f t="shared" ref="D44:D54" si="6">SUM(C44)</f>
        <v>0</v>
      </c>
      <c r="J44" s="251"/>
      <c r="K44" s="23" t="s">
        <v>24</v>
      </c>
      <c r="L44" s="34">
        <f>SUM(C$43:C44)</f>
        <v>0</v>
      </c>
      <c r="M44" s="8">
        <f t="shared" ref="M44:M54" si="7">SUM(L44)</f>
        <v>0</v>
      </c>
      <c r="S44" s="251"/>
      <c r="T44" s="23" t="s">
        <v>24</v>
      </c>
      <c r="U44" s="34">
        <f>SUM(C$43:C44)</f>
        <v>0</v>
      </c>
      <c r="V44" s="8">
        <f t="shared" ref="V44:V54" si="8">SUM(U44)</f>
        <v>0</v>
      </c>
    </row>
    <row r="45" spans="1:26">
      <c r="A45" s="251"/>
      <c r="B45" s="23" t="s">
        <v>34</v>
      </c>
      <c r="C45" s="8">
        <f>COUNTIFS('Datos Primaria'!$E:$E,C$42,'Datos Primaria'!$H:$H,"&gt;=01/03/2023",'Datos Primaria'!$H:$H,"&lt;=31/03/2023")</f>
        <v>1</v>
      </c>
      <c r="D45" s="8">
        <f t="shared" si="6"/>
        <v>1</v>
      </c>
      <c r="J45" s="251"/>
      <c r="K45" s="23" t="s">
        <v>34</v>
      </c>
      <c r="L45" s="34">
        <f>SUM(C$43:C45)</f>
        <v>1</v>
      </c>
      <c r="M45" s="8">
        <f t="shared" si="7"/>
        <v>1</v>
      </c>
      <c r="S45" s="251"/>
      <c r="T45" s="23" t="s">
        <v>34</v>
      </c>
      <c r="U45" s="34">
        <f>SUM(C$43:C45)</f>
        <v>1</v>
      </c>
      <c r="V45" s="8">
        <f t="shared" si="8"/>
        <v>1</v>
      </c>
    </row>
    <row r="46" spans="1:26">
      <c r="A46" s="251"/>
      <c r="B46" s="23" t="s">
        <v>38</v>
      </c>
      <c r="C46" s="8">
        <f>COUNTIFS('Datos Primaria'!$E:$E,C$42,'Datos Primaria'!$H:$H,"&gt;=01/04/2023",'Datos Primaria'!$H:$H,"&lt;=30/04/2023")</f>
        <v>0</v>
      </c>
      <c r="D46" s="8">
        <f t="shared" si="6"/>
        <v>0</v>
      </c>
      <c r="J46" s="251"/>
      <c r="K46" s="23" t="s">
        <v>38</v>
      </c>
      <c r="L46" s="34">
        <f>SUM(C$43:C46)</f>
        <v>1</v>
      </c>
      <c r="M46" s="8">
        <f t="shared" si="7"/>
        <v>1</v>
      </c>
      <c r="S46" s="251"/>
      <c r="T46" s="23" t="s">
        <v>38</v>
      </c>
      <c r="U46" s="34">
        <f>SUM(C$43:C46)</f>
        <v>1</v>
      </c>
      <c r="V46" s="8">
        <f t="shared" si="8"/>
        <v>1</v>
      </c>
    </row>
    <row r="47" spans="1:26">
      <c r="A47" s="251"/>
      <c r="B47" s="23" t="s">
        <v>47</v>
      </c>
      <c r="C47" s="8">
        <f>COUNTIFS('Datos Primaria'!$E:$E,C$42,'Datos Primaria'!$H:$H,"&gt;=01/05/2023",'Datos Primaria'!$H:$H,"&lt;=31/05/2023")</f>
        <v>0</v>
      </c>
      <c r="D47" s="8">
        <f t="shared" si="6"/>
        <v>0</v>
      </c>
      <c r="J47" s="251"/>
      <c r="K47" s="23" t="s">
        <v>47</v>
      </c>
      <c r="L47" s="34">
        <f>SUM(C$43:C47)</f>
        <v>1</v>
      </c>
      <c r="M47" s="8">
        <f t="shared" si="7"/>
        <v>1</v>
      </c>
      <c r="S47" s="251"/>
      <c r="T47" s="23" t="s">
        <v>47</v>
      </c>
      <c r="U47" s="34">
        <f>SUM(C$43:C47)</f>
        <v>1</v>
      </c>
      <c r="V47" s="8">
        <f t="shared" si="8"/>
        <v>1</v>
      </c>
    </row>
    <row r="48" spans="1:26">
      <c r="A48" s="251"/>
      <c r="B48" s="23" t="s">
        <v>57</v>
      </c>
      <c r="C48" s="8">
        <f>COUNTIFS('Datos Primaria'!$E:$E,C$42,'Datos Primaria'!$H:$H,"&gt;=01/06/2023",'Datos Primaria'!$H:$H,"&lt;=30/06/2023")</f>
        <v>0</v>
      </c>
      <c r="D48" s="8">
        <f t="shared" si="6"/>
        <v>0</v>
      </c>
      <c r="J48" s="251"/>
      <c r="K48" s="23" t="s">
        <v>57</v>
      </c>
      <c r="L48" s="34">
        <f>SUM(C$43:C48)</f>
        <v>1</v>
      </c>
      <c r="M48" s="8">
        <f t="shared" si="7"/>
        <v>1</v>
      </c>
      <c r="S48" s="251"/>
      <c r="T48" s="23" t="s">
        <v>57</v>
      </c>
      <c r="U48" s="34">
        <f>SUM(C$43:C48)</f>
        <v>1</v>
      </c>
      <c r="V48" s="8">
        <f t="shared" si="8"/>
        <v>1</v>
      </c>
    </row>
    <row r="49" spans="1:22">
      <c r="A49" s="251"/>
      <c r="B49" s="23" t="s">
        <v>62</v>
      </c>
      <c r="C49" s="8">
        <f>COUNTIFS('Datos Primaria'!$E:$E,C$42,'Datos Primaria'!$H:$H,"&gt;=01/07/2023",'Datos Primaria'!$H:$H,"&lt;=31/07/2023")</f>
        <v>1</v>
      </c>
      <c r="D49" s="8">
        <f t="shared" si="6"/>
        <v>1</v>
      </c>
      <c r="J49" s="251"/>
      <c r="K49" s="23" t="s">
        <v>62</v>
      </c>
      <c r="L49" s="34">
        <f>SUM(C$43:C49)</f>
        <v>2</v>
      </c>
      <c r="M49" s="8">
        <f t="shared" si="7"/>
        <v>2</v>
      </c>
      <c r="S49" s="251"/>
      <c r="T49" s="23" t="s">
        <v>62</v>
      </c>
      <c r="U49" s="34">
        <f>SUM(C$43:C49)</f>
        <v>2</v>
      </c>
      <c r="V49" s="8">
        <f t="shared" si="8"/>
        <v>2</v>
      </c>
    </row>
    <row r="50" spans="1:22">
      <c r="A50" s="251"/>
      <c r="B50" s="23" t="s">
        <v>68</v>
      </c>
      <c r="C50" s="8">
        <f>COUNTIFS('Datos Primaria'!$E:$E,C$42,'Datos Primaria'!$H:$H,"&gt;=01/08/2023",'Datos Primaria'!$H:$H,"&lt;=31/08/2023")</f>
        <v>1</v>
      </c>
      <c r="D50" s="8">
        <f t="shared" si="6"/>
        <v>1</v>
      </c>
      <c r="J50" s="251"/>
      <c r="K50" s="23" t="s">
        <v>68</v>
      </c>
      <c r="L50" s="34">
        <f>SUM(C$43:C50)</f>
        <v>3</v>
      </c>
      <c r="M50" s="8">
        <f t="shared" si="7"/>
        <v>3</v>
      </c>
      <c r="S50" s="251"/>
      <c r="T50" s="23" t="s">
        <v>68</v>
      </c>
      <c r="U50" s="34">
        <f>SUM(C$43:C50)</f>
        <v>3</v>
      </c>
      <c r="V50" s="8">
        <f t="shared" si="8"/>
        <v>3</v>
      </c>
    </row>
    <row r="51" spans="1:22">
      <c r="A51" s="251"/>
      <c r="B51" s="23" t="s">
        <v>77</v>
      </c>
      <c r="C51" s="8">
        <f>COUNTIFS('Datos Primaria'!$E:$E,C$42,'Datos Primaria'!$H:$H,"&gt;=01/09/2023",'Datos Primaria'!$H:$H,"&lt;=30/09/2023")</f>
        <v>1</v>
      </c>
      <c r="D51" s="8">
        <f t="shared" si="6"/>
        <v>1</v>
      </c>
      <c r="J51" s="251"/>
      <c r="K51" s="23" t="s">
        <v>77</v>
      </c>
      <c r="L51" s="34">
        <f>SUM(C$43:C51)</f>
        <v>4</v>
      </c>
      <c r="M51" s="8">
        <f t="shared" si="7"/>
        <v>4</v>
      </c>
      <c r="S51" s="251"/>
      <c r="T51" s="23" t="s">
        <v>77</v>
      </c>
      <c r="U51" s="34">
        <f>SUM(C$43:C51)</f>
        <v>4</v>
      </c>
      <c r="V51" s="8">
        <f t="shared" si="8"/>
        <v>4</v>
      </c>
    </row>
    <row r="52" spans="1:22">
      <c r="A52" s="251"/>
      <c r="B52" s="23" t="s">
        <v>84</v>
      </c>
      <c r="C52" s="8">
        <f>COUNTIFS('Datos Primaria'!$E:$E,C$42,'Datos Primaria'!$H:$H,"&gt;=01/10/2023",'Datos Primaria'!$H:$H,"&lt;=31/10/2023")</f>
        <v>1</v>
      </c>
      <c r="D52" s="8">
        <f t="shared" si="6"/>
        <v>1</v>
      </c>
      <c r="J52" s="251"/>
      <c r="K52" s="23" t="s">
        <v>84</v>
      </c>
      <c r="L52" s="34">
        <f>SUM(C$43:C52)</f>
        <v>5</v>
      </c>
      <c r="M52" s="8">
        <f t="shared" si="7"/>
        <v>5</v>
      </c>
      <c r="S52" s="251"/>
      <c r="T52" s="23" t="s">
        <v>84</v>
      </c>
      <c r="U52" s="34">
        <f>SUM(C$43:C52)</f>
        <v>5</v>
      </c>
      <c r="V52" s="8">
        <f t="shared" si="8"/>
        <v>5</v>
      </c>
    </row>
    <row r="53" spans="1:22">
      <c r="A53" s="251"/>
      <c r="B53" s="23" t="s">
        <v>87</v>
      </c>
      <c r="C53" s="8">
        <f>COUNTIFS('Datos Primaria'!$E:$E,C$42,'Datos Primaria'!$H:$H,"&gt;=01/11/2023",'Datos Primaria'!$H:$H,"&lt;=30/11/2023")</f>
        <v>1</v>
      </c>
      <c r="D53" s="8">
        <f t="shared" si="6"/>
        <v>1</v>
      </c>
      <c r="J53" s="251"/>
      <c r="K53" s="23" t="s">
        <v>87</v>
      </c>
      <c r="L53" s="34">
        <f>SUM(C$43:C53)</f>
        <v>6</v>
      </c>
      <c r="M53" s="8">
        <f t="shared" si="7"/>
        <v>6</v>
      </c>
      <c r="S53" s="251"/>
      <c r="T53" s="23" t="s">
        <v>87</v>
      </c>
      <c r="U53" s="34">
        <f>SUM(C$43:C53)</f>
        <v>6</v>
      </c>
      <c r="V53" s="8">
        <f t="shared" si="8"/>
        <v>6</v>
      </c>
    </row>
    <row r="54" spans="1:22">
      <c r="A54" s="251"/>
      <c r="B54" s="23" t="s">
        <v>173</v>
      </c>
      <c r="C54" s="8">
        <f>COUNTIFS('Datos Primaria'!$E:$E,C$42,'Datos Primaria'!$H:$H,"&gt;=01/12/2023",'Datos Primaria'!$H:$H,"&lt;=31/12/2023")</f>
        <v>0</v>
      </c>
      <c r="D54" s="8">
        <f t="shared" si="6"/>
        <v>0</v>
      </c>
      <c r="J54" s="251"/>
      <c r="K54" s="23" t="s">
        <v>173</v>
      </c>
      <c r="L54" s="34">
        <f>SUM(C$43:C54)</f>
        <v>6</v>
      </c>
      <c r="M54" s="8">
        <f t="shared" si="7"/>
        <v>6</v>
      </c>
      <c r="S54" s="251"/>
      <c r="T54" s="23" t="s">
        <v>173</v>
      </c>
      <c r="U54" s="34">
        <f>SUM(C$43:C54)</f>
        <v>6</v>
      </c>
      <c r="V54" s="8">
        <f t="shared" si="8"/>
        <v>6</v>
      </c>
    </row>
    <row r="55" spans="1:22" ht="14.45" customHeight="1">
      <c r="A55" s="251">
        <f>A15</f>
        <v>2024</v>
      </c>
      <c r="B55" s="23" t="s">
        <v>13</v>
      </c>
      <c r="C55" s="8">
        <f>COUNTIFS('Datos Primaria'!$E:$E,C$42,'Datos Primaria'!$H:$H,"&gt;=01/01/2024",'Datos Primaria'!$H:$H,"&lt;=31/01/2024")</f>
        <v>0</v>
      </c>
      <c r="D55" s="8">
        <f>SUM(C55)</f>
        <v>0</v>
      </c>
      <c r="J55" s="251">
        <f>A55</f>
        <v>2024</v>
      </c>
      <c r="K55" s="23" t="s">
        <v>13</v>
      </c>
      <c r="L55" s="34">
        <f>SUM(C$55:C55)</f>
        <v>0</v>
      </c>
      <c r="M55" s="8">
        <f>SUM(L55)</f>
        <v>0</v>
      </c>
      <c r="S55" s="251">
        <f>A55</f>
        <v>2024</v>
      </c>
      <c r="T55" s="23" t="s">
        <v>13</v>
      </c>
      <c r="U55" s="34">
        <f>SUM(C$43:C55)</f>
        <v>6</v>
      </c>
      <c r="V55" s="8">
        <f>SUM(U55)</f>
        <v>6</v>
      </c>
    </row>
    <row r="56" spans="1:22">
      <c r="A56" s="251"/>
      <c r="B56" s="23" t="s">
        <v>24</v>
      </c>
      <c r="C56" s="8">
        <f>COUNTIFS('Datos Primaria'!$E:$E,C$42,'Datos Primaria'!$H:$H,"&gt;=01/02/2024",'Datos Primaria'!$H:$H,"&lt;=29/02/2024")</f>
        <v>0</v>
      </c>
      <c r="D56" s="8">
        <f t="shared" ref="D56:D66" si="9">SUM(C56)</f>
        <v>0</v>
      </c>
      <c r="J56" s="251"/>
      <c r="K56" s="23" t="s">
        <v>24</v>
      </c>
      <c r="L56" s="34">
        <f>SUM(C$55:C56)</f>
        <v>0</v>
      </c>
      <c r="M56" s="8">
        <f t="shared" ref="M56:M66" si="10">SUM(L56)</f>
        <v>0</v>
      </c>
      <c r="S56" s="251"/>
      <c r="T56" s="23" t="s">
        <v>24</v>
      </c>
      <c r="U56" s="34">
        <f>SUM(C$43:C56)</f>
        <v>6</v>
      </c>
      <c r="V56" s="8">
        <f t="shared" ref="V56:V66" si="11">SUM(U56)</f>
        <v>6</v>
      </c>
    </row>
    <row r="57" spans="1:22">
      <c r="A57" s="251"/>
      <c r="B57" s="23" t="s">
        <v>34</v>
      </c>
      <c r="C57" s="8">
        <f>COUNTIFS('Datos Primaria'!$E:$E,C$42,'Datos Primaria'!$H:$H,"&gt;=01/03/2024",'Datos Primaria'!$H:$H,"&lt;=31/03/2024")</f>
        <v>0</v>
      </c>
      <c r="D57" s="8">
        <f t="shared" si="9"/>
        <v>0</v>
      </c>
      <c r="J57" s="251"/>
      <c r="K57" s="23" t="s">
        <v>34</v>
      </c>
      <c r="L57" s="34">
        <f>SUM(C$55:C57)</f>
        <v>0</v>
      </c>
      <c r="M57" s="8">
        <f t="shared" si="10"/>
        <v>0</v>
      </c>
      <c r="S57" s="251"/>
      <c r="T57" s="23" t="s">
        <v>34</v>
      </c>
      <c r="U57" s="34">
        <f>SUM(C$43:C57)</f>
        <v>6</v>
      </c>
      <c r="V57" s="8">
        <f t="shared" si="11"/>
        <v>6</v>
      </c>
    </row>
    <row r="58" spans="1:22">
      <c r="A58" s="251"/>
      <c r="B58" s="23" t="s">
        <v>38</v>
      </c>
      <c r="C58" s="8">
        <f>COUNTIFS('Datos Primaria'!$E:$E,C$42,'Datos Primaria'!$H:$H,"&gt;=01/04/2024",'Datos Primaria'!$H:$H,"&lt;=30/04/2024")</f>
        <v>1</v>
      </c>
      <c r="D58" s="8">
        <f t="shared" si="9"/>
        <v>1</v>
      </c>
      <c r="J58" s="251"/>
      <c r="K58" s="23" t="s">
        <v>38</v>
      </c>
      <c r="L58" s="34">
        <f>SUM(C$55:C58)</f>
        <v>1</v>
      </c>
      <c r="M58" s="8">
        <f t="shared" si="10"/>
        <v>1</v>
      </c>
      <c r="S58" s="251"/>
      <c r="T58" s="23" t="s">
        <v>38</v>
      </c>
      <c r="U58" s="34">
        <f>SUM(C$43:C58)</f>
        <v>7</v>
      </c>
      <c r="V58" s="8">
        <f t="shared" si="11"/>
        <v>7</v>
      </c>
    </row>
    <row r="59" spans="1:22">
      <c r="A59" s="251"/>
      <c r="B59" s="23" t="s">
        <v>47</v>
      </c>
      <c r="C59" s="8">
        <f>COUNTIFS('Datos Primaria'!$E:$E,C$42,'Datos Primaria'!$H:$H,"&gt;=01/05/2024",'Datos Primaria'!$H:$H,"&lt;=31/05/2024")</f>
        <v>0</v>
      </c>
      <c r="D59" s="8">
        <f t="shared" si="9"/>
        <v>0</v>
      </c>
      <c r="J59" s="251"/>
      <c r="K59" s="23" t="s">
        <v>47</v>
      </c>
      <c r="L59" s="34">
        <f>SUM(C$55:C59)</f>
        <v>1</v>
      </c>
      <c r="M59" s="8">
        <f t="shared" si="10"/>
        <v>1</v>
      </c>
      <c r="S59" s="251"/>
      <c r="T59" s="23" t="s">
        <v>47</v>
      </c>
      <c r="U59" s="34">
        <f>SUM(C$43:C59)</f>
        <v>7</v>
      </c>
      <c r="V59" s="8">
        <f t="shared" si="11"/>
        <v>7</v>
      </c>
    </row>
    <row r="60" spans="1:22">
      <c r="A60" s="251"/>
      <c r="B60" s="23" t="s">
        <v>57</v>
      </c>
      <c r="C60" s="8">
        <f>COUNTIFS('Datos Primaria'!$E:$E,C$42,'Datos Primaria'!$H:$H,"&gt;=01/06/2024",'Datos Primaria'!$H:$H,"&lt;=30/06/2024")</f>
        <v>1</v>
      </c>
      <c r="D60" s="8">
        <f t="shared" si="9"/>
        <v>1</v>
      </c>
      <c r="J60" s="251"/>
      <c r="K60" s="23" t="s">
        <v>57</v>
      </c>
      <c r="L60" s="34">
        <f>SUM(C$55:C60)</f>
        <v>2</v>
      </c>
      <c r="M60" s="8">
        <f t="shared" si="10"/>
        <v>2</v>
      </c>
      <c r="S60" s="251"/>
      <c r="T60" s="23" t="s">
        <v>57</v>
      </c>
      <c r="U60" s="34">
        <f>SUM(C$43:C60)</f>
        <v>8</v>
      </c>
      <c r="V60" s="8">
        <f t="shared" si="11"/>
        <v>8</v>
      </c>
    </row>
    <row r="61" spans="1:22">
      <c r="A61" s="251"/>
      <c r="B61" s="23" t="s">
        <v>62</v>
      </c>
      <c r="C61" s="8">
        <f>COUNTIFS('Datos Primaria'!$E:$E,C$42,'Datos Primaria'!$H:$H,"&gt;=01/07/2024",'Datos Primaria'!$H:$H,"&lt;=31/07/2024")</f>
        <v>1</v>
      </c>
      <c r="D61" s="8">
        <f t="shared" si="9"/>
        <v>1</v>
      </c>
      <c r="J61" s="251"/>
      <c r="K61" s="23" t="s">
        <v>62</v>
      </c>
      <c r="L61" s="34">
        <f>SUM(C$55:C61)</f>
        <v>3</v>
      </c>
      <c r="M61" s="8">
        <f t="shared" si="10"/>
        <v>3</v>
      </c>
      <c r="S61" s="251"/>
      <c r="T61" s="23" t="s">
        <v>62</v>
      </c>
      <c r="U61" s="34">
        <f>SUM(C$43:C61)</f>
        <v>9</v>
      </c>
      <c r="V61" s="8">
        <f t="shared" si="11"/>
        <v>9</v>
      </c>
    </row>
    <row r="62" spans="1:22">
      <c r="A62" s="251"/>
      <c r="B62" s="23" t="s">
        <v>68</v>
      </c>
      <c r="C62" s="8">
        <f>COUNTIFS('Datos Primaria'!$E:$E,C$42,'Datos Primaria'!$H:$H,"&gt;=01/08/2024",'Datos Primaria'!$H:$H,"&lt;=31/08/2024")</f>
        <v>1</v>
      </c>
      <c r="D62" s="8">
        <f t="shared" si="9"/>
        <v>1</v>
      </c>
      <c r="J62" s="251"/>
      <c r="K62" s="23" t="s">
        <v>68</v>
      </c>
      <c r="L62" s="34">
        <f>SUM(C$55:C62)</f>
        <v>4</v>
      </c>
      <c r="M62" s="8">
        <f t="shared" si="10"/>
        <v>4</v>
      </c>
      <c r="S62" s="251"/>
      <c r="T62" s="23" t="s">
        <v>68</v>
      </c>
      <c r="U62" s="34">
        <f>SUM(C$43:C62)</f>
        <v>10</v>
      </c>
      <c r="V62" s="8">
        <f t="shared" si="11"/>
        <v>10</v>
      </c>
    </row>
    <row r="63" spans="1:22">
      <c r="A63" s="251"/>
      <c r="B63" s="23" t="s">
        <v>77</v>
      </c>
      <c r="C63" s="8">
        <f>COUNTIFS('Datos Primaria'!$E:$E,C$42,'Datos Primaria'!$H:$H,"&gt;=01/09/2024",'Datos Primaria'!$H:$H,"&lt;=30/09/2024")</f>
        <v>1</v>
      </c>
      <c r="D63" s="8">
        <f t="shared" si="9"/>
        <v>1</v>
      </c>
      <c r="J63" s="251"/>
      <c r="K63" s="23" t="s">
        <v>77</v>
      </c>
      <c r="L63" s="34">
        <f>SUM(C$55:C63)</f>
        <v>5</v>
      </c>
      <c r="M63" s="8">
        <f t="shared" si="10"/>
        <v>5</v>
      </c>
      <c r="S63" s="251"/>
      <c r="T63" s="23" t="s">
        <v>77</v>
      </c>
      <c r="U63" s="34">
        <f>SUM(C$43:C63)</f>
        <v>11</v>
      </c>
      <c r="V63" s="8">
        <f t="shared" si="11"/>
        <v>11</v>
      </c>
    </row>
    <row r="64" spans="1:22">
      <c r="A64" s="251"/>
      <c r="B64" s="23" t="s">
        <v>84</v>
      </c>
      <c r="C64" s="8">
        <f>COUNTIFS('Datos Primaria'!$E:$E,C$42,'Datos Primaria'!$H:$H,"&gt;=01/10/2024",'Datos Primaria'!$H:$H,"&lt;=31/10/2024")</f>
        <v>2</v>
      </c>
      <c r="D64" s="8">
        <f t="shared" si="9"/>
        <v>2</v>
      </c>
      <c r="J64" s="251"/>
      <c r="K64" s="23" t="s">
        <v>84</v>
      </c>
      <c r="L64" s="34">
        <f>SUM(C$55:C64)</f>
        <v>7</v>
      </c>
      <c r="M64" s="8">
        <f t="shared" si="10"/>
        <v>7</v>
      </c>
      <c r="S64" s="251"/>
      <c r="T64" s="23" t="s">
        <v>84</v>
      </c>
      <c r="U64" s="34">
        <f>SUM(C$43:C64)</f>
        <v>13</v>
      </c>
      <c r="V64" s="8">
        <f t="shared" si="11"/>
        <v>13</v>
      </c>
    </row>
    <row r="65" spans="1:22">
      <c r="A65" s="251"/>
      <c r="B65" s="23" t="s">
        <v>87</v>
      </c>
      <c r="C65" s="8">
        <f>COUNTIFS('Datos Primaria'!$E:$E,C$42,'Datos Primaria'!$H:$H,"&gt;=01/11/2024",'Datos Primaria'!$H:$H,"&lt;=30/11/2024")</f>
        <v>0</v>
      </c>
      <c r="D65" s="8">
        <f t="shared" si="9"/>
        <v>0</v>
      </c>
      <c r="J65" s="251"/>
      <c r="K65" s="23" t="s">
        <v>87</v>
      </c>
      <c r="L65" s="34">
        <f>SUM(C$55:C65)</f>
        <v>7</v>
      </c>
      <c r="M65" s="8">
        <f t="shared" si="10"/>
        <v>7</v>
      </c>
      <c r="S65" s="251"/>
      <c r="T65" s="23" t="s">
        <v>87</v>
      </c>
      <c r="U65" s="34">
        <f>SUM(C$43:C65)</f>
        <v>13</v>
      </c>
      <c r="V65" s="8">
        <f t="shared" si="11"/>
        <v>13</v>
      </c>
    </row>
    <row r="66" spans="1:22">
      <c r="A66" s="251"/>
      <c r="B66" s="23" t="s">
        <v>173</v>
      </c>
      <c r="C66" s="8">
        <f>COUNTIFS('Datos Primaria'!$E:$E,C$42,'Datos Primaria'!$H:$H,"&gt;=01/12/2024",'Datos Primaria'!$H:$H,"&lt;=31/12/2024")</f>
        <v>3</v>
      </c>
      <c r="D66" s="8">
        <f t="shared" si="9"/>
        <v>3</v>
      </c>
      <c r="J66" s="251"/>
      <c r="K66" s="23" t="s">
        <v>173</v>
      </c>
      <c r="L66" s="34">
        <f>SUM(C$55:C66)</f>
        <v>10</v>
      </c>
      <c r="M66" s="8">
        <f t="shared" si="10"/>
        <v>10</v>
      </c>
      <c r="S66" s="251"/>
      <c r="T66" s="23" t="s">
        <v>173</v>
      </c>
      <c r="U66" s="34">
        <f>SUM(C$43:C66)</f>
        <v>16</v>
      </c>
      <c r="V66" s="8">
        <f t="shared" si="11"/>
        <v>16</v>
      </c>
    </row>
    <row r="67" spans="1:22" ht="14.45" customHeight="1">
      <c r="A67" s="251">
        <f>A27</f>
        <v>2025</v>
      </c>
      <c r="B67" s="23" t="s">
        <v>13</v>
      </c>
      <c r="C67" s="8">
        <f>COUNTIFS('Datos Primaria'!$E:$E,C$42,'Datos Primaria'!$H:$H,"&gt;=01/01/2025",'Datos Primaria'!$H:$H,"&lt;=31/01/2025")</f>
        <v>0</v>
      </c>
      <c r="D67" s="8">
        <f>SUM(C67)</f>
        <v>0</v>
      </c>
      <c r="J67" s="251">
        <f>A67</f>
        <v>2025</v>
      </c>
      <c r="K67" s="23" t="s">
        <v>13</v>
      </c>
      <c r="L67" s="34">
        <f>SUM(C$67:C67)</f>
        <v>0</v>
      </c>
      <c r="M67" s="8">
        <f>SUM(L67)</f>
        <v>0</v>
      </c>
      <c r="S67" s="251">
        <f>A67</f>
        <v>2025</v>
      </c>
      <c r="T67" s="23" t="s">
        <v>13</v>
      </c>
      <c r="U67" s="34">
        <f>SUM(C$43:C67)</f>
        <v>16</v>
      </c>
      <c r="V67" s="8">
        <f>SUM(U67)</f>
        <v>16</v>
      </c>
    </row>
    <row r="68" spans="1:22">
      <c r="A68" s="251"/>
      <c r="B68" s="23" t="s">
        <v>24</v>
      </c>
      <c r="C68" s="8">
        <f>COUNTIFS('Datos Primaria'!$E:$E,C$42,'Datos Primaria'!$H:$H,"&gt;=01/02/2025",'Datos Primaria'!$H:$H,"&lt;=28/02/2025")</f>
        <v>1</v>
      </c>
      <c r="D68" s="8">
        <f t="shared" ref="D68:D78" si="12">SUM(C68)</f>
        <v>1</v>
      </c>
      <c r="J68" s="251"/>
      <c r="K68" s="23" t="s">
        <v>24</v>
      </c>
      <c r="L68" s="34">
        <f>SUM(C$67:C68)</f>
        <v>1</v>
      </c>
      <c r="M68" s="8">
        <f t="shared" ref="M68:M78" si="13">SUM(L68)</f>
        <v>1</v>
      </c>
      <c r="S68" s="251"/>
      <c r="T68" s="23" t="s">
        <v>24</v>
      </c>
      <c r="U68" s="34">
        <f>SUM(C$43:C68)</f>
        <v>17</v>
      </c>
      <c r="V68" s="8">
        <f t="shared" ref="V68:V78" si="14">SUM(U68)</f>
        <v>17</v>
      </c>
    </row>
    <row r="69" spans="1:22">
      <c r="A69" s="251"/>
      <c r="B69" s="23" t="s">
        <v>34</v>
      </c>
      <c r="C69" s="8">
        <f>COUNTIFS('Datos Primaria'!$E:$E,C$42,'Datos Primaria'!$H:$H,"&gt;=01/03/2025",'Datos Primaria'!$H:$H,"&lt;=31/03/2025")</f>
        <v>0</v>
      </c>
      <c r="D69" s="8">
        <f t="shared" si="12"/>
        <v>0</v>
      </c>
      <c r="J69" s="251"/>
      <c r="K69" s="23" t="s">
        <v>34</v>
      </c>
      <c r="L69" s="34">
        <f>SUM(C$67:C69)</f>
        <v>1</v>
      </c>
      <c r="M69" s="8">
        <f t="shared" si="13"/>
        <v>1</v>
      </c>
      <c r="S69" s="251"/>
      <c r="T69" s="23" t="s">
        <v>34</v>
      </c>
      <c r="U69" s="34">
        <f>SUM(C$43:C69)</f>
        <v>17</v>
      </c>
      <c r="V69" s="8">
        <f t="shared" si="14"/>
        <v>17</v>
      </c>
    </row>
    <row r="70" spans="1:22">
      <c r="A70" s="251"/>
      <c r="B70" s="23" t="s">
        <v>38</v>
      </c>
      <c r="C70" s="8">
        <f>COUNTIFS('Datos Primaria'!$E:$E,C$42,'Datos Primaria'!$H:$H,"&gt;=01/04/2025",'Datos Primaria'!$H:$H,"&lt;=30/04/2025")</f>
        <v>1</v>
      </c>
      <c r="D70" s="8">
        <f t="shared" si="12"/>
        <v>1</v>
      </c>
      <c r="J70" s="251"/>
      <c r="K70" s="23" t="s">
        <v>38</v>
      </c>
      <c r="L70" s="34">
        <f>SUM(C$67:C70)</f>
        <v>2</v>
      </c>
      <c r="M70" s="8">
        <f t="shared" si="13"/>
        <v>2</v>
      </c>
      <c r="S70" s="251"/>
      <c r="T70" s="23" t="s">
        <v>38</v>
      </c>
      <c r="U70" s="34">
        <f>SUM(C$43:C70)</f>
        <v>18</v>
      </c>
      <c r="V70" s="8">
        <f t="shared" si="14"/>
        <v>18</v>
      </c>
    </row>
    <row r="71" spans="1:22">
      <c r="A71" s="251"/>
      <c r="B71" s="23" t="s">
        <v>47</v>
      </c>
      <c r="C71" s="8">
        <f>COUNTIFS('Datos Primaria'!$E:$E,C$42,'Datos Primaria'!$H:$H,"&gt;=01/05/2025",'Datos Primaria'!$H:$H,"&lt;=31/05/2025")</f>
        <v>0</v>
      </c>
      <c r="D71" s="8">
        <f t="shared" si="12"/>
        <v>0</v>
      </c>
      <c r="J71" s="251"/>
      <c r="K71" s="23" t="s">
        <v>47</v>
      </c>
      <c r="L71" s="34">
        <f>SUM(C$67:C71)</f>
        <v>2</v>
      </c>
      <c r="M71" s="8">
        <f t="shared" si="13"/>
        <v>2</v>
      </c>
      <c r="S71" s="251"/>
      <c r="T71" s="23" t="s">
        <v>47</v>
      </c>
      <c r="U71" s="34">
        <f>SUM(C$43:C71)</f>
        <v>18</v>
      </c>
      <c r="V71" s="8">
        <f t="shared" si="14"/>
        <v>18</v>
      </c>
    </row>
    <row r="72" spans="1:22">
      <c r="A72" s="251"/>
      <c r="B72" s="23" t="s">
        <v>57</v>
      </c>
      <c r="C72" s="8">
        <f>COUNTIFS('Datos Primaria'!$E:$E,C$42,'Datos Primaria'!$H:$H,"&gt;=01/06/2025",'Datos Primaria'!$H:$H,"&lt;=30/06/2025")</f>
        <v>0</v>
      </c>
      <c r="D72" s="8">
        <f t="shared" si="12"/>
        <v>0</v>
      </c>
      <c r="J72" s="251"/>
      <c r="K72" s="23" t="s">
        <v>57</v>
      </c>
      <c r="L72" s="34">
        <f>SUM(C$67:C72)</f>
        <v>2</v>
      </c>
      <c r="M72" s="8">
        <f t="shared" si="13"/>
        <v>2</v>
      </c>
      <c r="S72" s="251"/>
      <c r="T72" s="23" t="s">
        <v>57</v>
      </c>
      <c r="U72" s="34">
        <f>SUM(C$43:C72)</f>
        <v>18</v>
      </c>
      <c r="V72" s="8">
        <f t="shared" si="14"/>
        <v>18</v>
      </c>
    </row>
    <row r="73" spans="1:22">
      <c r="A73" s="251"/>
      <c r="B73" s="23" t="s">
        <v>62</v>
      </c>
      <c r="C73" s="8">
        <f>COUNTIFS('Datos Primaria'!$E:$E,C$42,'Datos Primaria'!$H:$H,"&gt;=01/07/2025",'Datos Primaria'!$H:$H,"&lt;=31/07/2025")</f>
        <v>0</v>
      </c>
      <c r="D73" s="8">
        <f t="shared" si="12"/>
        <v>0</v>
      </c>
      <c r="J73" s="251"/>
      <c r="K73" s="23" t="s">
        <v>62</v>
      </c>
      <c r="L73" s="34">
        <f>SUM(C$67:C73)</f>
        <v>2</v>
      </c>
      <c r="M73" s="8">
        <f t="shared" si="13"/>
        <v>2</v>
      </c>
      <c r="S73" s="251"/>
      <c r="T73" s="23" t="s">
        <v>62</v>
      </c>
      <c r="U73" s="34">
        <f>SUM(C$43:C73)</f>
        <v>18</v>
      </c>
      <c r="V73" s="8">
        <f t="shared" si="14"/>
        <v>18</v>
      </c>
    </row>
    <row r="74" spans="1:22">
      <c r="A74" s="251"/>
      <c r="B74" s="23" t="s">
        <v>68</v>
      </c>
      <c r="C74" s="8">
        <f>COUNTIFS('Datos Primaria'!$E:$E,C$42,'Datos Primaria'!$H:$H,"&gt;=01/08/2025",'Datos Primaria'!$H:$H,"&lt;=31/08/2025")</f>
        <v>2</v>
      </c>
      <c r="D74" s="8">
        <f t="shared" si="12"/>
        <v>2</v>
      </c>
      <c r="J74" s="251"/>
      <c r="K74" s="23" t="s">
        <v>68</v>
      </c>
      <c r="L74" s="34">
        <f>SUM(C$67:C74)</f>
        <v>4</v>
      </c>
      <c r="M74" s="8">
        <f t="shared" si="13"/>
        <v>4</v>
      </c>
      <c r="S74" s="251"/>
      <c r="T74" s="23" t="s">
        <v>68</v>
      </c>
      <c r="U74" s="34">
        <f>SUM(C$43:C74)</f>
        <v>20</v>
      </c>
      <c r="V74" s="8">
        <f t="shared" si="14"/>
        <v>20</v>
      </c>
    </row>
    <row r="75" spans="1:22">
      <c r="A75" s="251"/>
      <c r="B75" s="23" t="s">
        <v>77</v>
      </c>
      <c r="C75" s="8">
        <f>COUNTIFS('Datos Primaria'!$E:$E,C$42,'Datos Primaria'!$H:$H,"&gt;=01/09/2025",'Datos Primaria'!$H:$H,"&lt;=30/09/2025")</f>
        <v>3</v>
      </c>
      <c r="D75" s="8">
        <f t="shared" si="12"/>
        <v>3</v>
      </c>
      <c r="J75" s="251"/>
      <c r="K75" s="23" t="s">
        <v>77</v>
      </c>
      <c r="L75" s="34">
        <f>SUM(C$67:C75)</f>
        <v>7</v>
      </c>
      <c r="M75" s="8">
        <f t="shared" si="13"/>
        <v>7</v>
      </c>
      <c r="S75" s="251"/>
      <c r="T75" s="23" t="s">
        <v>77</v>
      </c>
      <c r="U75" s="34">
        <f>SUM(C$43:C75)</f>
        <v>23</v>
      </c>
      <c r="V75" s="8">
        <f t="shared" si="14"/>
        <v>23</v>
      </c>
    </row>
    <row r="76" spans="1:22">
      <c r="A76" s="251"/>
      <c r="B76" s="23" t="s">
        <v>84</v>
      </c>
      <c r="C76" s="8">
        <f>COUNTIFS('Datos Primaria'!$E:$E,C$42,'Datos Primaria'!$H:$H,"&gt;=01/10/2025",'Datos Primaria'!$H:$H,"&lt;=31/10/2025")</f>
        <v>0</v>
      </c>
      <c r="D76" s="8">
        <f t="shared" si="12"/>
        <v>0</v>
      </c>
      <c r="J76" s="251"/>
      <c r="K76" s="23" t="s">
        <v>84</v>
      </c>
      <c r="L76" s="34">
        <f>SUM(C$67:C76)</f>
        <v>7</v>
      </c>
      <c r="M76" s="8">
        <f t="shared" si="13"/>
        <v>7</v>
      </c>
      <c r="S76" s="251"/>
      <c r="T76" s="23" t="s">
        <v>84</v>
      </c>
      <c r="U76" s="34">
        <f>SUM(C$43:C76)</f>
        <v>23</v>
      </c>
      <c r="V76" s="8">
        <f t="shared" si="14"/>
        <v>23</v>
      </c>
    </row>
    <row r="77" spans="1:22">
      <c r="A77" s="251"/>
      <c r="B77" s="23" t="s">
        <v>87</v>
      </c>
      <c r="C77" s="8">
        <f>COUNTIFS('Datos Primaria'!$E:$E,C$42,'Datos Primaria'!$H:$H,"&gt;=01/11/2025",'Datos Primaria'!$H:$H,"&lt;=30/11/2025")</f>
        <v>1</v>
      </c>
      <c r="D77" s="8">
        <f t="shared" si="12"/>
        <v>1</v>
      </c>
      <c r="J77" s="251"/>
      <c r="K77" s="23" t="s">
        <v>87</v>
      </c>
      <c r="L77" s="34">
        <f>SUM(C$67:C77)</f>
        <v>8</v>
      </c>
      <c r="M77" s="8">
        <f t="shared" si="13"/>
        <v>8</v>
      </c>
      <c r="S77" s="251"/>
      <c r="T77" s="23" t="s">
        <v>87</v>
      </c>
      <c r="U77" s="34">
        <f>SUM(C$43:C77)</f>
        <v>24</v>
      </c>
      <c r="V77" s="8">
        <f t="shared" si="14"/>
        <v>24</v>
      </c>
    </row>
    <row r="78" spans="1:22">
      <c r="A78" s="251"/>
      <c r="B78" s="23" t="s">
        <v>173</v>
      </c>
      <c r="C78" s="8">
        <f>COUNTIFS('Datos Primaria'!$E:$E,C$42,'Datos Primaria'!$H:$H,"&gt;=01/12/2025",'Datos Primaria'!$H:$H,"&lt;=31/12/2025")</f>
        <v>0</v>
      </c>
      <c r="D78" s="8">
        <f t="shared" si="12"/>
        <v>0</v>
      </c>
      <c r="J78" s="251"/>
      <c r="K78" s="23" t="s">
        <v>173</v>
      </c>
      <c r="L78" s="34">
        <f>SUM(C$67:C78)</f>
        <v>8</v>
      </c>
      <c r="M78" s="8">
        <f t="shared" si="13"/>
        <v>8</v>
      </c>
      <c r="S78" s="251"/>
      <c r="T78" s="23" t="s">
        <v>173</v>
      </c>
      <c r="U78" s="34">
        <f>SUM(C$43:C78)</f>
        <v>24</v>
      </c>
      <c r="V78" s="8">
        <f t="shared" si="14"/>
        <v>24</v>
      </c>
    </row>
    <row r="81" spans="1:26">
      <c r="B81" s="255" t="s">
        <v>1432</v>
      </c>
      <c r="C81" s="256"/>
      <c r="D81" s="256"/>
      <c r="E81" s="256"/>
      <c r="F81" s="256"/>
      <c r="G81" s="256"/>
      <c r="H81" s="257"/>
      <c r="K81" s="255" t="s">
        <v>1424</v>
      </c>
      <c r="L81" s="256"/>
      <c r="M81" s="256"/>
      <c r="N81" s="256"/>
      <c r="O81" s="256"/>
      <c r="P81" s="256"/>
      <c r="Q81" s="257"/>
      <c r="T81" s="255" t="s">
        <v>1425</v>
      </c>
      <c r="U81" s="256"/>
      <c r="V81" s="256"/>
      <c r="W81" s="256"/>
      <c r="X81" s="256"/>
      <c r="Y81" s="256"/>
      <c r="Z81" s="257"/>
    </row>
    <row r="82" spans="1:26">
      <c r="B82" s="22" t="s">
        <v>1421</v>
      </c>
      <c r="C82" s="22" t="s">
        <v>324</v>
      </c>
      <c r="D82" s="22" t="s">
        <v>326</v>
      </c>
      <c r="E82" s="22" t="s">
        <v>321</v>
      </c>
      <c r="F82" s="22" t="s">
        <v>319</v>
      </c>
      <c r="G82" s="22" t="s">
        <v>329</v>
      </c>
      <c r="H82" s="22" t="s">
        <v>1422</v>
      </c>
      <c r="K82" s="22" t="s">
        <v>1421</v>
      </c>
      <c r="L82" s="22" t="s">
        <v>324</v>
      </c>
      <c r="M82" s="22" t="s">
        <v>326</v>
      </c>
      <c r="N82" s="22" t="s">
        <v>321</v>
      </c>
      <c r="O82" s="22" t="s">
        <v>319</v>
      </c>
      <c r="P82" s="22" t="s">
        <v>329</v>
      </c>
      <c r="Q82" s="22" t="s">
        <v>1422</v>
      </c>
      <c r="T82" s="22" t="s">
        <v>1421</v>
      </c>
      <c r="U82" s="22" t="s">
        <v>324</v>
      </c>
      <c r="V82" s="22" t="s">
        <v>326</v>
      </c>
      <c r="W82" s="22" t="s">
        <v>321</v>
      </c>
      <c r="X82" s="22" t="s">
        <v>319</v>
      </c>
      <c r="Y82" s="22" t="s">
        <v>329</v>
      </c>
      <c r="Z82" s="22" t="s">
        <v>1422</v>
      </c>
    </row>
    <row r="83" spans="1:26">
      <c r="A83" s="251">
        <f>A3</f>
        <v>2023</v>
      </c>
      <c r="B83" s="23" t="s">
        <v>13</v>
      </c>
      <c r="C83" s="8">
        <f>COUNTIFS('Datos Primaria'!$E:$E,C$82,'Datos Primaria'!$I:$I,"&gt;=01/01/2023",'Datos Primaria'!$I:$I,"&lt;=31/01/2023")</f>
        <v>0</v>
      </c>
      <c r="D83" s="8">
        <f>COUNTIFS('Datos Primaria'!$E:$E,D$82,'Datos Primaria'!$I:$I,"&gt;=01/01/2023",'Datos Primaria'!$I:$I,"&lt;=31/01/2023")</f>
        <v>0</v>
      </c>
      <c r="E83" s="8">
        <f>COUNTIFS('Datos Primaria'!$E:$E,E$82,'Datos Primaria'!$I:$I,"&gt;=01/01/2023",'Datos Primaria'!$I:$I,"&lt;=31/01/2023")</f>
        <v>0</v>
      </c>
      <c r="F83" s="8">
        <f>COUNTIFS('Datos Primaria'!$E:$E,F$82,'Datos Primaria'!$I:$I,"&gt;=01/01/2023",'Datos Primaria'!$I:$I,"&lt;=31/01/2023")</f>
        <v>0</v>
      </c>
      <c r="G83" s="8">
        <f>COUNTIFS('Datos Primaria'!$E:$E,G$82,'Datos Primaria'!$I:$I,"&gt;=01/01/2023",'Datos Primaria'!$I:$I,"&lt;=31/01/2023")</f>
        <v>0</v>
      </c>
      <c r="H83" s="8">
        <f t="shared" ref="H83:H94" si="15">SUM(C83:G83)</f>
        <v>0</v>
      </c>
      <c r="J83" s="251">
        <f>A83</f>
        <v>2023</v>
      </c>
      <c r="K83" s="23" t="s">
        <v>13</v>
      </c>
      <c r="L83" s="34">
        <f>SUM(C$83:C83)</f>
        <v>0</v>
      </c>
      <c r="M83" s="34">
        <f>SUM(D$83:D83)</f>
        <v>0</v>
      </c>
      <c r="N83" s="34">
        <f>SUM(E$83:E83)</f>
        <v>0</v>
      </c>
      <c r="O83" s="34">
        <f>SUM(F$83:F83)</f>
        <v>0</v>
      </c>
      <c r="P83" s="34">
        <f>SUM(G$83:G83)</f>
        <v>0</v>
      </c>
      <c r="Q83" s="8">
        <f t="shared" ref="Q83:Q94" si="16">SUM(L83:P83)</f>
        <v>0</v>
      </c>
      <c r="S83" s="251">
        <f>A83</f>
        <v>2023</v>
      </c>
      <c r="T83" s="23" t="s">
        <v>13</v>
      </c>
      <c r="U83" s="34">
        <f>SUM(C$83:C83)</f>
        <v>0</v>
      </c>
      <c r="V83" s="34">
        <f>SUM(D$83:D83)</f>
        <v>0</v>
      </c>
      <c r="W83" s="34">
        <f>SUM(E$83:E83)</f>
        <v>0</v>
      </c>
      <c r="X83" s="34">
        <f>SUM(F$83:F83)</f>
        <v>0</v>
      </c>
      <c r="Y83" s="34">
        <f>SUM(G$83:G83)</f>
        <v>0</v>
      </c>
      <c r="Z83" s="8">
        <f t="shared" ref="Z83:Z94" si="17">SUM(U83:Y83)</f>
        <v>0</v>
      </c>
    </row>
    <row r="84" spans="1:26">
      <c r="A84" s="251"/>
      <c r="B84" s="23" t="s">
        <v>24</v>
      </c>
      <c r="C84" s="8">
        <f>COUNTIFS('Datos Primaria'!$E:$E,C$82,'Datos Primaria'!$I:$I,"&gt;=01/02/2023",'Datos Primaria'!$I:$I,"&lt;=28/02/2023")</f>
        <v>0</v>
      </c>
      <c r="D84" s="8">
        <f>COUNTIFS('Datos Primaria'!$E:$E,D$82,'Datos Primaria'!$I:$I,"&gt;=01/02/2023",'Datos Primaria'!$I:$I,"&lt;=28/02/2023")</f>
        <v>0</v>
      </c>
      <c r="E84" s="8">
        <f>COUNTIFS('Datos Primaria'!$E:$E,E$82,'Datos Primaria'!$I:$I,"&gt;=01/02/2023",'Datos Primaria'!$I:$I,"&lt;=28/02/2023")</f>
        <v>0</v>
      </c>
      <c r="F84" s="8">
        <f>COUNTIFS('Datos Primaria'!$E:$E,F$82,'Datos Primaria'!$I:$I,"&gt;=01/02/2023",'Datos Primaria'!$I:$I,"&lt;=28/02/2023")</f>
        <v>0</v>
      </c>
      <c r="G84" s="8">
        <f>COUNTIFS('Datos Primaria'!$E:$E,G$82,'Datos Primaria'!$I:$I,"&gt;=01/02/2023",'Datos Primaria'!$I:$I,"&lt;=28/02/2023")</f>
        <v>0</v>
      </c>
      <c r="H84" s="8">
        <f t="shared" si="15"/>
        <v>0</v>
      </c>
      <c r="J84" s="251"/>
      <c r="K84" s="23" t="s">
        <v>24</v>
      </c>
      <c r="L84" s="34">
        <f>SUM(C$83:C84)</f>
        <v>0</v>
      </c>
      <c r="M84" s="34">
        <f>SUM(D$83:D84)</f>
        <v>0</v>
      </c>
      <c r="N84" s="34">
        <f>SUM(E$83:E84)</f>
        <v>0</v>
      </c>
      <c r="O84" s="34">
        <f>SUM(F$83:F84)</f>
        <v>0</v>
      </c>
      <c r="P84" s="34">
        <f>SUM(G$83:G84)</f>
        <v>0</v>
      </c>
      <c r="Q84" s="8">
        <f t="shared" si="16"/>
        <v>0</v>
      </c>
      <c r="S84" s="251"/>
      <c r="T84" s="23" t="s">
        <v>24</v>
      </c>
      <c r="U84" s="34">
        <f>SUM(C$83:C84)</f>
        <v>0</v>
      </c>
      <c r="V84" s="34">
        <f>SUM(D$83:D84)</f>
        <v>0</v>
      </c>
      <c r="W84" s="34">
        <f>SUM(E$83:E84)</f>
        <v>0</v>
      </c>
      <c r="X84" s="34">
        <f>SUM(F$83:F84)</f>
        <v>0</v>
      </c>
      <c r="Y84" s="34">
        <f>SUM(G$83:G84)</f>
        <v>0</v>
      </c>
      <c r="Z84" s="8">
        <f t="shared" si="17"/>
        <v>0</v>
      </c>
    </row>
    <row r="85" spans="1:26">
      <c r="A85" s="251"/>
      <c r="B85" s="23" t="s">
        <v>34</v>
      </c>
      <c r="C85" s="8">
        <f>COUNTIFS('Datos Primaria'!$E:$E,C$82,'Datos Primaria'!$I:$I,"&gt;=01/03/2023",'Datos Primaria'!$I:$I,"&lt;=31/03/2023")</f>
        <v>0</v>
      </c>
      <c r="D85" s="8">
        <f>COUNTIFS('Datos Primaria'!$E:$E,D$82,'Datos Primaria'!$I:$I,"&gt;=01/03/2023",'Datos Primaria'!$I:$I,"&lt;=31/03/2023")</f>
        <v>0</v>
      </c>
      <c r="E85" s="8">
        <f>COUNTIFS('Datos Primaria'!$E:$E,E$82,'Datos Primaria'!$I:$I,"&gt;=01/03/2023",'Datos Primaria'!$I:$I,"&lt;=31/03/2023")</f>
        <v>0</v>
      </c>
      <c r="F85" s="8">
        <f>COUNTIFS('Datos Primaria'!$E:$E,F$82,'Datos Primaria'!$I:$I,"&gt;=01/03/2023",'Datos Primaria'!$I:$I,"&lt;=31/03/2023")</f>
        <v>0</v>
      </c>
      <c r="G85" s="8">
        <f>COUNTIFS('Datos Primaria'!$E:$E,G$82,'Datos Primaria'!$I:$I,"&gt;=01/03/2023",'Datos Primaria'!$I:$I,"&lt;=31/03/2023")</f>
        <v>1</v>
      </c>
      <c r="H85" s="8">
        <f t="shared" si="15"/>
        <v>1</v>
      </c>
      <c r="J85" s="251"/>
      <c r="K85" s="23" t="s">
        <v>34</v>
      </c>
      <c r="L85" s="34">
        <f>SUM(C$83:C85)</f>
        <v>0</v>
      </c>
      <c r="M85" s="34">
        <f>SUM(D$83:D85)</f>
        <v>0</v>
      </c>
      <c r="N85" s="34">
        <f>SUM(E$83:E85)</f>
        <v>0</v>
      </c>
      <c r="O85" s="34">
        <f>SUM(F$83:F85)</f>
        <v>0</v>
      </c>
      <c r="P85" s="34">
        <f>SUM(G$83:G85)</f>
        <v>1</v>
      </c>
      <c r="Q85" s="8">
        <f t="shared" si="16"/>
        <v>1</v>
      </c>
      <c r="S85" s="251"/>
      <c r="T85" s="23" t="s">
        <v>34</v>
      </c>
      <c r="U85" s="34">
        <f>SUM(C$83:C85)</f>
        <v>0</v>
      </c>
      <c r="V85" s="34">
        <f>SUM(D$83:D85)</f>
        <v>0</v>
      </c>
      <c r="W85" s="34">
        <f>SUM(E$83:E85)</f>
        <v>0</v>
      </c>
      <c r="X85" s="34">
        <f>SUM(F$83:F85)</f>
        <v>0</v>
      </c>
      <c r="Y85" s="34">
        <f>SUM(G$83:G85)</f>
        <v>1</v>
      </c>
      <c r="Z85" s="8">
        <f t="shared" si="17"/>
        <v>1</v>
      </c>
    </row>
    <row r="86" spans="1:26">
      <c r="A86" s="251"/>
      <c r="B86" s="23" t="s">
        <v>38</v>
      </c>
      <c r="C86" s="8">
        <f>COUNTIFS('Datos Primaria'!$E:$E,C$82,'Datos Primaria'!$I:$I,"&gt;=01/04/2023",'Datos Primaria'!$I:$I,"&lt;=30/04/2023")</f>
        <v>1</v>
      </c>
      <c r="D86" s="8">
        <f>COUNTIFS('Datos Primaria'!$E:$E,D$82,'Datos Primaria'!$I:$I,"&gt;=01/04/2023",'Datos Primaria'!$I:$I,"&lt;=30/04/2023")</f>
        <v>0</v>
      </c>
      <c r="E86" s="8">
        <f>COUNTIFS('Datos Primaria'!$E:$E,E$82,'Datos Primaria'!$I:$I,"&gt;=01/04/2023",'Datos Primaria'!$I:$I,"&lt;=30/04/2023")</f>
        <v>0</v>
      </c>
      <c r="F86" s="8">
        <f>COUNTIFS('Datos Primaria'!$E:$E,F$82,'Datos Primaria'!$I:$I,"&gt;=01/04/2023",'Datos Primaria'!$I:$I,"&lt;=30/04/2023")</f>
        <v>0</v>
      </c>
      <c r="G86" s="8">
        <f>COUNTIFS('Datos Primaria'!$E:$E,G$82,'Datos Primaria'!$I:$I,"&gt;=01/04/2023",'Datos Primaria'!$I:$I,"&lt;=30/04/2023")</f>
        <v>0</v>
      </c>
      <c r="H86" s="8">
        <f t="shared" si="15"/>
        <v>1</v>
      </c>
      <c r="J86" s="251"/>
      <c r="K86" s="23" t="s">
        <v>38</v>
      </c>
      <c r="L86" s="34">
        <f>SUM(C$83:C86)</f>
        <v>1</v>
      </c>
      <c r="M86" s="34">
        <f>SUM(D$83:D86)</f>
        <v>0</v>
      </c>
      <c r="N86" s="34">
        <f>SUM(E$83:E86)</f>
        <v>0</v>
      </c>
      <c r="O86" s="34">
        <f>SUM(F$83:F86)</f>
        <v>0</v>
      </c>
      <c r="P86" s="34">
        <f>SUM(G$83:G86)</f>
        <v>1</v>
      </c>
      <c r="Q86" s="8">
        <f t="shared" si="16"/>
        <v>2</v>
      </c>
      <c r="S86" s="251"/>
      <c r="T86" s="23" t="s">
        <v>38</v>
      </c>
      <c r="U86" s="34">
        <f>SUM(C$83:C86)</f>
        <v>1</v>
      </c>
      <c r="V86" s="34">
        <f>SUM(D$83:D86)</f>
        <v>0</v>
      </c>
      <c r="W86" s="34">
        <f>SUM(E$83:E86)</f>
        <v>0</v>
      </c>
      <c r="X86" s="34">
        <f>SUM(F$83:F86)</f>
        <v>0</v>
      </c>
      <c r="Y86" s="34">
        <f>SUM(G$83:G86)</f>
        <v>1</v>
      </c>
      <c r="Z86" s="8">
        <f t="shared" si="17"/>
        <v>2</v>
      </c>
    </row>
    <row r="87" spans="1:26">
      <c r="A87" s="251"/>
      <c r="B87" s="23" t="s">
        <v>47</v>
      </c>
      <c r="C87" s="8">
        <f>COUNTIFS('Datos Primaria'!$E:$E,C$82,'Datos Primaria'!$I:$I,"&gt;=01/05/2023",'Datos Primaria'!$I:$I,"&lt;=31/05/2023")</f>
        <v>0</v>
      </c>
      <c r="D87" s="8">
        <f>COUNTIFS('Datos Primaria'!$E:$E,D$82,'Datos Primaria'!$I:$I,"&gt;=01/05/2023",'Datos Primaria'!$I:$I,"&lt;=31/05/2023")</f>
        <v>2</v>
      </c>
      <c r="E87" s="8">
        <f>COUNTIFS('Datos Primaria'!$E:$E,E$82,'Datos Primaria'!$I:$I,"&gt;=01/05/2023",'Datos Primaria'!$I:$I,"&lt;=31/05/2023")</f>
        <v>0</v>
      </c>
      <c r="F87" s="8">
        <f>COUNTIFS('Datos Primaria'!$E:$E,F$82,'Datos Primaria'!$I:$I,"&gt;=01/05/2023",'Datos Primaria'!$I:$I,"&lt;=31/05/2023")</f>
        <v>0</v>
      </c>
      <c r="G87" s="8">
        <f>COUNTIFS('Datos Primaria'!$E:$E,G$82,'Datos Primaria'!$I:$I,"&gt;=01/05/2023",'Datos Primaria'!$I:$I,"&lt;=31/05/2023")</f>
        <v>0</v>
      </c>
      <c r="H87" s="8">
        <f t="shared" si="15"/>
        <v>2</v>
      </c>
      <c r="J87" s="251"/>
      <c r="K87" s="23" t="s">
        <v>47</v>
      </c>
      <c r="L87" s="34">
        <f>SUM(C$83:C87)</f>
        <v>1</v>
      </c>
      <c r="M87" s="34">
        <f>SUM(D$83:D87)</f>
        <v>2</v>
      </c>
      <c r="N87" s="34">
        <f>SUM(E$83:E87)</f>
        <v>0</v>
      </c>
      <c r="O87" s="34">
        <f>SUM(F$83:F87)</f>
        <v>0</v>
      </c>
      <c r="P87" s="34">
        <f>SUM(G$83:G87)</f>
        <v>1</v>
      </c>
      <c r="Q87" s="8">
        <f t="shared" si="16"/>
        <v>4</v>
      </c>
      <c r="S87" s="251"/>
      <c r="T87" s="23" t="s">
        <v>47</v>
      </c>
      <c r="U87" s="34">
        <f>SUM(C$83:C87)</f>
        <v>1</v>
      </c>
      <c r="V87" s="34">
        <f>SUM(D$83:D87)</f>
        <v>2</v>
      </c>
      <c r="W87" s="34">
        <f>SUM(E$83:E87)</f>
        <v>0</v>
      </c>
      <c r="X87" s="34">
        <f>SUM(F$83:F87)</f>
        <v>0</v>
      </c>
      <c r="Y87" s="34">
        <f>SUM(G$83:G87)</f>
        <v>1</v>
      </c>
      <c r="Z87" s="8">
        <f t="shared" si="17"/>
        <v>4</v>
      </c>
    </row>
    <row r="88" spans="1:26">
      <c r="A88" s="251"/>
      <c r="B88" s="23" t="s">
        <v>57</v>
      </c>
      <c r="C88" s="8">
        <f>COUNTIFS('Datos Primaria'!$E:$E,C$82,'Datos Primaria'!$I:$I,"&gt;=01/06/2023",'Datos Primaria'!$I:$I,"&lt;=30/06/2023")</f>
        <v>0</v>
      </c>
      <c r="D88" s="8">
        <f>COUNTIFS('Datos Primaria'!$E:$E,D$82,'Datos Primaria'!$I:$I,"&gt;=01/06/2023",'Datos Primaria'!$I:$I,"&lt;=30/06/2023")</f>
        <v>0</v>
      </c>
      <c r="E88" s="8">
        <f>COUNTIFS('Datos Primaria'!$E:$E,E$82,'Datos Primaria'!$I:$I,"&gt;=01/06/2023",'Datos Primaria'!$I:$I,"&lt;=30/06/2023")</f>
        <v>1</v>
      </c>
      <c r="F88" s="8">
        <f>COUNTIFS('Datos Primaria'!$E:$E,F$82,'Datos Primaria'!$I:$I,"&gt;=01/06/2023",'Datos Primaria'!$I:$I,"&lt;=30/06/2023")</f>
        <v>0</v>
      </c>
      <c r="G88" s="8">
        <f>COUNTIFS('Datos Primaria'!$E:$E,G$82,'Datos Primaria'!$I:$I,"&gt;=01/06/2023",'Datos Primaria'!$I:$I,"&lt;=30/06/2023")</f>
        <v>1</v>
      </c>
      <c r="H88" s="8">
        <f t="shared" si="15"/>
        <v>2</v>
      </c>
      <c r="J88" s="251"/>
      <c r="K88" s="23" t="s">
        <v>57</v>
      </c>
      <c r="L88" s="34">
        <f>SUM(C$83:C88)</f>
        <v>1</v>
      </c>
      <c r="M88" s="34">
        <f>SUM(D$83:D88)</f>
        <v>2</v>
      </c>
      <c r="N88" s="34">
        <f>SUM(E$83:E88)</f>
        <v>1</v>
      </c>
      <c r="O88" s="34">
        <f>SUM(F$83:F88)</f>
        <v>0</v>
      </c>
      <c r="P88" s="34">
        <f>SUM(G$83:G88)</f>
        <v>2</v>
      </c>
      <c r="Q88" s="8">
        <f t="shared" si="16"/>
        <v>6</v>
      </c>
      <c r="S88" s="251"/>
      <c r="T88" s="23" t="s">
        <v>57</v>
      </c>
      <c r="U88" s="34">
        <f>SUM(C$83:C88)</f>
        <v>1</v>
      </c>
      <c r="V88" s="34">
        <f>SUM(D$83:D88)</f>
        <v>2</v>
      </c>
      <c r="W88" s="34">
        <f>SUM(E$83:E88)</f>
        <v>1</v>
      </c>
      <c r="X88" s="34">
        <f>SUM(F$83:F88)</f>
        <v>0</v>
      </c>
      <c r="Y88" s="34">
        <f>SUM(G$83:G88)</f>
        <v>2</v>
      </c>
      <c r="Z88" s="8">
        <f t="shared" si="17"/>
        <v>6</v>
      </c>
    </row>
    <row r="89" spans="1:26">
      <c r="A89" s="251"/>
      <c r="B89" s="23" t="s">
        <v>62</v>
      </c>
      <c r="C89" s="8">
        <f>COUNTIFS('Datos Primaria'!$E:$E,C$82,'Datos Primaria'!$I:$I,"&gt;=01/07/2023",'Datos Primaria'!$I:$I,"&lt;=31/07/2023")</f>
        <v>2</v>
      </c>
      <c r="D89" s="8">
        <f>COUNTIFS('Datos Primaria'!$E:$E,D$82,'Datos Primaria'!$I:$I,"&gt;=01/07/2023",'Datos Primaria'!$I:$I,"&lt;=31/07/2023")</f>
        <v>1</v>
      </c>
      <c r="E89" s="8">
        <f>COUNTIFS('Datos Primaria'!$E:$E,E$82,'Datos Primaria'!$I:$I,"&gt;=01/07/2023",'Datos Primaria'!$I:$I,"&lt;=31/07/2023")</f>
        <v>1</v>
      </c>
      <c r="F89" s="8">
        <f>COUNTIFS('Datos Primaria'!$E:$E,F$82,'Datos Primaria'!$I:$I,"&gt;=01/07/2023",'Datos Primaria'!$I:$I,"&lt;=31/07/2023")</f>
        <v>1</v>
      </c>
      <c r="G89" s="8">
        <f>COUNTIFS('Datos Primaria'!$E:$E,G$82,'Datos Primaria'!$I:$I,"&gt;=01/07/2023",'Datos Primaria'!$I:$I,"&lt;=31/07/2023")</f>
        <v>1</v>
      </c>
      <c r="H89" s="8">
        <f t="shared" si="15"/>
        <v>6</v>
      </c>
      <c r="J89" s="251"/>
      <c r="K89" s="23" t="s">
        <v>62</v>
      </c>
      <c r="L89" s="34">
        <f>SUM(C$83:C89)</f>
        <v>3</v>
      </c>
      <c r="M89" s="34">
        <f>SUM(D$83:D89)</f>
        <v>3</v>
      </c>
      <c r="N89" s="34">
        <f>SUM(E$83:E89)</f>
        <v>2</v>
      </c>
      <c r="O89" s="34">
        <f>SUM(F$83:F89)</f>
        <v>1</v>
      </c>
      <c r="P89" s="34">
        <f>SUM(G$83:G89)</f>
        <v>3</v>
      </c>
      <c r="Q89" s="8">
        <f t="shared" si="16"/>
        <v>12</v>
      </c>
      <c r="S89" s="251"/>
      <c r="T89" s="23" t="s">
        <v>62</v>
      </c>
      <c r="U89" s="34">
        <f>SUM(C$83:C89)</f>
        <v>3</v>
      </c>
      <c r="V89" s="34">
        <f>SUM(D$83:D89)</f>
        <v>3</v>
      </c>
      <c r="W89" s="34">
        <f>SUM(E$83:E89)</f>
        <v>2</v>
      </c>
      <c r="X89" s="34">
        <f>SUM(F$83:F89)</f>
        <v>1</v>
      </c>
      <c r="Y89" s="34">
        <f>SUM(G$83:G89)</f>
        <v>3</v>
      </c>
      <c r="Z89" s="8">
        <f t="shared" si="17"/>
        <v>12</v>
      </c>
    </row>
    <row r="90" spans="1:26">
      <c r="A90" s="251"/>
      <c r="B90" s="23" t="s">
        <v>68</v>
      </c>
      <c r="C90" s="8">
        <f>COUNTIFS('Datos Primaria'!$E:$E,C$82,'Datos Primaria'!$I:$I,"&gt;=01/08/2023",'Datos Primaria'!$I:$I,"&lt;=31/08/2023")</f>
        <v>1</v>
      </c>
      <c r="D90" s="8">
        <f>COUNTIFS('Datos Primaria'!$E:$E,D$82,'Datos Primaria'!$I:$I,"&gt;=01/08/2023",'Datos Primaria'!$I:$I,"&lt;=31/08/2023")</f>
        <v>0</v>
      </c>
      <c r="E90" s="8">
        <f>COUNTIFS('Datos Primaria'!$E:$E,E$82,'Datos Primaria'!$I:$I,"&gt;=01/08/2023",'Datos Primaria'!$I:$I,"&lt;=31/08/2023")</f>
        <v>0</v>
      </c>
      <c r="F90" s="8">
        <f>COUNTIFS('Datos Primaria'!$E:$E,F$82,'Datos Primaria'!$I:$I,"&gt;=01/08/2023",'Datos Primaria'!$I:$I,"&lt;=31/08/2023")</f>
        <v>0</v>
      </c>
      <c r="G90" s="8">
        <f>COUNTIFS('Datos Primaria'!$E:$E,G$82,'Datos Primaria'!$I:$I,"&gt;=01/08/2023",'Datos Primaria'!$I:$I,"&lt;=31/08/2023")</f>
        <v>0</v>
      </c>
      <c r="H90" s="8">
        <f t="shared" si="15"/>
        <v>1</v>
      </c>
      <c r="J90" s="251"/>
      <c r="K90" s="23" t="s">
        <v>68</v>
      </c>
      <c r="L90" s="34">
        <f>SUM(C$83:C90)</f>
        <v>4</v>
      </c>
      <c r="M90" s="34">
        <f>SUM(D$83:D90)</f>
        <v>3</v>
      </c>
      <c r="N90" s="34">
        <f>SUM(E$83:E90)</f>
        <v>2</v>
      </c>
      <c r="O90" s="34">
        <f>SUM(F$83:F90)</f>
        <v>1</v>
      </c>
      <c r="P90" s="34">
        <f>SUM(G$83:G90)</f>
        <v>3</v>
      </c>
      <c r="Q90" s="8">
        <f t="shared" si="16"/>
        <v>13</v>
      </c>
      <c r="S90" s="251"/>
      <c r="T90" s="23" t="s">
        <v>68</v>
      </c>
      <c r="U90" s="34">
        <f>SUM(C$83:C90)</f>
        <v>4</v>
      </c>
      <c r="V90" s="34">
        <f>SUM(D$83:D90)</f>
        <v>3</v>
      </c>
      <c r="W90" s="34">
        <f>SUM(E$83:E90)</f>
        <v>2</v>
      </c>
      <c r="X90" s="34">
        <f>SUM(F$83:F90)</f>
        <v>1</v>
      </c>
      <c r="Y90" s="34">
        <f>SUM(G$83:G90)</f>
        <v>3</v>
      </c>
      <c r="Z90" s="8">
        <f t="shared" si="17"/>
        <v>13</v>
      </c>
    </row>
    <row r="91" spans="1:26">
      <c r="A91" s="251"/>
      <c r="B91" s="23" t="s">
        <v>77</v>
      </c>
      <c r="C91" s="8">
        <f>COUNTIFS('Datos Primaria'!$E:$E,C$82,'Datos Primaria'!$I:$I,"&gt;=01/09/2023",'Datos Primaria'!$I:$I,"&lt;=30/09/2023")</f>
        <v>0</v>
      </c>
      <c r="D91" s="8">
        <f>COUNTIFS('Datos Primaria'!$E:$E,D$82,'Datos Primaria'!$I:$I,"&gt;=01/09/2023",'Datos Primaria'!$I:$I,"&lt;=30/09/2023")</f>
        <v>0</v>
      </c>
      <c r="E91" s="8">
        <f>COUNTIFS('Datos Primaria'!$E:$E,E$82,'Datos Primaria'!$I:$I,"&gt;=01/09/2023",'Datos Primaria'!$I:$I,"&lt;=30/09/2023")</f>
        <v>1</v>
      </c>
      <c r="F91" s="8">
        <f>COUNTIFS('Datos Primaria'!$E:$E,F$82,'Datos Primaria'!$I:$I,"&gt;=01/09/2023",'Datos Primaria'!$I:$I,"&lt;=30/09/2023")</f>
        <v>2</v>
      </c>
      <c r="G91" s="8">
        <f>COUNTIFS('Datos Primaria'!$E:$E,G$82,'Datos Primaria'!$I:$I,"&gt;=01/09/2023",'Datos Primaria'!$I:$I,"&lt;=30/09/2023")</f>
        <v>1</v>
      </c>
      <c r="H91" s="8">
        <f t="shared" si="15"/>
        <v>4</v>
      </c>
      <c r="J91" s="251"/>
      <c r="K91" s="23" t="s">
        <v>77</v>
      </c>
      <c r="L91" s="34">
        <f>SUM(C$83:C91)</f>
        <v>4</v>
      </c>
      <c r="M91" s="34">
        <f>SUM(D$83:D91)</f>
        <v>3</v>
      </c>
      <c r="N91" s="34">
        <f>SUM(E$83:E91)</f>
        <v>3</v>
      </c>
      <c r="O91" s="34">
        <f>SUM(F$83:F91)</f>
        <v>3</v>
      </c>
      <c r="P91" s="34">
        <f>SUM(G$83:G91)</f>
        <v>4</v>
      </c>
      <c r="Q91" s="8">
        <f t="shared" si="16"/>
        <v>17</v>
      </c>
      <c r="S91" s="251"/>
      <c r="T91" s="23" t="s">
        <v>77</v>
      </c>
      <c r="U91" s="34">
        <f>SUM(C$83:C91)</f>
        <v>4</v>
      </c>
      <c r="V91" s="34">
        <f>SUM(D$83:D91)</f>
        <v>3</v>
      </c>
      <c r="W91" s="34">
        <f>SUM(E$83:E91)</f>
        <v>3</v>
      </c>
      <c r="X91" s="34">
        <f>SUM(F$83:F91)</f>
        <v>3</v>
      </c>
      <c r="Y91" s="34">
        <f>SUM(G$83:G91)</f>
        <v>4</v>
      </c>
      <c r="Z91" s="8">
        <f t="shared" si="17"/>
        <v>17</v>
      </c>
    </row>
    <row r="92" spans="1:26">
      <c r="A92" s="251"/>
      <c r="B92" s="23" t="s">
        <v>84</v>
      </c>
      <c r="C92" s="8">
        <f>COUNTIFS('Datos Primaria'!$E:$E,C$82,'Datos Primaria'!$I:$I,"&gt;=01/10/2023",'Datos Primaria'!$I:$I,"&lt;=31/10/2023")</f>
        <v>1</v>
      </c>
      <c r="D92" s="8">
        <f>COUNTIFS('Datos Primaria'!$E:$E,D$82,'Datos Primaria'!$I:$I,"&gt;=01/10/2023",'Datos Primaria'!$I:$I,"&lt;=31/10/2023")</f>
        <v>0</v>
      </c>
      <c r="E92" s="8">
        <f>COUNTIFS('Datos Primaria'!$E:$E,E$82,'Datos Primaria'!$I:$I,"&gt;=01/10/2023",'Datos Primaria'!$I:$I,"&lt;=31/10/2023")</f>
        <v>0</v>
      </c>
      <c r="F92" s="8">
        <f>COUNTIFS('Datos Primaria'!$E:$E,F$82,'Datos Primaria'!$I:$I,"&gt;=01/10/2023",'Datos Primaria'!$I:$I,"&lt;=31/10/2023")</f>
        <v>0</v>
      </c>
      <c r="G92" s="8">
        <f>COUNTIFS('Datos Primaria'!$E:$E,G$82,'Datos Primaria'!$I:$I,"&gt;=01/10/2023",'Datos Primaria'!$I:$I,"&lt;=31/10/2023")</f>
        <v>0</v>
      </c>
      <c r="H92" s="8">
        <f t="shared" si="15"/>
        <v>1</v>
      </c>
      <c r="J92" s="251"/>
      <c r="K92" s="23" t="s">
        <v>84</v>
      </c>
      <c r="L92" s="34">
        <f>SUM(C$83:C92)</f>
        <v>5</v>
      </c>
      <c r="M92" s="34">
        <f>SUM(D$83:D92)</f>
        <v>3</v>
      </c>
      <c r="N92" s="34">
        <f>SUM(E$83:E92)</f>
        <v>3</v>
      </c>
      <c r="O92" s="34">
        <f>SUM(F$83:F92)</f>
        <v>3</v>
      </c>
      <c r="P92" s="34">
        <f>SUM(G$83:G92)</f>
        <v>4</v>
      </c>
      <c r="Q92" s="8">
        <f t="shared" si="16"/>
        <v>18</v>
      </c>
      <c r="S92" s="251"/>
      <c r="T92" s="23" t="s">
        <v>84</v>
      </c>
      <c r="U92" s="34">
        <f>SUM(C$83:C92)</f>
        <v>5</v>
      </c>
      <c r="V92" s="34">
        <f>SUM(D$83:D92)</f>
        <v>3</v>
      </c>
      <c r="W92" s="34">
        <f>SUM(E$83:E92)</f>
        <v>3</v>
      </c>
      <c r="X92" s="34">
        <f>SUM(F$83:F92)</f>
        <v>3</v>
      </c>
      <c r="Y92" s="34">
        <f>SUM(G$83:G92)</f>
        <v>4</v>
      </c>
      <c r="Z92" s="8">
        <f t="shared" si="17"/>
        <v>18</v>
      </c>
    </row>
    <row r="93" spans="1:26">
      <c r="A93" s="251"/>
      <c r="B93" s="23" t="s">
        <v>87</v>
      </c>
      <c r="C93" s="8">
        <f>COUNTIFS('Datos Primaria'!$E:$E,C$82,'Datos Primaria'!$I:$I,"&gt;=01/11/2023",'Datos Primaria'!$I:$I,"&lt;=30/11/2023")</f>
        <v>0</v>
      </c>
      <c r="D93" s="8">
        <f>COUNTIFS('Datos Primaria'!$E:$E,D$82,'Datos Primaria'!$I:$I,"&gt;=01/11/2023",'Datos Primaria'!$I:$I,"&lt;=30/11/2023")</f>
        <v>2</v>
      </c>
      <c r="E93" s="8">
        <f>COUNTIFS('Datos Primaria'!$E:$E,E$82,'Datos Primaria'!$I:$I,"&gt;=01/11/2023",'Datos Primaria'!$I:$I,"&lt;=30/11/2023")</f>
        <v>1</v>
      </c>
      <c r="F93" s="8">
        <f>COUNTIFS('Datos Primaria'!$E:$E,F$82,'Datos Primaria'!$I:$I,"&gt;=01/11/2023",'Datos Primaria'!$I:$I,"&lt;=30/11/2023")</f>
        <v>1</v>
      </c>
      <c r="G93" s="8">
        <f>COUNTIFS('Datos Primaria'!$E:$E,G$82,'Datos Primaria'!$I:$I,"&gt;=01/11/2023",'Datos Primaria'!$I:$I,"&lt;=30/11/2023")</f>
        <v>3</v>
      </c>
      <c r="H93" s="8">
        <f t="shared" si="15"/>
        <v>7</v>
      </c>
      <c r="J93" s="251"/>
      <c r="K93" s="23" t="s">
        <v>87</v>
      </c>
      <c r="L93" s="34">
        <f>SUM(C$83:C93)</f>
        <v>5</v>
      </c>
      <c r="M93" s="34">
        <f>SUM(D$83:D93)</f>
        <v>5</v>
      </c>
      <c r="N93" s="34">
        <f>SUM(E$83:E93)</f>
        <v>4</v>
      </c>
      <c r="O93" s="34">
        <f>SUM(F$83:F93)</f>
        <v>4</v>
      </c>
      <c r="P93" s="34">
        <f>SUM(G$83:G93)</f>
        <v>7</v>
      </c>
      <c r="Q93" s="8">
        <f t="shared" si="16"/>
        <v>25</v>
      </c>
      <c r="S93" s="251"/>
      <c r="T93" s="23" t="s">
        <v>87</v>
      </c>
      <c r="U93" s="34">
        <f>SUM(C$83:C93)</f>
        <v>5</v>
      </c>
      <c r="V93" s="34">
        <f>SUM(D$83:D93)</f>
        <v>5</v>
      </c>
      <c r="W93" s="34">
        <f>SUM(E$83:E93)</f>
        <v>4</v>
      </c>
      <c r="X93" s="34">
        <f>SUM(F$83:F93)</f>
        <v>4</v>
      </c>
      <c r="Y93" s="34">
        <f>SUM(G$83:G93)</f>
        <v>7</v>
      </c>
      <c r="Z93" s="8">
        <f t="shared" si="17"/>
        <v>25</v>
      </c>
    </row>
    <row r="94" spans="1:26">
      <c r="A94" s="251"/>
      <c r="B94" s="23" t="s">
        <v>173</v>
      </c>
      <c r="C94" s="8">
        <f>COUNTIFS('Datos Primaria'!$E:$E,C$82,'Datos Primaria'!$I:$I,"&gt;=01/12/2023",'Datos Primaria'!$I:$I,"&lt;=31/12/2023")</f>
        <v>0</v>
      </c>
      <c r="D94" s="8">
        <f>COUNTIFS('Datos Primaria'!$E:$E,D$82,'Datos Primaria'!$I:$I,"&gt;=01/12/2023",'Datos Primaria'!$I:$I,"&lt;=31/12/2023")</f>
        <v>0</v>
      </c>
      <c r="E94" s="8">
        <f>COUNTIFS('Datos Primaria'!$E:$E,E$82,'Datos Primaria'!$I:$I,"&gt;=01/12/2023",'Datos Primaria'!$I:$I,"&lt;=31/12/2023")</f>
        <v>0</v>
      </c>
      <c r="F94" s="8">
        <f>COUNTIFS('Datos Primaria'!$E:$E,F$82,'Datos Primaria'!$I:$I,"&gt;=01/12/2023",'Datos Primaria'!$I:$I,"&lt;=31/12/2023")</f>
        <v>0</v>
      </c>
      <c r="G94" s="8">
        <f>COUNTIFS('Datos Primaria'!$E:$E,G$82,'Datos Primaria'!$I:$I,"&gt;=01/12/2023",'Datos Primaria'!$I:$I,"&lt;=31/12/2023")</f>
        <v>0</v>
      </c>
      <c r="H94" s="8">
        <f t="shared" si="15"/>
        <v>0</v>
      </c>
      <c r="J94" s="251"/>
      <c r="K94" s="23" t="s">
        <v>173</v>
      </c>
      <c r="L94" s="34">
        <f>SUM(C$83:C94)</f>
        <v>5</v>
      </c>
      <c r="M94" s="34">
        <f>SUM(D$83:D94)</f>
        <v>5</v>
      </c>
      <c r="N94" s="34">
        <f>SUM(E$83:E94)</f>
        <v>4</v>
      </c>
      <c r="O94" s="34">
        <f>SUM(F$83:F94)</f>
        <v>4</v>
      </c>
      <c r="P94" s="34">
        <f>SUM(G$83:G94)</f>
        <v>7</v>
      </c>
      <c r="Q94" s="8">
        <f t="shared" si="16"/>
        <v>25</v>
      </c>
      <c r="S94" s="251"/>
      <c r="T94" s="23" t="s">
        <v>173</v>
      </c>
      <c r="U94" s="34">
        <f>SUM(C$83:C94)</f>
        <v>5</v>
      </c>
      <c r="V94" s="34">
        <f>SUM(D$83:D94)</f>
        <v>5</v>
      </c>
      <c r="W94" s="34">
        <f>SUM(E$83:E94)</f>
        <v>4</v>
      </c>
      <c r="X94" s="34">
        <f>SUM(F$83:F94)</f>
        <v>4</v>
      </c>
      <c r="Y94" s="34">
        <f>SUM(G$83:G94)</f>
        <v>7</v>
      </c>
      <c r="Z94" s="8">
        <f t="shared" si="17"/>
        <v>25</v>
      </c>
    </row>
    <row r="95" spans="1:26" ht="14.45" customHeight="1">
      <c r="A95" s="251">
        <f>A15</f>
        <v>2024</v>
      </c>
      <c r="B95" s="23" t="s">
        <v>13</v>
      </c>
      <c r="C95" s="8">
        <f>COUNTIFS('Datos Primaria'!$E:$E,C$82,'Datos Primaria'!$I:$I,"&gt;=01/01/2024",'Datos Primaria'!$I:$I,"&lt;=31/01/2024")</f>
        <v>1</v>
      </c>
      <c r="D95" s="8">
        <f>COUNTIFS('Datos Primaria'!$E:$E,D$82,'Datos Primaria'!$I:$I,"&gt;=01/01/2024",'Datos Primaria'!$I:$I,"&lt;=31/01/2024")</f>
        <v>1</v>
      </c>
      <c r="E95" s="8">
        <f>COUNTIFS('Datos Primaria'!$E:$E,E$82,'Datos Primaria'!$I:$I,"&gt;=01/01/2024",'Datos Primaria'!$I:$I,"&lt;=31/01/2024")</f>
        <v>0</v>
      </c>
      <c r="F95" s="8">
        <f>COUNTIFS('Datos Primaria'!$E:$E,F$82,'Datos Primaria'!$I:$I,"&gt;=01/01/2024",'Datos Primaria'!$I:$I,"&lt;=31/01/2024")</f>
        <v>1</v>
      </c>
      <c r="G95" s="8">
        <f>COUNTIFS('Datos Primaria'!$E:$E,G$82,'Datos Primaria'!$I:$I,"&gt;=01/01/2024",'Datos Primaria'!$I:$I,"&lt;=31/01/2024")</f>
        <v>0</v>
      </c>
      <c r="H95" s="8">
        <f t="shared" ref="H95:H106" si="18">SUM(C95:G95)</f>
        <v>3</v>
      </c>
      <c r="J95" s="251">
        <f>A95</f>
        <v>2024</v>
      </c>
      <c r="K95" s="23" t="s">
        <v>13</v>
      </c>
      <c r="L95" s="34">
        <f>SUM(C$95:C95)</f>
        <v>1</v>
      </c>
      <c r="M95" s="34">
        <f>SUM(D$95:D95)</f>
        <v>1</v>
      </c>
      <c r="N95" s="34">
        <f>SUM(E$95:E95)</f>
        <v>0</v>
      </c>
      <c r="O95" s="34">
        <f>SUM(F$95:F95)</f>
        <v>1</v>
      </c>
      <c r="P95" s="34">
        <f>SUM(G$95:G95)</f>
        <v>0</v>
      </c>
      <c r="Q95" s="8">
        <f t="shared" ref="Q95:Q106" si="19">SUM(L95:P95)</f>
        <v>3</v>
      </c>
      <c r="S95" s="251">
        <f>A95</f>
        <v>2024</v>
      </c>
      <c r="T95" s="23" t="s">
        <v>13</v>
      </c>
      <c r="U95" s="34">
        <f>SUM(C$83:C95)</f>
        <v>6</v>
      </c>
      <c r="V95" s="34">
        <f>SUM(D$83:D95)</f>
        <v>6</v>
      </c>
      <c r="W95" s="34">
        <f>SUM(E$83:E95)</f>
        <v>4</v>
      </c>
      <c r="X95" s="34">
        <f>SUM(F$83:F95)</f>
        <v>5</v>
      </c>
      <c r="Y95" s="34">
        <f>SUM(G$83:G95)</f>
        <v>7</v>
      </c>
      <c r="Z95" s="8">
        <f t="shared" ref="Z95:Z106" si="20">SUM(U95:Y95)</f>
        <v>28</v>
      </c>
    </row>
    <row r="96" spans="1:26">
      <c r="A96" s="251"/>
      <c r="B96" s="23" t="s">
        <v>24</v>
      </c>
      <c r="C96" s="8">
        <f>COUNTIFS('Datos Primaria'!$E:$E,C$82,'Datos Primaria'!$I:$I,"&gt;=01/02/2024",'Datos Primaria'!$I:$I,"&lt;=29/02/2024")</f>
        <v>1</v>
      </c>
      <c r="D96" s="8">
        <f>COUNTIFS('Datos Primaria'!$E:$E,D$82,'Datos Primaria'!$I:$I,"&gt;=01/02/2024",'Datos Primaria'!$I:$I,"&lt;=29/02/2024")</f>
        <v>0</v>
      </c>
      <c r="E96" s="8">
        <f>COUNTIFS('Datos Primaria'!$E:$E,E$82,'Datos Primaria'!$I:$I,"&gt;=01/02/2024",'Datos Primaria'!$I:$I,"&lt;=29/02/2024")</f>
        <v>0</v>
      </c>
      <c r="F96" s="8">
        <f>COUNTIFS('Datos Primaria'!$E:$E,F$82,'Datos Primaria'!$I:$I,"&gt;=01/02/2024",'Datos Primaria'!$I:$I,"&lt;=29/02/2024")</f>
        <v>0</v>
      </c>
      <c r="G96" s="8">
        <f>COUNTIFS('Datos Primaria'!$E:$E,G$82,'Datos Primaria'!$I:$I,"&gt;=01/02/2024",'Datos Primaria'!$I:$I,"&lt;=29/02/2024")</f>
        <v>0</v>
      </c>
      <c r="H96" s="8">
        <f t="shared" si="18"/>
        <v>1</v>
      </c>
      <c r="J96" s="251"/>
      <c r="K96" s="23" t="s">
        <v>24</v>
      </c>
      <c r="L96" s="34">
        <f>SUM(C$95:C96)</f>
        <v>2</v>
      </c>
      <c r="M96" s="34">
        <f>SUM(D$95:D96)</f>
        <v>1</v>
      </c>
      <c r="N96" s="34">
        <f>SUM(E$95:E96)</f>
        <v>0</v>
      </c>
      <c r="O96" s="34">
        <f>SUM(F$95:F96)</f>
        <v>1</v>
      </c>
      <c r="P96" s="34">
        <f>SUM(G$95:G96)</f>
        <v>0</v>
      </c>
      <c r="Q96" s="8">
        <f t="shared" si="19"/>
        <v>4</v>
      </c>
      <c r="S96" s="251"/>
      <c r="T96" s="23" t="s">
        <v>24</v>
      </c>
      <c r="U96" s="34">
        <f>SUM(C$83:C96)</f>
        <v>7</v>
      </c>
      <c r="V96" s="34">
        <f>SUM(D$83:D96)</f>
        <v>6</v>
      </c>
      <c r="W96" s="34">
        <f>SUM(E$83:E96)</f>
        <v>4</v>
      </c>
      <c r="X96" s="34">
        <f>SUM(F$83:F96)</f>
        <v>5</v>
      </c>
      <c r="Y96" s="34">
        <f>SUM(G$83:G96)</f>
        <v>7</v>
      </c>
      <c r="Z96" s="8">
        <f t="shared" si="20"/>
        <v>29</v>
      </c>
    </row>
    <row r="97" spans="1:26">
      <c r="A97" s="251"/>
      <c r="B97" s="23" t="s">
        <v>34</v>
      </c>
      <c r="C97" s="8">
        <f>COUNTIFS('Datos Primaria'!$E:$E,C$82,'Datos Primaria'!$I:$I,"&gt;=01/03/2024",'Datos Primaria'!$I:$I,"&lt;=31/03/2024")</f>
        <v>0</v>
      </c>
      <c r="D97" s="8">
        <f>COUNTIFS('Datos Primaria'!$E:$E,D$82,'Datos Primaria'!$I:$I,"&gt;=01/03/2024",'Datos Primaria'!$I:$I,"&lt;=31/03/2024")</f>
        <v>0</v>
      </c>
      <c r="E97" s="8">
        <f>COUNTIFS('Datos Primaria'!$E:$E,E$82,'Datos Primaria'!$I:$I,"&gt;=01/03/2024",'Datos Primaria'!$I:$I,"&lt;=31/03/2024")</f>
        <v>0</v>
      </c>
      <c r="F97" s="8">
        <f>COUNTIFS('Datos Primaria'!$E:$E,F$82,'Datos Primaria'!$I:$I,"&gt;=01/03/2024",'Datos Primaria'!$I:$I,"&lt;=31/03/2024")</f>
        <v>0</v>
      </c>
      <c r="G97" s="8">
        <f>COUNTIFS('Datos Primaria'!$E:$E,G$82,'Datos Primaria'!$I:$I,"&gt;=01/03/2024",'Datos Primaria'!$I:$I,"&lt;=31/03/2024")</f>
        <v>0</v>
      </c>
      <c r="H97" s="8">
        <f t="shared" si="18"/>
        <v>0</v>
      </c>
      <c r="J97" s="251"/>
      <c r="K97" s="23" t="s">
        <v>34</v>
      </c>
      <c r="L97" s="34">
        <f>SUM(C$95:C97)</f>
        <v>2</v>
      </c>
      <c r="M97" s="34">
        <f>SUM(D$95:D97)</f>
        <v>1</v>
      </c>
      <c r="N97" s="34">
        <f>SUM(E$95:E97)</f>
        <v>0</v>
      </c>
      <c r="O97" s="34">
        <f>SUM(F$95:F97)</f>
        <v>1</v>
      </c>
      <c r="P97" s="34">
        <f>SUM(G$95:G97)</f>
        <v>0</v>
      </c>
      <c r="Q97" s="8">
        <f t="shared" si="19"/>
        <v>4</v>
      </c>
      <c r="S97" s="251"/>
      <c r="T97" s="23" t="s">
        <v>34</v>
      </c>
      <c r="U97" s="34">
        <f>SUM(C$83:C97)</f>
        <v>7</v>
      </c>
      <c r="V97" s="34">
        <f>SUM(D$83:D97)</f>
        <v>6</v>
      </c>
      <c r="W97" s="34">
        <f>SUM(E$83:E97)</f>
        <v>4</v>
      </c>
      <c r="X97" s="34">
        <f>SUM(F$83:F97)</f>
        <v>5</v>
      </c>
      <c r="Y97" s="34">
        <f>SUM(G$83:G97)</f>
        <v>7</v>
      </c>
      <c r="Z97" s="8">
        <f t="shared" si="20"/>
        <v>29</v>
      </c>
    </row>
    <row r="98" spans="1:26">
      <c r="A98" s="251"/>
      <c r="B98" s="23" t="s">
        <v>38</v>
      </c>
      <c r="C98" s="8">
        <f>COUNTIFS('Datos Primaria'!$E:$E,C$82,'Datos Primaria'!$I:$I,"&gt;=01/04/2024",'Datos Primaria'!$I:$I,"&lt;=30/04/2024")</f>
        <v>0</v>
      </c>
      <c r="D98" s="8">
        <f>COUNTIFS('Datos Primaria'!$E:$E,D$82,'Datos Primaria'!$I:$I,"&gt;=01/04/2024",'Datos Primaria'!$I:$I,"&lt;=30/04/2024")</f>
        <v>0</v>
      </c>
      <c r="E98" s="8">
        <f>COUNTIFS('Datos Primaria'!$E:$E,E$82,'Datos Primaria'!$I:$I,"&gt;=01/04/2024",'Datos Primaria'!$I:$I,"&lt;=30/04/2024")</f>
        <v>2</v>
      </c>
      <c r="F98" s="8">
        <f>COUNTIFS('Datos Primaria'!$E:$E,F$82,'Datos Primaria'!$I:$I,"&gt;=01/04/2024",'Datos Primaria'!$I:$I,"&lt;=30/04/2024")</f>
        <v>0</v>
      </c>
      <c r="G98" s="8">
        <f>COUNTIFS('Datos Primaria'!$E:$E,G$82,'Datos Primaria'!$I:$I,"&gt;=01/04/2024",'Datos Primaria'!$I:$I,"&lt;=30/04/2024")</f>
        <v>1</v>
      </c>
      <c r="H98" s="8">
        <f t="shared" si="18"/>
        <v>3</v>
      </c>
      <c r="J98" s="251"/>
      <c r="K98" s="23" t="s">
        <v>38</v>
      </c>
      <c r="L98" s="34">
        <f>SUM(C$95:C98)</f>
        <v>2</v>
      </c>
      <c r="M98" s="34">
        <f>SUM(D$95:D98)</f>
        <v>1</v>
      </c>
      <c r="N98" s="34">
        <f>SUM(E$95:E98)</f>
        <v>2</v>
      </c>
      <c r="O98" s="34">
        <f>SUM(F$95:F98)</f>
        <v>1</v>
      </c>
      <c r="P98" s="34">
        <f>SUM(G$95:G98)</f>
        <v>1</v>
      </c>
      <c r="Q98" s="8">
        <f t="shared" si="19"/>
        <v>7</v>
      </c>
      <c r="S98" s="251"/>
      <c r="T98" s="23" t="s">
        <v>38</v>
      </c>
      <c r="U98" s="34">
        <f>SUM(C$83:C98)</f>
        <v>7</v>
      </c>
      <c r="V98" s="34">
        <f>SUM(D$83:D98)</f>
        <v>6</v>
      </c>
      <c r="W98" s="34">
        <f>SUM(E$83:E98)</f>
        <v>6</v>
      </c>
      <c r="X98" s="34">
        <f>SUM(F$83:F98)</f>
        <v>5</v>
      </c>
      <c r="Y98" s="34">
        <f>SUM(G$83:G98)</f>
        <v>8</v>
      </c>
      <c r="Z98" s="8">
        <f t="shared" si="20"/>
        <v>32</v>
      </c>
    </row>
    <row r="99" spans="1:26">
      <c r="A99" s="251"/>
      <c r="B99" s="23" t="s">
        <v>47</v>
      </c>
      <c r="C99" s="8">
        <f>COUNTIFS('Datos Primaria'!$E:$E,C$82,'Datos Primaria'!$I:$I,"&gt;=01/05/2024",'Datos Primaria'!$I:$I,"&lt;=31/05/2024")</f>
        <v>0</v>
      </c>
      <c r="D99" s="8">
        <f>COUNTIFS('Datos Primaria'!$E:$E,D$82,'Datos Primaria'!$I:$I,"&gt;=01/05/2024",'Datos Primaria'!$I:$I,"&lt;=31/05/2024")</f>
        <v>1</v>
      </c>
      <c r="E99" s="8">
        <f>COUNTIFS('Datos Primaria'!$E:$E,E$82,'Datos Primaria'!$I:$I,"&gt;=01/05/2024",'Datos Primaria'!$I:$I,"&lt;=31/05/2024")</f>
        <v>0</v>
      </c>
      <c r="F99" s="8">
        <f>COUNTIFS('Datos Primaria'!$E:$E,F$82,'Datos Primaria'!$I:$I,"&gt;=01/05/2024",'Datos Primaria'!$I:$I,"&lt;=31/05/2024")</f>
        <v>0</v>
      </c>
      <c r="G99" s="8">
        <f>COUNTIFS('Datos Primaria'!$E:$E,G$82,'Datos Primaria'!$I:$I,"&gt;=01/05/2024",'Datos Primaria'!$I:$I,"&lt;=31/05/2024")</f>
        <v>0</v>
      </c>
      <c r="H99" s="8">
        <f t="shared" si="18"/>
        <v>1</v>
      </c>
      <c r="J99" s="251"/>
      <c r="K99" s="23" t="s">
        <v>47</v>
      </c>
      <c r="L99" s="34">
        <f>SUM(C$95:C99)</f>
        <v>2</v>
      </c>
      <c r="M99" s="34">
        <f>SUM(D$95:D99)</f>
        <v>2</v>
      </c>
      <c r="N99" s="34">
        <f>SUM(E$95:E99)</f>
        <v>2</v>
      </c>
      <c r="O99" s="34">
        <f>SUM(F$95:F99)</f>
        <v>1</v>
      </c>
      <c r="P99" s="34">
        <f>SUM(G$95:G99)</f>
        <v>1</v>
      </c>
      <c r="Q99" s="8">
        <f t="shared" si="19"/>
        <v>8</v>
      </c>
      <c r="S99" s="251"/>
      <c r="T99" s="23" t="s">
        <v>47</v>
      </c>
      <c r="U99" s="34">
        <f>SUM(C$83:C99)</f>
        <v>7</v>
      </c>
      <c r="V99" s="34">
        <f>SUM(D$83:D99)</f>
        <v>7</v>
      </c>
      <c r="W99" s="34">
        <f>SUM(E$83:E99)</f>
        <v>6</v>
      </c>
      <c r="X99" s="34">
        <f>SUM(F$83:F99)</f>
        <v>5</v>
      </c>
      <c r="Y99" s="34">
        <f>SUM(G$83:G99)</f>
        <v>8</v>
      </c>
      <c r="Z99" s="8">
        <f t="shared" si="20"/>
        <v>33</v>
      </c>
    </row>
    <row r="100" spans="1:26">
      <c r="A100" s="251"/>
      <c r="B100" s="23" t="s">
        <v>57</v>
      </c>
      <c r="C100" s="8">
        <f>COUNTIFS('Datos Primaria'!$E:$E,C$82,'Datos Primaria'!$I:$I,"&gt;=01/06/2024",'Datos Primaria'!$I:$I,"&lt;=30/06/2024")</f>
        <v>0</v>
      </c>
      <c r="D100" s="8">
        <f>COUNTIFS('Datos Primaria'!$E:$E,D$82,'Datos Primaria'!$I:$I,"&gt;=01/06/2024",'Datos Primaria'!$I:$I,"&lt;=30/06/2024")</f>
        <v>0</v>
      </c>
      <c r="E100" s="8">
        <f>COUNTIFS('Datos Primaria'!$E:$E,E$82,'Datos Primaria'!$I:$I,"&gt;=01/06/2024",'Datos Primaria'!$I:$I,"&lt;=30/06/2024")</f>
        <v>0</v>
      </c>
      <c r="F100" s="8">
        <f>COUNTIFS('Datos Primaria'!$E:$E,F$82,'Datos Primaria'!$I:$I,"&gt;=01/06/2024",'Datos Primaria'!$I:$I,"&lt;=30/06/2024")</f>
        <v>0</v>
      </c>
      <c r="G100" s="8">
        <f>COUNTIFS('Datos Primaria'!$E:$E,G$82,'Datos Primaria'!$I:$I,"&gt;=01/06/2024",'Datos Primaria'!$I:$I,"&lt;=30/06/2024")</f>
        <v>0</v>
      </c>
      <c r="H100" s="8">
        <f t="shared" si="18"/>
        <v>0</v>
      </c>
      <c r="J100" s="251"/>
      <c r="K100" s="23" t="s">
        <v>57</v>
      </c>
      <c r="L100" s="34">
        <f>SUM(C$95:C100)</f>
        <v>2</v>
      </c>
      <c r="M100" s="34">
        <f>SUM(D$95:D100)</f>
        <v>2</v>
      </c>
      <c r="N100" s="34">
        <f>SUM(E$95:E100)</f>
        <v>2</v>
      </c>
      <c r="O100" s="34">
        <f>SUM(F$95:F100)</f>
        <v>1</v>
      </c>
      <c r="P100" s="34">
        <f>SUM(G$95:G100)</f>
        <v>1</v>
      </c>
      <c r="Q100" s="8">
        <f t="shared" si="19"/>
        <v>8</v>
      </c>
      <c r="S100" s="251"/>
      <c r="T100" s="23" t="s">
        <v>57</v>
      </c>
      <c r="U100" s="34">
        <f>SUM(C$83:C100)</f>
        <v>7</v>
      </c>
      <c r="V100" s="34">
        <f>SUM(D$83:D100)</f>
        <v>7</v>
      </c>
      <c r="W100" s="34">
        <f>SUM(E$83:E100)</f>
        <v>6</v>
      </c>
      <c r="X100" s="34">
        <f>SUM(F$83:F100)</f>
        <v>5</v>
      </c>
      <c r="Y100" s="34">
        <f>SUM(G$83:G100)</f>
        <v>8</v>
      </c>
      <c r="Z100" s="8">
        <f t="shared" si="20"/>
        <v>33</v>
      </c>
    </row>
    <row r="101" spans="1:26">
      <c r="A101" s="251"/>
      <c r="B101" s="23" t="s">
        <v>62</v>
      </c>
      <c r="C101" s="8">
        <f>COUNTIFS('Datos Primaria'!$E:$E,C$82,'Datos Primaria'!$I:$I,"&gt;=01/07/2024",'Datos Primaria'!$I:$I,"&lt;=31/07/2024")</f>
        <v>1</v>
      </c>
      <c r="D101" s="8">
        <f>COUNTIFS('Datos Primaria'!$E:$E,D$82,'Datos Primaria'!$I:$I,"&gt;=01/07/2024",'Datos Primaria'!$I:$I,"&lt;=31/07/2024")</f>
        <v>3</v>
      </c>
      <c r="E101" s="8">
        <f>COUNTIFS('Datos Primaria'!$E:$E,E$82,'Datos Primaria'!$I:$I,"&gt;=01/07/2024",'Datos Primaria'!$I:$I,"&lt;=31/07/2024")</f>
        <v>1</v>
      </c>
      <c r="F101" s="8">
        <f>COUNTIFS('Datos Primaria'!$E:$E,F$82,'Datos Primaria'!$I:$I,"&gt;=01/07/2024",'Datos Primaria'!$I:$I,"&lt;=31/07/2024")</f>
        <v>2</v>
      </c>
      <c r="G101" s="8">
        <f>COUNTIFS('Datos Primaria'!$E:$E,G$82,'Datos Primaria'!$I:$I,"&gt;=01/07/2024",'Datos Primaria'!$I:$I,"&lt;=31/07/2024")</f>
        <v>1</v>
      </c>
      <c r="H101" s="8">
        <f t="shared" si="18"/>
        <v>8</v>
      </c>
      <c r="J101" s="251"/>
      <c r="K101" s="23" t="s">
        <v>62</v>
      </c>
      <c r="L101" s="34">
        <f>SUM(C$95:C101)</f>
        <v>3</v>
      </c>
      <c r="M101" s="34">
        <f>SUM(D$95:D101)</f>
        <v>5</v>
      </c>
      <c r="N101" s="34">
        <f>SUM(E$95:E101)</f>
        <v>3</v>
      </c>
      <c r="O101" s="34">
        <f>SUM(F$95:F101)</f>
        <v>3</v>
      </c>
      <c r="P101" s="34">
        <f>SUM(G$95:G101)</f>
        <v>2</v>
      </c>
      <c r="Q101" s="8">
        <f t="shared" si="19"/>
        <v>16</v>
      </c>
      <c r="S101" s="251"/>
      <c r="T101" s="23" t="s">
        <v>62</v>
      </c>
      <c r="U101" s="34">
        <f>SUM(C$83:C101)</f>
        <v>8</v>
      </c>
      <c r="V101" s="34">
        <f>SUM(D$83:D101)</f>
        <v>10</v>
      </c>
      <c r="W101" s="34">
        <f>SUM(E$83:E101)</f>
        <v>7</v>
      </c>
      <c r="X101" s="34">
        <f>SUM(F$83:F101)</f>
        <v>7</v>
      </c>
      <c r="Y101" s="34">
        <f>SUM(G$83:G101)</f>
        <v>9</v>
      </c>
      <c r="Z101" s="8">
        <f t="shared" si="20"/>
        <v>41</v>
      </c>
    </row>
    <row r="102" spans="1:26">
      <c r="A102" s="251"/>
      <c r="B102" s="23" t="s">
        <v>68</v>
      </c>
      <c r="C102" s="8">
        <f>COUNTIFS('Datos Primaria'!$E:$E,C$82,'Datos Primaria'!$I:$I,"&gt;=01/08/2024",'Datos Primaria'!$I:$I,"&lt;=31/08/2024")</f>
        <v>0</v>
      </c>
      <c r="D102" s="8">
        <f>COUNTIFS('Datos Primaria'!$E:$E,D$82,'Datos Primaria'!$I:$I,"&gt;=01/08/2024",'Datos Primaria'!$I:$I,"&lt;=31/08/2024")</f>
        <v>0</v>
      </c>
      <c r="E102" s="8">
        <f>COUNTIFS('Datos Primaria'!$E:$E,E$82,'Datos Primaria'!$I:$I,"&gt;=01/08/2024",'Datos Primaria'!$I:$I,"&lt;=31/08/2024")</f>
        <v>0</v>
      </c>
      <c r="F102" s="8">
        <f>COUNTIFS('Datos Primaria'!$E:$E,F$82,'Datos Primaria'!$I:$I,"&gt;=01/08/2024",'Datos Primaria'!$I:$I,"&lt;=31/08/2024")</f>
        <v>0</v>
      </c>
      <c r="G102" s="8">
        <f>COUNTIFS('Datos Primaria'!$E:$E,G$82,'Datos Primaria'!$I:$I,"&gt;=01/08/2024",'Datos Primaria'!$I:$I,"&lt;=31/08/2024")</f>
        <v>0</v>
      </c>
      <c r="H102" s="8">
        <f t="shared" si="18"/>
        <v>0</v>
      </c>
      <c r="J102" s="251"/>
      <c r="K102" s="23" t="s">
        <v>68</v>
      </c>
      <c r="L102" s="34">
        <f>SUM(C$95:C102)</f>
        <v>3</v>
      </c>
      <c r="M102" s="34">
        <f>SUM(D$95:D102)</f>
        <v>5</v>
      </c>
      <c r="N102" s="34">
        <f>SUM(E$95:E102)</f>
        <v>3</v>
      </c>
      <c r="O102" s="34">
        <f>SUM(F$95:F102)</f>
        <v>3</v>
      </c>
      <c r="P102" s="34">
        <f>SUM(G$95:G102)</f>
        <v>2</v>
      </c>
      <c r="Q102" s="8">
        <f t="shared" si="19"/>
        <v>16</v>
      </c>
      <c r="S102" s="251"/>
      <c r="T102" s="23" t="s">
        <v>68</v>
      </c>
      <c r="U102" s="34">
        <f>SUM(C$83:C102)</f>
        <v>8</v>
      </c>
      <c r="V102" s="34">
        <f>SUM(D$83:D102)</f>
        <v>10</v>
      </c>
      <c r="W102" s="34">
        <f>SUM(E$83:E102)</f>
        <v>7</v>
      </c>
      <c r="X102" s="34">
        <f>SUM(F$83:F102)</f>
        <v>7</v>
      </c>
      <c r="Y102" s="34">
        <f>SUM(G$83:G102)</f>
        <v>9</v>
      </c>
      <c r="Z102" s="8">
        <f t="shared" si="20"/>
        <v>41</v>
      </c>
    </row>
    <row r="103" spans="1:26">
      <c r="A103" s="251"/>
      <c r="B103" s="23" t="s">
        <v>77</v>
      </c>
      <c r="C103" s="8">
        <f>COUNTIFS('Datos Primaria'!$E:$E,C$82,'Datos Primaria'!$I:$I,"&gt;=01/09/2024",'Datos Primaria'!$I:$I,"&lt;=30/09/2024")</f>
        <v>0</v>
      </c>
      <c r="D103" s="8">
        <f>COUNTIFS('Datos Primaria'!$E:$E,D$82,'Datos Primaria'!$I:$I,"&gt;=01/09/2024",'Datos Primaria'!$I:$I,"&lt;=30/09/2024")</f>
        <v>0</v>
      </c>
      <c r="E103" s="8">
        <f>COUNTIFS('Datos Primaria'!$E:$E,E$82,'Datos Primaria'!$I:$I,"&gt;=01/09/2024",'Datos Primaria'!$I:$I,"&lt;=30/09/2024")</f>
        <v>0</v>
      </c>
      <c r="F103" s="8">
        <f>COUNTIFS('Datos Primaria'!$E:$E,F$82,'Datos Primaria'!$I:$I,"&gt;=01/09/2024",'Datos Primaria'!$I:$I,"&lt;=30/09/2024")</f>
        <v>0</v>
      </c>
      <c r="G103" s="8">
        <f>COUNTIFS('Datos Primaria'!$E:$E,G$82,'Datos Primaria'!$I:$I,"&gt;=01/09/2024",'Datos Primaria'!$I:$I,"&lt;=30/09/2024")</f>
        <v>2</v>
      </c>
      <c r="H103" s="8">
        <f t="shared" si="18"/>
        <v>2</v>
      </c>
      <c r="J103" s="251"/>
      <c r="K103" s="23" t="s">
        <v>77</v>
      </c>
      <c r="L103" s="34">
        <f>SUM(C$95:C103)</f>
        <v>3</v>
      </c>
      <c r="M103" s="34">
        <f>SUM(D$95:D103)</f>
        <v>5</v>
      </c>
      <c r="N103" s="34">
        <f>SUM(E$95:E103)</f>
        <v>3</v>
      </c>
      <c r="O103" s="34">
        <f>SUM(F$95:F103)</f>
        <v>3</v>
      </c>
      <c r="P103" s="34">
        <f>SUM(G$95:G103)</f>
        <v>4</v>
      </c>
      <c r="Q103" s="8">
        <f t="shared" si="19"/>
        <v>18</v>
      </c>
      <c r="S103" s="251"/>
      <c r="T103" s="23" t="s">
        <v>77</v>
      </c>
      <c r="U103" s="34">
        <f>SUM(C$83:C103)</f>
        <v>8</v>
      </c>
      <c r="V103" s="34">
        <f>SUM(D$83:D103)</f>
        <v>10</v>
      </c>
      <c r="W103" s="34">
        <f>SUM(E$83:E103)</f>
        <v>7</v>
      </c>
      <c r="X103" s="34">
        <f>SUM(F$83:F103)</f>
        <v>7</v>
      </c>
      <c r="Y103" s="34">
        <f>SUM(G$83:G103)</f>
        <v>11</v>
      </c>
      <c r="Z103" s="8">
        <f t="shared" si="20"/>
        <v>43</v>
      </c>
    </row>
    <row r="104" spans="1:26">
      <c r="A104" s="251"/>
      <c r="B104" s="23" t="s">
        <v>84</v>
      </c>
      <c r="C104" s="8">
        <f>COUNTIFS('Datos Primaria'!$E:$E,C$82,'Datos Primaria'!$I:$I,"&gt;=01/10/2024",'Datos Primaria'!$I:$I,"&lt;=31/10/2024")</f>
        <v>0</v>
      </c>
      <c r="D104" s="8">
        <f>COUNTIFS('Datos Primaria'!$E:$E,D$82,'Datos Primaria'!$I:$I,"&gt;=01/10/2024",'Datos Primaria'!$I:$I,"&lt;=31/10/2024")</f>
        <v>1</v>
      </c>
      <c r="E104" s="8">
        <f>COUNTIFS('Datos Primaria'!$E:$E,E$82,'Datos Primaria'!$I:$I,"&gt;=01/10/2024",'Datos Primaria'!$I:$I,"&lt;=31/10/2024")</f>
        <v>1</v>
      </c>
      <c r="F104" s="8">
        <f>COUNTIFS('Datos Primaria'!$E:$E,F$82,'Datos Primaria'!$I:$I,"&gt;=01/10/2024",'Datos Primaria'!$I:$I,"&lt;=31/10/2024")</f>
        <v>0</v>
      </c>
      <c r="G104" s="8">
        <f>COUNTIFS('Datos Primaria'!$E:$E,G$82,'Datos Primaria'!$I:$I,"&gt;=01/10/2024",'Datos Primaria'!$I:$I,"&lt;=31/10/2024")</f>
        <v>1</v>
      </c>
      <c r="H104" s="8">
        <f t="shared" si="18"/>
        <v>3</v>
      </c>
      <c r="J104" s="251"/>
      <c r="K104" s="23" t="s">
        <v>84</v>
      </c>
      <c r="L104" s="34">
        <f>SUM(C$95:C104)</f>
        <v>3</v>
      </c>
      <c r="M104" s="34">
        <f>SUM(D$95:D104)</f>
        <v>6</v>
      </c>
      <c r="N104" s="34">
        <f>SUM(E$95:E104)</f>
        <v>4</v>
      </c>
      <c r="O104" s="34">
        <f>SUM(F$95:F104)</f>
        <v>3</v>
      </c>
      <c r="P104" s="34">
        <f>SUM(G$95:G104)</f>
        <v>5</v>
      </c>
      <c r="Q104" s="8">
        <f t="shared" si="19"/>
        <v>21</v>
      </c>
      <c r="S104" s="251"/>
      <c r="T104" s="23" t="s">
        <v>84</v>
      </c>
      <c r="U104" s="34">
        <f>SUM(C$83:C104)</f>
        <v>8</v>
      </c>
      <c r="V104" s="34">
        <f>SUM(D$83:D104)</f>
        <v>11</v>
      </c>
      <c r="W104" s="34">
        <f>SUM(E$83:E104)</f>
        <v>8</v>
      </c>
      <c r="X104" s="34">
        <f>SUM(F$83:F104)</f>
        <v>7</v>
      </c>
      <c r="Y104" s="34">
        <f>SUM(G$83:G104)</f>
        <v>12</v>
      </c>
      <c r="Z104" s="8">
        <f t="shared" si="20"/>
        <v>46</v>
      </c>
    </row>
    <row r="105" spans="1:26">
      <c r="A105" s="251"/>
      <c r="B105" s="23" t="s">
        <v>87</v>
      </c>
      <c r="C105" s="8">
        <f>COUNTIFS('Datos Primaria'!$E:$E,C$82,'Datos Primaria'!$I:$I,"&gt;=01/11/2024",'Datos Primaria'!$I:$I,"&lt;=30/11/2024")</f>
        <v>0</v>
      </c>
      <c r="D105" s="8">
        <f>COUNTIFS('Datos Primaria'!$E:$E,D$82,'Datos Primaria'!$I:$I,"&gt;=01/11/2024",'Datos Primaria'!$I:$I,"&lt;=30/11/2024")</f>
        <v>0</v>
      </c>
      <c r="E105" s="8">
        <f>COUNTIFS('Datos Primaria'!$E:$E,E$82,'Datos Primaria'!$I:$I,"&gt;=01/11/2024",'Datos Primaria'!$I:$I,"&lt;=30/11/2024")</f>
        <v>2</v>
      </c>
      <c r="F105" s="8">
        <f>COUNTIFS('Datos Primaria'!$E:$E,F$82,'Datos Primaria'!$I:$I,"&gt;=01/11/2024",'Datos Primaria'!$I:$I,"&lt;=30/11/2024")</f>
        <v>1</v>
      </c>
      <c r="G105" s="8">
        <f>COUNTIFS('Datos Primaria'!$E:$E,G$82,'Datos Primaria'!$I:$I,"&gt;=01/11/2024",'Datos Primaria'!$I:$I,"&lt;=30/11/2024")</f>
        <v>0</v>
      </c>
      <c r="H105" s="8">
        <f t="shared" si="18"/>
        <v>3</v>
      </c>
      <c r="J105" s="251"/>
      <c r="K105" s="23" t="s">
        <v>87</v>
      </c>
      <c r="L105" s="34">
        <f>SUM(C$95:C105)</f>
        <v>3</v>
      </c>
      <c r="M105" s="34">
        <f>SUM(D$95:D105)</f>
        <v>6</v>
      </c>
      <c r="N105" s="34">
        <f>SUM(E$95:E105)</f>
        <v>6</v>
      </c>
      <c r="O105" s="34">
        <f>SUM(F$95:F105)</f>
        <v>4</v>
      </c>
      <c r="P105" s="34">
        <f>SUM(G$95:G105)</f>
        <v>5</v>
      </c>
      <c r="Q105" s="8">
        <f t="shared" si="19"/>
        <v>24</v>
      </c>
      <c r="S105" s="251"/>
      <c r="T105" s="23" t="s">
        <v>87</v>
      </c>
      <c r="U105" s="34">
        <f>SUM(C$83:C105)</f>
        <v>8</v>
      </c>
      <c r="V105" s="34">
        <f>SUM(D$83:D105)</f>
        <v>11</v>
      </c>
      <c r="W105" s="34">
        <f>SUM(E$83:E105)</f>
        <v>10</v>
      </c>
      <c r="X105" s="34">
        <f>SUM(F$83:F105)</f>
        <v>8</v>
      </c>
      <c r="Y105" s="34">
        <f>SUM(G$83:G105)</f>
        <v>12</v>
      </c>
      <c r="Z105" s="8">
        <f t="shared" si="20"/>
        <v>49</v>
      </c>
    </row>
    <row r="106" spans="1:26">
      <c r="A106" s="251"/>
      <c r="B106" s="23" t="s">
        <v>173</v>
      </c>
      <c r="C106" s="8">
        <f>COUNTIFS('Datos Primaria'!$E:$E,C$82,'Datos Primaria'!$I:$I,"&gt;=01/12/2024",'Datos Primaria'!$I:$I,"&lt;=31/12/2024")</f>
        <v>0</v>
      </c>
      <c r="D106" s="8">
        <f>COUNTIFS('Datos Primaria'!$E:$E,D$82,'Datos Primaria'!$I:$I,"&gt;=01/12/2024",'Datos Primaria'!$I:$I,"&lt;=31/12/2024")</f>
        <v>0</v>
      </c>
      <c r="E106" s="8">
        <f>COUNTIFS('Datos Primaria'!$E:$E,E$82,'Datos Primaria'!$I:$I,"&gt;=01/12/2024",'Datos Primaria'!$I:$I,"&lt;=31/12/2024")</f>
        <v>0</v>
      </c>
      <c r="F106" s="8">
        <f>COUNTIFS('Datos Primaria'!$E:$E,F$82,'Datos Primaria'!$I:$I,"&gt;=01/12/2024",'Datos Primaria'!$I:$I,"&lt;=31/12/2024")</f>
        <v>0</v>
      </c>
      <c r="G106" s="8">
        <f>COUNTIFS('Datos Primaria'!$E:$E,G$82,'Datos Primaria'!$I:$I,"&gt;=01/12/2024",'Datos Primaria'!$I:$I,"&lt;=31/12/2024")</f>
        <v>0</v>
      </c>
      <c r="H106" s="8">
        <f t="shared" si="18"/>
        <v>0</v>
      </c>
      <c r="J106" s="251"/>
      <c r="K106" s="23" t="s">
        <v>173</v>
      </c>
      <c r="L106" s="34">
        <f>SUM(C$95:C106)</f>
        <v>3</v>
      </c>
      <c r="M106" s="34">
        <f>SUM(D$95:D106)</f>
        <v>6</v>
      </c>
      <c r="N106" s="34">
        <f>SUM(E$95:E106)</f>
        <v>6</v>
      </c>
      <c r="O106" s="34">
        <f>SUM(F$95:F106)</f>
        <v>4</v>
      </c>
      <c r="P106" s="34">
        <f>SUM(G$95:G106)</f>
        <v>5</v>
      </c>
      <c r="Q106" s="8">
        <f t="shared" si="19"/>
        <v>24</v>
      </c>
      <c r="S106" s="251"/>
      <c r="T106" s="23" t="s">
        <v>173</v>
      </c>
      <c r="U106" s="34">
        <f>SUM(C$83:C106)</f>
        <v>8</v>
      </c>
      <c r="V106" s="34">
        <f>SUM(D$83:D106)</f>
        <v>11</v>
      </c>
      <c r="W106" s="34">
        <f>SUM(E$83:E106)</f>
        <v>10</v>
      </c>
      <c r="X106" s="34">
        <f>SUM(F$83:F106)</f>
        <v>8</v>
      </c>
      <c r="Y106" s="34">
        <f>SUM(G$83:G106)</f>
        <v>12</v>
      </c>
      <c r="Z106" s="8">
        <f t="shared" si="20"/>
        <v>49</v>
      </c>
    </row>
    <row r="107" spans="1:26" ht="14.45" customHeight="1">
      <c r="A107" s="251">
        <f>A27</f>
        <v>2025</v>
      </c>
      <c r="B107" s="23" t="s">
        <v>13</v>
      </c>
      <c r="C107" s="8">
        <f>COUNTIFS('Datos Primaria'!$E:$E,C$82,'Datos Primaria'!$I:$I,"&gt;=01/01/2025",'Datos Primaria'!$I:$I,"&lt;=31/01/2025")</f>
        <v>1</v>
      </c>
      <c r="D107" s="8">
        <f>COUNTIFS('Datos Primaria'!$E:$E,D$82,'Datos Primaria'!$I:$I,"&gt;=01/01/2025",'Datos Primaria'!$I:$I,"&lt;=31/01/2025")</f>
        <v>1</v>
      </c>
      <c r="E107" s="8">
        <f>COUNTIFS('Datos Primaria'!$E:$E,E$82,'Datos Primaria'!$I:$I,"&gt;=01/01/2025",'Datos Primaria'!$I:$I,"&lt;=31/01/2025")</f>
        <v>2</v>
      </c>
      <c r="F107" s="8">
        <f>COUNTIFS('Datos Primaria'!$E:$E,F$82,'Datos Primaria'!$I:$I,"&gt;=01/01/2025",'Datos Primaria'!$I:$I,"&lt;=31/01/2025")</f>
        <v>0</v>
      </c>
      <c r="G107" s="8">
        <f>COUNTIFS('Datos Primaria'!$E:$E,G$82,'Datos Primaria'!$I:$I,"&gt;=01/01/2025",'Datos Primaria'!$I:$I,"&lt;=31/01/2025")</f>
        <v>2</v>
      </c>
      <c r="H107" s="8">
        <f t="shared" ref="H107:H118" si="21">SUM(C107:G107)</f>
        <v>6</v>
      </c>
      <c r="J107" s="251">
        <f>A107</f>
        <v>2025</v>
      </c>
      <c r="K107" s="23" t="s">
        <v>13</v>
      </c>
      <c r="L107" s="34">
        <f>SUM(C$107:C107)</f>
        <v>1</v>
      </c>
      <c r="M107" s="34">
        <f>SUM(D$107:D107)</f>
        <v>1</v>
      </c>
      <c r="N107" s="34">
        <f>SUM(E$107:E107)</f>
        <v>2</v>
      </c>
      <c r="O107" s="34">
        <f>SUM(F$107:F107)</f>
        <v>0</v>
      </c>
      <c r="P107" s="34">
        <f>SUM(G$107:G107)</f>
        <v>2</v>
      </c>
      <c r="Q107" s="8">
        <f t="shared" ref="Q107:Q118" si="22">SUM(L107:P107)</f>
        <v>6</v>
      </c>
      <c r="S107" s="251">
        <f>A107</f>
        <v>2025</v>
      </c>
      <c r="T107" s="23" t="s">
        <v>13</v>
      </c>
      <c r="U107" s="34">
        <f>SUM(C$83:C107)</f>
        <v>9</v>
      </c>
      <c r="V107" s="34">
        <f>SUM(D$83:D107)</f>
        <v>12</v>
      </c>
      <c r="W107" s="34">
        <f>SUM(E$83:E107)</f>
        <v>12</v>
      </c>
      <c r="X107" s="34">
        <f>SUM(F$83:F107)</f>
        <v>8</v>
      </c>
      <c r="Y107" s="34">
        <f>SUM(G$83:G107)</f>
        <v>14</v>
      </c>
      <c r="Z107" s="8">
        <f t="shared" ref="Z107:Z118" si="23">SUM(U107:Y107)</f>
        <v>55</v>
      </c>
    </row>
    <row r="108" spans="1:26">
      <c r="A108" s="251"/>
      <c r="B108" s="23" t="s">
        <v>24</v>
      </c>
      <c r="C108" s="8">
        <f>COUNTIFS('Datos Primaria'!$E:$E,C$82,'Datos Primaria'!$I:$I,"&gt;=01/02/2025",'Datos Primaria'!$I:$I,"&lt;=28/02/2025")</f>
        <v>0</v>
      </c>
      <c r="D108" s="8">
        <f>COUNTIFS('Datos Primaria'!$E:$E,D$82,'Datos Primaria'!$I:$I,"&gt;=01/02/2025",'Datos Primaria'!$I:$I,"&lt;=28/02/2025")</f>
        <v>0</v>
      </c>
      <c r="E108" s="8">
        <f>COUNTIFS('Datos Primaria'!$E:$E,E$82,'Datos Primaria'!$I:$I,"&gt;=01/02/2025",'Datos Primaria'!$I:$I,"&lt;=28/02/2025")</f>
        <v>0</v>
      </c>
      <c r="F108" s="8">
        <f>COUNTIFS('Datos Primaria'!$E:$E,F$82,'Datos Primaria'!$I:$I,"&gt;=01/02/2025",'Datos Primaria'!$I:$I,"&lt;=28/02/2025")</f>
        <v>1</v>
      </c>
      <c r="G108" s="8">
        <f>COUNTIFS('Datos Primaria'!$E:$E,G$82,'Datos Primaria'!$I:$I,"&gt;=01/02/2025",'Datos Primaria'!$I:$I,"&lt;=28/02/2025")</f>
        <v>1</v>
      </c>
      <c r="H108" s="8">
        <f t="shared" si="21"/>
        <v>2</v>
      </c>
      <c r="J108" s="251"/>
      <c r="K108" s="23" t="s">
        <v>24</v>
      </c>
      <c r="L108" s="34">
        <f>SUM(C$107:C108)</f>
        <v>1</v>
      </c>
      <c r="M108" s="34">
        <f>SUM(D$107:D108)</f>
        <v>1</v>
      </c>
      <c r="N108" s="34">
        <f>SUM(E$107:E108)</f>
        <v>2</v>
      </c>
      <c r="O108" s="34">
        <f>SUM(F$107:F108)</f>
        <v>1</v>
      </c>
      <c r="P108" s="34">
        <f>SUM(G$107:G108)</f>
        <v>3</v>
      </c>
      <c r="Q108" s="8">
        <f t="shared" si="22"/>
        <v>8</v>
      </c>
      <c r="S108" s="251"/>
      <c r="T108" s="23" t="s">
        <v>24</v>
      </c>
      <c r="U108" s="34">
        <f>SUM(C$83:C108)</f>
        <v>9</v>
      </c>
      <c r="V108" s="34">
        <f>SUM(D$83:D108)</f>
        <v>12</v>
      </c>
      <c r="W108" s="34">
        <f>SUM(E$83:E108)</f>
        <v>12</v>
      </c>
      <c r="X108" s="34">
        <f>SUM(F$83:F108)</f>
        <v>9</v>
      </c>
      <c r="Y108" s="34">
        <f>SUM(G$83:G108)</f>
        <v>15</v>
      </c>
      <c r="Z108" s="8">
        <f t="shared" si="23"/>
        <v>57</v>
      </c>
    </row>
    <row r="109" spans="1:26">
      <c r="A109" s="251"/>
      <c r="B109" s="23" t="s">
        <v>34</v>
      </c>
      <c r="C109" s="8">
        <f>COUNTIFS('Datos Primaria'!$E:$E,C$82,'Datos Primaria'!$I:$I,"&gt;=01/03/2025",'Datos Primaria'!$I:$I,"&lt;=31/03/2025")</f>
        <v>0</v>
      </c>
      <c r="D109" s="8">
        <f>COUNTIFS('Datos Primaria'!$E:$E,D$82,'Datos Primaria'!$I:$I,"&gt;=01/03/2025",'Datos Primaria'!$I:$I,"&lt;=31/03/2025")</f>
        <v>0</v>
      </c>
      <c r="E109" s="8">
        <f>COUNTIFS('Datos Primaria'!$E:$E,E$82,'Datos Primaria'!$I:$I,"&gt;=01/03/2025",'Datos Primaria'!$I:$I,"&lt;=31/03/2025")</f>
        <v>1</v>
      </c>
      <c r="F109" s="8">
        <f>COUNTIFS('Datos Primaria'!$E:$E,F$82,'Datos Primaria'!$I:$I,"&gt;=01/03/2025",'Datos Primaria'!$I:$I,"&lt;=31/03/2025")</f>
        <v>2</v>
      </c>
      <c r="G109" s="8">
        <f>COUNTIFS('Datos Primaria'!$E:$E,G$82,'Datos Primaria'!$I:$I,"&gt;=01/03/2025",'Datos Primaria'!$I:$I,"&lt;=31/03/2025")</f>
        <v>1</v>
      </c>
      <c r="H109" s="8">
        <f t="shared" si="21"/>
        <v>4</v>
      </c>
      <c r="J109" s="251"/>
      <c r="K109" s="23" t="s">
        <v>34</v>
      </c>
      <c r="L109" s="34">
        <f>SUM(C$107:C109)</f>
        <v>1</v>
      </c>
      <c r="M109" s="34">
        <f>SUM(D$107:D109)</f>
        <v>1</v>
      </c>
      <c r="N109" s="34">
        <f>SUM(E$107:E109)</f>
        <v>3</v>
      </c>
      <c r="O109" s="34">
        <f>SUM(F$107:F109)</f>
        <v>3</v>
      </c>
      <c r="P109" s="34">
        <f>SUM(G$107:G109)</f>
        <v>4</v>
      </c>
      <c r="Q109" s="8">
        <f t="shared" si="22"/>
        <v>12</v>
      </c>
      <c r="S109" s="251"/>
      <c r="T109" s="23" t="s">
        <v>34</v>
      </c>
      <c r="U109" s="34">
        <f>SUM(C$83:C109)</f>
        <v>9</v>
      </c>
      <c r="V109" s="34">
        <f>SUM(D$83:D109)</f>
        <v>12</v>
      </c>
      <c r="W109" s="34">
        <f>SUM(E$83:E109)</f>
        <v>13</v>
      </c>
      <c r="X109" s="34">
        <f>SUM(F$83:F109)</f>
        <v>11</v>
      </c>
      <c r="Y109" s="34">
        <f>SUM(G$83:G109)</f>
        <v>16</v>
      </c>
      <c r="Z109" s="8">
        <f t="shared" si="23"/>
        <v>61</v>
      </c>
    </row>
    <row r="110" spans="1:26">
      <c r="A110" s="251"/>
      <c r="B110" s="23" t="s">
        <v>38</v>
      </c>
      <c r="C110" s="8">
        <f>COUNTIFS('Datos Primaria'!$E:$E,C$82,'Datos Primaria'!$I:$I,"&gt;=01/04/2025",'Datos Primaria'!$I:$I,"&lt;=30/04/2025")</f>
        <v>0</v>
      </c>
      <c r="D110" s="8">
        <f>COUNTIFS('Datos Primaria'!$E:$E,D$82,'Datos Primaria'!$I:$I,"&gt;=01/04/2025",'Datos Primaria'!$I:$I,"&lt;=30/04/2025")</f>
        <v>1</v>
      </c>
      <c r="E110" s="8">
        <f>COUNTIFS('Datos Primaria'!$E:$E,E$82,'Datos Primaria'!$I:$I,"&gt;=01/04/2025",'Datos Primaria'!$I:$I,"&lt;=30/04/2025")</f>
        <v>0</v>
      </c>
      <c r="F110" s="8">
        <f>COUNTIFS('Datos Primaria'!$E:$E,F$82,'Datos Primaria'!$I:$I,"&gt;=01/04/2025",'Datos Primaria'!$I:$I,"&lt;=30/04/2025")</f>
        <v>0</v>
      </c>
      <c r="G110" s="8">
        <f>COUNTIFS('Datos Primaria'!$E:$E,G$82,'Datos Primaria'!$I:$I,"&gt;=01/04/2025",'Datos Primaria'!$I:$I,"&lt;=30/04/2025")</f>
        <v>0</v>
      </c>
      <c r="H110" s="8">
        <f t="shared" si="21"/>
        <v>1</v>
      </c>
      <c r="J110" s="251"/>
      <c r="K110" s="23" t="s">
        <v>38</v>
      </c>
      <c r="L110" s="34">
        <f>SUM(C$107:C110)</f>
        <v>1</v>
      </c>
      <c r="M110" s="34">
        <f>SUM(D$107:D110)</f>
        <v>2</v>
      </c>
      <c r="N110" s="34">
        <f>SUM(E$107:E110)</f>
        <v>3</v>
      </c>
      <c r="O110" s="34">
        <f>SUM(F$107:F110)</f>
        <v>3</v>
      </c>
      <c r="P110" s="34">
        <f>SUM(G$107:G110)</f>
        <v>4</v>
      </c>
      <c r="Q110" s="8">
        <f t="shared" si="22"/>
        <v>13</v>
      </c>
      <c r="S110" s="251"/>
      <c r="T110" s="23" t="s">
        <v>38</v>
      </c>
      <c r="U110" s="34">
        <f>SUM(C$83:C110)</f>
        <v>9</v>
      </c>
      <c r="V110" s="34">
        <f>SUM(D$83:D110)</f>
        <v>13</v>
      </c>
      <c r="W110" s="34">
        <f>SUM(E$83:E110)</f>
        <v>13</v>
      </c>
      <c r="X110" s="34">
        <f>SUM(F$83:F110)</f>
        <v>11</v>
      </c>
      <c r="Y110" s="34">
        <f>SUM(G$83:G110)</f>
        <v>16</v>
      </c>
      <c r="Z110" s="8">
        <f t="shared" si="23"/>
        <v>62</v>
      </c>
    </row>
    <row r="111" spans="1:26">
      <c r="A111" s="251"/>
      <c r="B111" s="23" t="s">
        <v>47</v>
      </c>
      <c r="C111" s="8">
        <f>COUNTIFS('Datos Primaria'!$E:$E,C$82,'Datos Primaria'!$I:$I,"&gt;=01/05/2025",'Datos Primaria'!$I:$I,"&lt;=31/05/2025")</f>
        <v>2</v>
      </c>
      <c r="D111" s="8">
        <f>COUNTIFS('Datos Primaria'!$E:$E,D$82,'Datos Primaria'!$I:$I,"&gt;=01/05/2025",'Datos Primaria'!$I:$I,"&lt;=31/05/2025")</f>
        <v>0</v>
      </c>
      <c r="E111" s="8">
        <f>COUNTIFS('Datos Primaria'!$E:$E,E$82,'Datos Primaria'!$I:$I,"&gt;=01/05/2025",'Datos Primaria'!$I:$I,"&lt;=31/05/2025")</f>
        <v>0</v>
      </c>
      <c r="F111" s="8">
        <f>COUNTIFS('Datos Primaria'!$E:$E,F$82,'Datos Primaria'!$I:$I,"&gt;=01/05/2025",'Datos Primaria'!$I:$I,"&lt;=31/05/2025")</f>
        <v>0</v>
      </c>
      <c r="G111" s="8">
        <f>COUNTIFS('Datos Primaria'!$E:$E,G$82,'Datos Primaria'!$I:$I,"&gt;=01/05/2025",'Datos Primaria'!$I:$I,"&lt;=31/05/2025")</f>
        <v>0</v>
      </c>
      <c r="H111" s="8">
        <f t="shared" si="21"/>
        <v>2</v>
      </c>
      <c r="J111" s="251"/>
      <c r="K111" s="23" t="s">
        <v>47</v>
      </c>
      <c r="L111" s="34">
        <f>SUM(C$107:C111)</f>
        <v>3</v>
      </c>
      <c r="M111" s="34">
        <f>SUM(D$107:D111)</f>
        <v>2</v>
      </c>
      <c r="N111" s="34">
        <f>SUM(E$107:E111)</f>
        <v>3</v>
      </c>
      <c r="O111" s="34">
        <f>SUM(F$107:F111)</f>
        <v>3</v>
      </c>
      <c r="P111" s="34">
        <f>SUM(G$107:G111)</f>
        <v>4</v>
      </c>
      <c r="Q111" s="8">
        <f t="shared" si="22"/>
        <v>15</v>
      </c>
      <c r="S111" s="251"/>
      <c r="T111" s="23" t="s">
        <v>47</v>
      </c>
      <c r="U111" s="34">
        <f>SUM(C$83:C111)</f>
        <v>11</v>
      </c>
      <c r="V111" s="34">
        <f>SUM(D$83:D111)</f>
        <v>13</v>
      </c>
      <c r="W111" s="34">
        <f>SUM(E$83:E111)</f>
        <v>13</v>
      </c>
      <c r="X111" s="34">
        <f>SUM(F$83:F111)</f>
        <v>11</v>
      </c>
      <c r="Y111" s="34">
        <f>SUM(G$83:G111)</f>
        <v>16</v>
      </c>
      <c r="Z111" s="8">
        <f t="shared" si="23"/>
        <v>64</v>
      </c>
    </row>
    <row r="112" spans="1:26">
      <c r="A112" s="251"/>
      <c r="B112" s="23" t="s">
        <v>57</v>
      </c>
      <c r="C112" s="8">
        <f>COUNTIFS('Datos Primaria'!$E:$E,C$82,'Datos Primaria'!$I:$I,"&gt;=01/06/2025",'Datos Primaria'!$I:$I,"&lt;=30/06/2025")</f>
        <v>0</v>
      </c>
      <c r="D112" s="8">
        <f>COUNTIFS('Datos Primaria'!$E:$E,D$82,'Datos Primaria'!$I:$I,"&gt;=01/06/2025",'Datos Primaria'!$I:$I,"&lt;=30/06/2025")</f>
        <v>0</v>
      </c>
      <c r="E112" s="8">
        <f>COUNTIFS('Datos Primaria'!$E:$E,E$82,'Datos Primaria'!$I:$I,"&gt;=01/06/2025",'Datos Primaria'!$I:$I,"&lt;=30/06/2025")</f>
        <v>0</v>
      </c>
      <c r="F112" s="8">
        <f>COUNTIFS('Datos Primaria'!$E:$E,F$82,'Datos Primaria'!$I:$I,"&gt;=01/06/2025",'Datos Primaria'!$I:$I,"&lt;=30/06/2025")</f>
        <v>0</v>
      </c>
      <c r="G112" s="8">
        <f>COUNTIFS('Datos Primaria'!$E:$E,G$82,'Datos Primaria'!$I:$I,"&gt;=01/06/2025",'Datos Primaria'!$I:$I,"&lt;=30/06/2025")</f>
        <v>0</v>
      </c>
      <c r="H112" s="8">
        <f t="shared" si="21"/>
        <v>0</v>
      </c>
      <c r="J112" s="251"/>
      <c r="K112" s="23" t="s">
        <v>57</v>
      </c>
      <c r="L112" s="34">
        <f>SUM(C$107:C112)</f>
        <v>3</v>
      </c>
      <c r="M112" s="34">
        <f>SUM(D$107:D112)</f>
        <v>2</v>
      </c>
      <c r="N112" s="34">
        <f>SUM(E$107:E112)</f>
        <v>3</v>
      </c>
      <c r="O112" s="34">
        <f>SUM(F$107:F112)</f>
        <v>3</v>
      </c>
      <c r="P112" s="34">
        <f>SUM(G$107:G112)</f>
        <v>4</v>
      </c>
      <c r="Q112" s="8">
        <f t="shared" si="22"/>
        <v>15</v>
      </c>
      <c r="S112" s="251"/>
      <c r="T112" s="23" t="s">
        <v>57</v>
      </c>
      <c r="U112" s="34">
        <f>SUM(C$83:C112)</f>
        <v>11</v>
      </c>
      <c r="V112" s="34">
        <f>SUM(D$83:D112)</f>
        <v>13</v>
      </c>
      <c r="W112" s="34">
        <f>SUM(E$83:E112)</f>
        <v>13</v>
      </c>
      <c r="X112" s="34">
        <f>SUM(F$83:F112)</f>
        <v>11</v>
      </c>
      <c r="Y112" s="34">
        <f>SUM(G$83:G112)</f>
        <v>16</v>
      </c>
      <c r="Z112" s="8">
        <f t="shared" si="23"/>
        <v>64</v>
      </c>
    </row>
    <row r="113" spans="1:26">
      <c r="A113" s="251"/>
      <c r="B113" s="23" t="s">
        <v>62</v>
      </c>
      <c r="C113" s="8">
        <f>COUNTIFS('Datos Primaria'!$E:$E,C$82,'Datos Primaria'!$I:$I,"&gt;=01/07/2025",'Datos Primaria'!$I:$I,"&lt;=31/07/2025")</f>
        <v>2</v>
      </c>
      <c r="D113" s="8">
        <f>COUNTIFS('Datos Primaria'!$E:$E,D$82,'Datos Primaria'!$I:$I,"&gt;=01/07/2025",'Datos Primaria'!$I:$I,"&lt;=31/07/2025")</f>
        <v>1</v>
      </c>
      <c r="E113" s="8">
        <f>COUNTIFS('Datos Primaria'!$E:$E,E$82,'Datos Primaria'!$I:$I,"&gt;=01/07/2025",'Datos Primaria'!$I:$I,"&lt;=31/07/2025")</f>
        <v>2</v>
      </c>
      <c r="F113" s="8">
        <f>COUNTIFS('Datos Primaria'!$E:$E,F$82,'Datos Primaria'!$I:$I,"&gt;=01/07/2025",'Datos Primaria'!$I:$I,"&lt;=31/07/2025")</f>
        <v>1</v>
      </c>
      <c r="G113" s="8">
        <f>COUNTIFS('Datos Primaria'!$E:$E,G$82,'Datos Primaria'!$I:$I,"&gt;=01/07/2025",'Datos Primaria'!$I:$I,"&lt;=31/07/2025")</f>
        <v>0</v>
      </c>
      <c r="H113" s="8">
        <f t="shared" si="21"/>
        <v>6</v>
      </c>
      <c r="J113" s="251"/>
      <c r="K113" s="23" t="s">
        <v>62</v>
      </c>
      <c r="L113" s="34">
        <f>SUM(C$107:C113)</f>
        <v>5</v>
      </c>
      <c r="M113" s="34">
        <f>SUM(D$107:D113)</f>
        <v>3</v>
      </c>
      <c r="N113" s="34">
        <f>SUM(E$107:E113)</f>
        <v>5</v>
      </c>
      <c r="O113" s="34">
        <f>SUM(F$107:F113)</f>
        <v>4</v>
      </c>
      <c r="P113" s="34">
        <f>SUM(G$107:G113)</f>
        <v>4</v>
      </c>
      <c r="Q113" s="8">
        <f t="shared" si="22"/>
        <v>21</v>
      </c>
      <c r="S113" s="251"/>
      <c r="T113" s="23" t="s">
        <v>62</v>
      </c>
      <c r="U113" s="34">
        <f>SUM(C$83:C113)</f>
        <v>13</v>
      </c>
      <c r="V113" s="34">
        <f>SUM(D$83:D113)</f>
        <v>14</v>
      </c>
      <c r="W113" s="34">
        <f>SUM(E$83:E113)</f>
        <v>15</v>
      </c>
      <c r="X113" s="34">
        <f>SUM(F$83:F113)</f>
        <v>12</v>
      </c>
      <c r="Y113" s="34">
        <f>SUM(G$83:G113)</f>
        <v>16</v>
      </c>
      <c r="Z113" s="8">
        <f t="shared" si="23"/>
        <v>70</v>
      </c>
    </row>
    <row r="114" spans="1:26">
      <c r="A114" s="251"/>
      <c r="B114" s="23" t="s">
        <v>68</v>
      </c>
      <c r="C114" s="8">
        <f>COUNTIFS('Datos Primaria'!$E:$E,C$82,'Datos Primaria'!$I:$I,"&gt;=01/08/2025",'Datos Primaria'!$I:$I,"&lt;=31/08/2025")</f>
        <v>1</v>
      </c>
      <c r="D114" s="8">
        <f>COUNTIFS('Datos Primaria'!$E:$E,D$82,'Datos Primaria'!$I:$I,"&gt;=01/08/2025",'Datos Primaria'!$I:$I,"&lt;=31/08/2025")</f>
        <v>1</v>
      </c>
      <c r="E114" s="8">
        <f>COUNTIFS('Datos Primaria'!$E:$E,E$82,'Datos Primaria'!$I:$I,"&gt;=01/08/2025",'Datos Primaria'!$I:$I,"&lt;=31/08/2025")</f>
        <v>0</v>
      </c>
      <c r="F114" s="8">
        <f>COUNTIFS('Datos Primaria'!$E:$E,F$82,'Datos Primaria'!$I:$I,"&gt;=01/08/2025",'Datos Primaria'!$I:$I,"&lt;=31/08/2025")</f>
        <v>0</v>
      </c>
      <c r="G114" s="8">
        <f>COUNTIFS('Datos Primaria'!$E:$E,G$82,'Datos Primaria'!$I:$I,"&gt;=01/08/2025",'Datos Primaria'!$I:$I,"&lt;=31/08/2025")</f>
        <v>1</v>
      </c>
      <c r="H114" s="8">
        <f t="shared" si="21"/>
        <v>3</v>
      </c>
      <c r="J114" s="251"/>
      <c r="K114" s="23" t="s">
        <v>68</v>
      </c>
      <c r="L114" s="34">
        <f>SUM(C$107:C114)</f>
        <v>6</v>
      </c>
      <c r="M114" s="34">
        <f>SUM(D$107:D114)</f>
        <v>4</v>
      </c>
      <c r="N114" s="34">
        <f>SUM(E$107:E114)</f>
        <v>5</v>
      </c>
      <c r="O114" s="34">
        <f>SUM(F$107:F114)</f>
        <v>4</v>
      </c>
      <c r="P114" s="34">
        <f>SUM(G$107:G114)</f>
        <v>5</v>
      </c>
      <c r="Q114" s="8">
        <f t="shared" si="22"/>
        <v>24</v>
      </c>
      <c r="S114" s="251"/>
      <c r="T114" s="23" t="s">
        <v>68</v>
      </c>
      <c r="U114" s="34">
        <f>SUM(C$83:C114)</f>
        <v>14</v>
      </c>
      <c r="V114" s="34">
        <f>SUM(D$83:D114)</f>
        <v>15</v>
      </c>
      <c r="W114" s="34">
        <f>SUM(E$83:E114)</f>
        <v>15</v>
      </c>
      <c r="X114" s="34">
        <f>SUM(F$83:F114)</f>
        <v>12</v>
      </c>
      <c r="Y114" s="34">
        <f>SUM(G$83:G114)</f>
        <v>17</v>
      </c>
      <c r="Z114" s="8">
        <f t="shared" si="23"/>
        <v>73</v>
      </c>
    </row>
    <row r="115" spans="1:26">
      <c r="A115" s="251"/>
      <c r="B115" s="23" t="s">
        <v>77</v>
      </c>
      <c r="C115" s="8">
        <f>COUNTIFS('Datos Primaria'!$E:$E,C$82,'Datos Primaria'!$I:$I,"&gt;=01/09/2025",'Datos Primaria'!$I:$I,"&lt;=30/09/2025")</f>
        <v>0</v>
      </c>
      <c r="D115" s="8">
        <f>COUNTIFS('Datos Primaria'!$E:$E,D$82,'Datos Primaria'!$I:$I,"&gt;=01/09/2025",'Datos Primaria'!$I:$I,"&lt;=30/09/2025")</f>
        <v>0</v>
      </c>
      <c r="E115" s="8">
        <f>COUNTIFS('Datos Primaria'!$E:$E,E$82,'Datos Primaria'!$I:$I,"&gt;=01/09/2025",'Datos Primaria'!$I:$I,"&lt;=30/09/2025")</f>
        <v>1</v>
      </c>
      <c r="F115" s="8">
        <f>COUNTIFS('Datos Primaria'!$E:$E,F$82,'Datos Primaria'!$I:$I,"&gt;=01/09/2025",'Datos Primaria'!$I:$I,"&lt;=30/09/2025")</f>
        <v>0</v>
      </c>
      <c r="G115" s="8">
        <f>COUNTIFS('Datos Primaria'!$E:$E,G$82,'Datos Primaria'!$I:$I,"&gt;=01/09/2025",'Datos Primaria'!$I:$I,"&lt;=30/09/2025")</f>
        <v>2</v>
      </c>
      <c r="H115" s="8">
        <f t="shared" si="21"/>
        <v>3</v>
      </c>
      <c r="J115" s="251"/>
      <c r="K115" s="23" t="s">
        <v>77</v>
      </c>
      <c r="L115" s="34">
        <f>SUM(C$107:C115)</f>
        <v>6</v>
      </c>
      <c r="M115" s="34">
        <f>SUM(D$107:D115)</f>
        <v>4</v>
      </c>
      <c r="N115" s="34">
        <f>SUM(E$107:E115)</f>
        <v>6</v>
      </c>
      <c r="O115" s="34">
        <f>SUM(F$107:F115)</f>
        <v>4</v>
      </c>
      <c r="P115" s="34">
        <f>SUM(G$107:G115)</f>
        <v>7</v>
      </c>
      <c r="Q115" s="8">
        <f t="shared" si="22"/>
        <v>27</v>
      </c>
      <c r="S115" s="251"/>
      <c r="T115" s="23" t="s">
        <v>77</v>
      </c>
      <c r="U115" s="34">
        <f>SUM(C$83:C115)</f>
        <v>14</v>
      </c>
      <c r="V115" s="34">
        <f>SUM(D$83:D115)</f>
        <v>15</v>
      </c>
      <c r="W115" s="34">
        <f>SUM(E$83:E115)</f>
        <v>16</v>
      </c>
      <c r="X115" s="34">
        <f>SUM(F$83:F115)</f>
        <v>12</v>
      </c>
      <c r="Y115" s="34">
        <f>SUM(G$83:G115)</f>
        <v>19</v>
      </c>
      <c r="Z115" s="8">
        <f t="shared" si="23"/>
        <v>76</v>
      </c>
    </row>
    <row r="116" spans="1:26">
      <c r="A116" s="251"/>
      <c r="B116" s="23" t="s">
        <v>84</v>
      </c>
      <c r="C116" s="8">
        <f>COUNTIFS('Datos Primaria'!$E:$E,C$82,'Datos Primaria'!$I:$I,"&gt;=01/10/2025",'Datos Primaria'!$I:$I,"&lt;=31/10/2025")</f>
        <v>0</v>
      </c>
      <c r="D116" s="8">
        <f>COUNTIFS('Datos Primaria'!$E:$E,D$82,'Datos Primaria'!$I:$I,"&gt;=01/10/2025",'Datos Primaria'!$I:$I,"&lt;=31/10/2025")</f>
        <v>1</v>
      </c>
      <c r="E116" s="8">
        <f>COUNTIFS('Datos Primaria'!$E:$E,E$82,'Datos Primaria'!$I:$I,"&gt;=01/10/2025",'Datos Primaria'!$I:$I,"&lt;=31/10/2025")</f>
        <v>0</v>
      </c>
      <c r="F116" s="8">
        <f>COUNTIFS('Datos Primaria'!$E:$E,F$82,'Datos Primaria'!$I:$I,"&gt;=01/10/2025",'Datos Primaria'!$I:$I,"&lt;=31/10/2025")</f>
        <v>0</v>
      </c>
      <c r="G116" s="8">
        <f>COUNTIFS('Datos Primaria'!$E:$E,G$82,'Datos Primaria'!$I:$I,"&gt;=01/10/2025",'Datos Primaria'!$I:$I,"&lt;=31/10/2025")</f>
        <v>1</v>
      </c>
      <c r="H116" s="8">
        <f t="shared" si="21"/>
        <v>2</v>
      </c>
      <c r="J116" s="251"/>
      <c r="K116" s="23" t="s">
        <v>84</v>
      </c>
      <c r="L116" s="34">
        <f>SUM(C$107:C116)</f>
        <v>6</v>
      </c>
      <c r="M116" s="34">
        <f>SUM(D$107:D116)</f>
        <v>5</v>
      </c>
      <c r="N116" s="34">
        <f>SUM(E$107:E116)</f>
        <v>6</v>
      </c>
      <c r="O116" s="34">
        <f>SUM(F$107:F116)</f>
        <v>4</v>
      </c>
      <c r="P116" s="34">
        <f>SUM(G$107:G116)</f>
        <v>8</v>
      </c>
      <c r="Q116" s="8">
        <f t="shared" si="22"/>
        <v>29</v>
      </c>
      <c r="S116" s="251"/>
      <c r="T116" s="23" t="s">
        <v>84</v>
      </c>
      <c r="U116" s="34">
        <f>SUM(C$83:C116)</f>
        <v>14</v>
      </c>
      <c r="V116" s="34">
        <f>SUM(D$83:D116)</f>
        <v>16</v>
      </c>
      <c r="W116" s="34">
        <f>SUM(E$83:E116)</f>
        <v>16</v>
      </c>
      <c r="X116" s="34">
        <f>SUM(F$83:F116)</f>
        <v>12</v>
      </c>
      <c r="Y116" s="34">
        <f>SUM(G$83:G116)</f>
        <v>20</v>
      </c>
      <c r="Z116" s="8">
        <f t="shared" si="23"/>
        <v>78</v>
      </c>
    </row>
    <row r="117" spans="1:26">
      <c r="A117" s="251"/>
      <c r="B117" s="23" t="s">
        <v>87</v>
      </c>
      <c r="C117" s="8">
        <f>COUNTIFS('Datos Primaria'!$E:$E,C$82,'Datos Primaria'!$I:$I,"&gt;=01/11/2025",'Datos Primaria'!$I:$I,"&lt;=30/11/2025")</f>
        <v>1</v>
      </c>
      <c r="D117" s="8">
        <f>COUNTIFS('Datos Primaria'!$E:$E,D$82,'Datos Primaria'!$I:$I,"&gt;=01/11/2025",'Datos Primaria'!$I:$I,"&lt;=30/11/2025")</f>
        <v>1</v>
      </c>
      <c r="E117" s="8">
        <f>COUNTIFS('Datos Primaria'!$E:$E,E$82,'Datos Primaria'!$I:$I,"&gt;=01/11/2025",'Datos Primaria'!$I:$I,"&lt;=30/11/2025")</f>
        <v>5</v>
      </c>
      <c r="F117" s="8">
        <f>COUNTIFS('Datos Primaria'!$E:$E,F$82,'Datos Primaria'!$I:$I,"&gt;=01/11/2025",'Datos Primaria'!$I:$I,"&lt;=30/11/2025")</f>
        <v>1</v>
      </c>
      <c r="G117" s="8">
        <f>COUNTIFS('Datos Primaria'!$E:$E,G$82,'Datos Primaria'!$I:$I,"&gt;=01/11/2025",'Datos Primaria'!$I:$I,"&lt;=30/11/2025")</f>
        <v>1</v>
      </c>
      <c r="H117" s="8">
        <f t="shared" si="21"/>
        <v>9</v>
      </c>
      <c r="J117" s="251"/>
      <c r="K117" s="23" t="s">
        <v>87</v>
      </c>
      <c r="L117" s="34">
        <f>SUM(C$107:C117)</f>
        <v>7</v>
      </c>
      <c r="M117" s="34">
        <f>SUM(D$107:D117)</f>
        <v>6</v>
      </c>
      <c r="N117" s="34">
        <f>SUM(E$107:E117)</f>
        <v>11</v>
      </c>
      <c r="O117" s="34">
        <f>SUM(F$107:F117)</f>
        <v>5</v>
      </c>
      <c r="P117" s="34">
        <f>SUM(G$107:G117)</f>
        <v>9</v>
      </c>
      <c r="Q117" s="8">
        <f t="shared" si="22"/>
        <v>38</v>
      </c>
      <c r="S117" s="251"/>
      <c r="T117" s="23" t="s">
        <v>87</v>
      </c>
      <c r="U117" s="34">
        <f>SUM(C$83:C117)</f>
        <v>15</v>
      </c>
      <c r="V117" s="34">
        <f>SUM(D$83:D117)</f>
        <v>17</v>
      </c>
      <c r="W117" s="34">
        <f>SUM(E$83:E117)</f>
        <v>21</v>
      </c>
      <c r="X117" s="34">
        <f>SUM(F$83:F117)</f>
        <v>13</v>
      </c>
      <c r="Y117" s="34">
        <f>SUM(G$83:G117)</f>
        <v>21</v>
      </c>
      <c r="Z117" s="8">
        <f t="shared" si="23"/>
        <v>87</v>
      </c>
    </row>
    <row r="118" spans="1:26">
      <c r="A118" s="251"/>
      <c r="B118" s="23" t="s">
        <v>173</v>
      </c>
      <c r="C118" s="8">
        <f>COUNTIFS('Datos Primaria'!$E:$E,C$82,'Datos Primaria'!$I:$I,"&gt;=01/12/2025",'Datos Primaria'!$I:$I,"&lt;=31/12/2025")</f>
        <v>0</v>
      </c>
      <c r="D118" s="8">
        <f>COUNTIFS('Datos Primaria'!$E:$E,D$82,'Datos Primaria'!$I:$I,"&gt;=01/12/2025",'Datos Primaria'!$I:$I,"&lt;=31/12/2025")</f>
        <v>0</v>
      </c>
      <c r="E118" s="8">
        <f>COUNTIFS('Datos Primaria'!$E:$E,E$82,'Datos Primaria'!$I:$I,"&gt;=01/12/2025",'Datos Primaria'!$I:$I,"&lt;=31/12/2025")</f>
        <v>0</v>
      </c>
      <c r="F118" s="8">
        <f>COUNTIFS('Datos Primaria'!$E:$E,F$82,'Datos Primaria'!$I:$I,"&gt;=01/12/2025",'Datos Primaria'!$I:$I,"&lt;=31/12/2025")</f>
        <v>0</v>
      </c>
      <c r="G118" s="8">
        <f>COUNTIFS('Datos Primaria'!$E:$E,G$82,'Datos Primaria'!$I:$I,"&gt;=01/12/2025",'Datos Primaria'!$I:$I,"&lt;=31/12/2025")</f>
        <v>0</v>
      </c>
      <c r="H118" s="8">
        <f t="shared" si="21"/>
        <v>0</v>
      </c>
      <c r="J118" s="251"/>
      <c r="K118" s="23" t="s">
        <v>173</v>
      </c>
      <c r="L118" s="34">
        <f>SUM(C$107:C118)</f>
        <v>7</v>
      </c>
      <c r="M118" s="34">
        <f>SUM(D$107:D118)</f>
        <v>6</v>
      </c>
      <c r="N118" s="34">
        <f>SUM(E$107:E118)</f>
        <v>11</v>
      </c>
      <c r="O118" s="34">
        <f>SUM(F$107:F118)</f>
        <v>5</v>
      </c>
      <c r="P118" s="34">
        <f>SUM(G$107:G118)</f>
        <v>9</v>
      </c>
      <c r="Q118" s="8">
        <f t="shared" si="22"/>
        <v>38</v>
      </c>
      <c r="S118" s="251"/>
      <c r="T118" s="23" t="s">
        <v>173</v>
      </c>
      <c r="U118" s="34">
        <f>SUM(C$83:C118)</f>
        <v>15</v>
      </c>
      <c r="V118" s="34">
        <f>SUM(D$83:D118)</f>
        <v>17</v>
      </c>
      <c r="W118" s="34">
        <f>SUM(E$83:E118)</f>
        <v>21</v>
      </c>
      <c r="X118" s="34">
        <f>SUM(F$83:F118)</f>
        <v>13</v>
      </c>
      <c r="Y118" s="34">
        <f>SUM(G$83:G118)</f>
        <v>21</v>
      </c>
      <c r="Z118" s="8">
        <f t="shared" si="23"/>
        <v>87</v>
      </c>
    </row>
    <row r="121" spans="1:26">
      <c r="B121" s="255" t="s">
        <v>1426</v>
      </c>
      <c r="C121" s="256"/>
      <c r="D121" s="256"/>
      <c r="E121" s="256"/>
      <c r="F121" s="256"/>
      <c r="G121" s="256"/>
      <c r="H121" s="257"/>
      <c r="K121" s="255" t="s">
        <v>1427</v>
      </c>
      <c r="L121" s="256"/>
      <c r="M121" s="256"/>
      <c r="N121" s="256"/>
      <c r="O121" s="256"/>
      <c r="P121" s="256"/>
      <c r="Q121" s="257"/>
      <c r="T121" s="255" t="s">
        <v>1428</v>
      </c>
      <c r="U121" s="256"/>
      <c r="V121" s="256"/>
      <c r="W121" s="256"/>
      <c r="X121" s="256"/>
      <c r="Y121" s="256"/>
      <c r="Z121" s="257"/>
    </row>
    <row r="122" spans="1:26">
      <c r="B122" s="22" t="s">
        <v>1421</v>
      </c>
      <c r="C122" s="22" t="s">
        <v>324</v>
      </c>
      <c r="D122" s="22" t="s">
        <v>326</v>
      </c>
      <c r="E122" s="22" t="s">
        <v>321</v>
      </c>
      <c r="F122" s="22" t="s">
        <v>319</v>
      </c>
      <c r="G122" s="22" t="s">
        <v>329</v>
      </c>
      <c r="H122" s="22" t="s">
        <v>1422</v>
      </c>
      <c r="K122" s="22" t="s">
        <v>1421</v>
      </c>
      <c r="L122" s="22" t="s">
        <v>324</v>
      </c>
      <c r="M122" s="22" t="s">
        <v>326</v>
      </c>
      <c r="N122" s="22" t="s">
        <v>321</v>
      </c>
      <c r="O122" s="22" t="s">
        <v>319</v>
      </c>
      <c r="P122" s="22" t="s">
        <v>329</v>
      </c>
      <c r="Q122" s="22" t="s">
        <v>1422</v>
      </c>
      <c r="T122" s="22" t="s">
        <v>1421</v>
      </c>
      <c r="U122" s="22" t="s">
        <v>324</v>
      </c>
      <c r="V122" s="22" t="s">
        <v>326</v>
      </c>
      <c r="W122" s="22" t="s">
        <v>321</v>
      </c>
      <c r="X122" s="22" t="s">
        <v>319</v>
      </c>
      <c r="Y122" s="22" t="s">
        <v>329</v>
      </c>
      <c r="Z122" s="22" t="s">
        <v>1422</v>
      </c>
    </row>
    <row r="123" spans="1:26">
      <c r="A123" s="251">
        <f>A3</f>
        <v>2023</v>
      </c>
      <c r="B123" s="23" t="s">
        <v>13</v>
      </c>
      <c r="C123" s="8">
        <f>COUNTIFS('Datos Primaria'!$E:$E,C$122,'Datos Primaria'!$J:$J,"&gt;=01/01/2023",'Datos Primaria'!$J:$J,"&lt;=31/01/2023")</f>
        <v>0</v>
      </c>
      <c r="D123" s="8">
        <f>COUNTIFS('Datos Primaria'!$E:$E,D$122,'Datos Primaria'!$J:$J,"&gt;=01/01/2023",'Datos Primaria'!$J:$J,"&lt;=31/01/2023")</f>
        <v>0</v>
      </c>
      <c r="E123" s="8">
        <f>COUNTIFS('Datos Primaria'!$E:$E,E$122,'Datos Primaria'!$J:$J,"&gt;=01/01/2023",'Datos Primaria'!$J:$J,"&lt;=31/01/2023")</f>
        <v>0</v>
      </c>
      <c r="F123" s="8">
        <f>COUNTIFS('Datos Primaria'!$E:$E,F$122,'Datos Primaria'!$J:$J,"&gt;=01/01/2023",'Datos Primaria'!$J:$J,"&lt;=31/01/2023")</f>
        <v>0</v>
      </c>
      <c r="G123" s="8">
        <f>COUNTIFS('Datos Primaria'!$E:$E,G$122,'Datos Primaria'!$J:$J,"&gt;=01/01/2023",'Datos Primaria'!$J:$J,"&lt;=31/01/2023")</f>
        <v>0</v>
      </c>
      <c r="H123" s="8">
        <f t="shared" ref="H123:H134" si="24">SUM(C123:G123)</f>
        <v>0</v>
      </c>
      <c r="J123" s="251">
        <f>A123</f>
        <v>2023</v>
      </c>
      <c r="K123" s="23" t="s">
        <v>13</v>
      </c>
      <c r="L123" s="34">
        <f>SUM(C$123:C123)</f>
        <v>0</v>
      </c>
      <c r="M123" s="34">
        <f>SUM(D$123:D123)</f>
        <v>0</v>
      </c>
      <c r="N123" s="34">
        <f>SUM(E$123:E123)</f>
        <v>0</v>
      </c>
      <c r="O123" s="34">
        <f>SUM(F$123:F123)</f>
        <v>0</v>
      </c>
      <c r="P123" s="34">
        <f>SUM(G$123:G123)</f>
        <v>0</v>
      </c>
      <c r="Q123" s="8">
        <f t="shared" ref="Q123:Q134" si="25">SUM(L123:P123)</f>
        <v>0</v>
      </c>
      <c r="S123" s="251">
        <f>A123</f>
        <v>2023</v>
      </c>
      <c r="T123" s="23" t="s">
        <v>13</v>
      </c>
      <c r="U123" s="34">
        <f>SUM(C$123:C123)</f>
        <v>0</v>
      </c>
      <c r="V123" s="34">
        <f>SUM(D$123:D123)</f>
        <v>0</v>
      </c>
      <c r="W123" s="34">
        <f>SUM(E$123:E123)</f>
        <v>0</v>
      </c>
      <c r="X123" s="34">
        <f>SUM(F$123:F123)</f>
        <v>0</v>
      </c>
      <c r="Y123" s="34">
        <f>SUM(G$123:G123)</f>
        <v>0</v>
      </c>
      <c r="Z123" s="8">
        <f t="shared" ref="Z123:Z134" si="26">SUM(U123:Y123)</f>
        <v>0</v>
      </c>
    </row>
    <row r="124" spans="1:26">
      <c r="A124" s="251"/>
      <c r="B124" s="23" t="s">
        <v>24</v>
      </c>
      <c r="C124" s="8">
        <f>COUNTIFS('Datos Primaria'!$E:$E,C$122,'Datos Primaria'!$J:$J,"&gt;=01/02/2023",'Datos Primaria'!$J:$J,"&lt;=28/02/2023")</f>
        <v>0</v>
      </c>
      <c r="D124" s="8">
        <f>COUNTIFS('Datos Primaria'!$E:$E,D$122,'Datos Primaria'!$J:$J,"&gt;=01/02/2023",'Datos Primaria'!$J:$J,"&lt;=28/02/2023")</f>
        <v>0</v>
      </c>
      <c r="E124" s="8">
        <f>COUNTIFS('Datos Primaria'!$E:$E,E$122,'Datos Primaria'!$J:$J,"&gt;=01/02/2023",'Datos Primaria'!$J:$J,"&lt;=28/02/2023")</f>
        <v>0</v>
      </c>
      <c r="F124" s="8">
        <f>COUNTIFS('Datos Primaria'!$E:$E,F$122,'Datos Primaria'!$J:$J,"&gt;=01/02/2023",'Datos Primaria'!$J:$J,"&lt;=28/02/2023")</f>
        <v>0</v>
      </c>
      <c r="G124" s="8">
        <f>COUNTIFS('Datos Primaria'!$E:$E,G$122,'Datos Primaria'!$J:$J,"&gt;=01/02/2023",'Datos Primaria'!$J:$J,"&lt;=28/02/2023")</f>
        <v>0</v>
      </c>
      <c r="H124" s="8">
        <f t="shared" si="24"/>
        <v>0</v>
      </c>
      <c r="J124" s="251"/>
      <c r="K124" s="23" t="s">
        <v>24</v>
      </c>
      <c r="L124" s="34">
        <f>SUM(C$123:C124)</f>
        <v>0</v>
      </c>
      <c r="M124" s="34">
        <f>SUM(D$123:D124)</f>
        <v>0</v>
      </c>
      <c r="N124" s="34">
        <f>SUM(E$123:E124)</f>
        <v>0</v>
      </c>
      <c r="O124" s="34">
        <f>SUM(F$123:F124)</f>
        <v>0</v>
      </c>
      <c r="P124" s="34">
        <f>SUM(G$123:G124)</f>
        <v>0</v>
      </c>
      <c r="Q124" s="8">
        <f t="shared" si="25"/>
        <v>0</v>
      </c>
      <c r="S124" s="251"/>
      <c r="T124" s="23" t="s">
        <v>24</v>
      </c>
      <c r="U124" s="34">
        <f>SUM(C$123:C124)</f>
        <v>0</v>
      </c>
      <c r="V124" s="34">
        <f>SUM(D$123:D124)</f>
        <v>0</v>
      </c>
      <c r="W124" s="34">
        <f>SUM(E$123:E124)</f>
        <v>0</v>
      </c>
      <c r="X124" s="34">
        <f>SUM(F$123:F124)</f>
        <v>0</v>
      </c>
      <c r="Y124" s="34">
        <f>SUM(G$123:G124)</f>
        <v>0</v>
      </c>
      <c r="Z124" s="8">
        <f t="shared" si="26"/>
        <v>0</v>
      </c>
    </row>
    <row r="125" spans="1:26">
      <c r="A125" s="251"/>
      <c r="B125" s="23" t="s">
        <v>34</v>
      </c>
      <c r="C125" s="8">
        <f>COUNTIFS('Datos Primaria'!$E:$E,C$122,'Datos Primaria'!$J:$J,"&gt;=01/03/2023",'Datos Primaria'!$J:$J,"&lt;=31/03/2023")</f>
        <v>0</v>
      </c>
      <c r="D125" s="8">
        <f>COUNTIFS('Datos Primaria'!$E:$E,D$122,'Datos Primaria'!$J:$J,"&gt;=01/03/2023",'Datos Primaria'!$J:$J,"&lt;=31/03/2023")</f>
        <v>0</v>
      </c>
      <c r="E125" s="8">
        <f>COUNTIFS('Datos Primaria'!$E:$E,E$122,'Datos Primaria'!$J:$J,"&gt;=01/03/2023",'Datos Primaria'!$J:$J,"&lt;=31/03/2023")</f>
        <v>0</v>
      </c>
      <c r="F125" s="8">
        <f>COUNTIFS('Datos Primaria'!$E:$E,F$122,'Datos Primaria'!$J:$J,"&gt;=01/03/2023",'Datos Primaria'!$J:$J,"&lt;=31/03/2023")</f>
        <v>0</v>
      </c>
      <c r="G125" s="8">
        <f>COUNTIFS('Datos Primaria'!$E:$E,G$122,'Datos Primaria'!$J:$J,"&gt;=01/03/2023",'Datos Primaria'!$J:$J,"&lt;=31/03/2023")</f>
        <v>0</v>
      </c>
      <c r="H125" s="8">
        <f t="shared" si="24"/>
        <v>0</v>
      </c>
      <c r="J125" s="251"/>
      <c r="K125" s="23" t="s">
        <v>34</v>
      </c>
      <c r="L125" s="34">
        <f>SUM(C$123:C125)</f>
        <v>0</v>
      </c>
      <c r="M125" s="34">
        <f>SUM(D$123:D125)</f>
        <v>0</v>
      </c>
      <c r="N125" s="34">
        <f>SUM(E$123:E125)</f>
        <v>0</v>
      </c>
      <c r="O125" s="34">
        <f>SUM(F$123:F125)</f>
        <v>0</v>
      </c>
      <c r="P125" s="34">
        <f>SUM(G$123:G125)</f>
        <v>0</v>
      </c>
      <c r="Q125" s="8">
        <f t="shared" si="25"/>
        <v>0</v>
      </c>
      <c r="S125" s="251"/>
      <c r="T125" s="23" t="s">
        <v>34</v>
      </c>
      <c r="U125" s="34">
        <f>SUM(C$123:C125)</f>
        <v>0</v>
      </c>
      <c r="V125" s="34">
        <f>SUM(D$123:D125)</f>
        <v>0</v>
      </c>
      <c r="W125" s="34">
        <f>SUM(E$123:E125)</f>
        <v>0</v>
      </c>
      <c r="X125" s="34">
        <f>SUM(F$123:F125)</f>
        <v>0</v>
      </c>
      <c r="Y125" s="34">
        <f>SUM(G$123:G125)</f>
        <v>0</v>
      </c>
      <c r="Z125" s="8">
        <f t="shared" si="26"/>
        <v>0</v>
      </c>
    </row>
    <row r="126" spans="1:26">
      <c r="A126" s="251"/>
      <c r="B126" s="23" t="s">
        <v>38</v>
      </c>
      <c r="C126" s="8">
        <f>COUNTIFS('Datos Primaria'!$E:$E,C$122,'Datos Primaria'!$J:$J,"&gt;=01/04/2023",'Datos Primaria'!$J:$J,"&lt;=30/04/2023")</f>
        <v>0</v>
      </c>
      <c r="D126" s="8">
        <f>COUNTIFS('Datos Primaria'!$E:$E,D$122,'Datos Primaria'!$J:$J,"&gt;=01/04/2023",'Datos Primaria'!$J:$J,"&lt;=30/04/2023")</f>
        <v>0</v>
      </c>
      <c r="E126" s="8">
        <f>COUNTIFS('Datos Primaria'!$E:$E,E$122,'Datos Primaria'!$J:$J,"&gt;=01/04/2023",'Datos Primaria'!$J:$J,"&lt;=30/04/2023")</f>
        <v>0</v>
      </c>
      <c r="F126" s="8">
        <f>COUNTIFS('Datos Primaria'!$E:$E,F$122,'Datos Primaria'!$J:$J,"&gt;=01/04/2023",'Datos Primaria'!$J:$J,"&lt;=30/04/2023")</f>
        <v>0</v>
      </c>
      <c r="G126" s="8">
        <f>COUNTIFS('Datos Primaria'!$E:$E,G$122,'Datos Primaria'!$J:$J,"&gt;=01/04/2023",'Datos Primaria'!$J:$J,"&lt;=30/04/2023")</f>
        <v>0</v>
      </c>
      <c r="H126" s="8">
        <f t="shared" si="24"/>
        <v>0</v>
      </c>
      <c r="J126" s="251"/>
      <c r="K126" s="23" t="s">
        <v>38</v>
      </c>
      <c r="L126" s="34">
        <f>SUM(C$123:C126)</f>
        <v>0</v>
      </c>
      <c r="M126" s="34">
        <f>SUM(D$123:D126)</f>
        <v>0</v>
      </c>
      <c r="N126" s="34">
        <f>SUM(E$123:E126)</f>
        <v>0</v>
      </c>
      <c r="O126" s="34">
        <f>SUM(F$123:F126)</f>
        <v>0</v>
      </c>
      <c r="P126" s="34">
        <f>SUM(G$123:G126)</f>
        <v>0</v>
      </c>
      <c r="Q126" s="8">
        <f t="shared" si="25"/>
        <v>0</v>
      </c>
      <c r="S126" s="251"/>
      <c r="T126" s="23" t="s">
        <v>38</v>
      </c>
      <c r="U126" s="34">
        <f>SUM(C$123:C126)</f>
        <v>0</v>
      </c>
      <c r="V126" s="34">
        <f>SUM(D$123:D126)</f>
        <v>0</v>
      </c>
      <c r="W126" s="34">
        <f>SUM(E$123:E126)</f>
        <v>0</v>
      </c>
      <c r="X126" s="34">
        <f>SUM(F$123:F126)</f>
        <v>0</v>
      </c>
      <c r="Y126" s="34">
        <f>SUM(G$123:G126)</f>
        <v>0</v>
      </c>
      <c r="Z126" s="8">
        <f t="shared" si="26"/>
        <v>0</v>
      </c>
    </row>
    <row r="127" spans="1:26">
      <c r="A127" s="251"/>
      <c r="B127" s="23" t="s">
        <v>47</v>
      </c>
      <c r="C127" s="8">
        <f>COUNTIFS('Datos Primaria'!$E:$E,C$122,'Datos Primaria'!$J:$J,"&gt;=01/05/2023",'Datos Primaria'!$J:$J,"&lt;=31/05/2023")</f>
        <v>0</v>
      </c>
      <c r="D127" s="8">
        <f>COUNTIFS('Datos Primaria'!$E:$E,D$122,'Datos Primaria'!$J:$J,"&gt;=01/05/2023",'Datos Primaria'!$J:$J,"&lt;=31/05/2023")</f>
        <v>0</v>
      </c>
      <c r="E127" s="8">
        <f>COUNTIFS('Datos Primaria'!$E:$E,E$122,'Datos Primaria'!$J:$J,"&gt;=01/05/2023",'Datos Primaria'!$J:$J,"&lt;=31/05/2023")</f>
        <v>0</v>
      </c>
      <c r="F127" s="8">
        <f>COUNTIFS('Datos Primaria'!$E:$E,F$122,'Datos Primaria'!$J:$J,"&gt;=01/05/2023",'Datos Primaria'!$J:$J,"&lt;=31/05/2023")</f>
        <v>0</v>
      </c>
      <c r="G127" s="8">
        <f>COUNTIFS('Datos Primaria'!$E:$E,G$122,'Datos Primaria'!$J:$J,"&gt;=01/05/2023",'Datos Primaria'!$J:$J,"&lt;=31/05/2023")</f>
        <v>1</v>
      </c>
      <c r="H127" s="8">
        <f t="shared" si="24"/>
        <v>1</v>
      </c>
      <c r="J127" s="251"/>
      <c r="K127" s="23" t="s">
        <v>47</v>
      </c>
      <c r="L127" s="34">
        <f>SUM(C$123:C127)</f>
        <v>0</v>
      </c>
      <c r="M127" s="34">
        <f>SUM(D$123:D127)</f>
        <v>0</v>
      </c>
      <c r="N127" s="34">
        <f>SUM(E$123:E127)</f>
        <v>0</v>
      </c>
      <c r="O127" s="34">
        <f>SUM(F$123:F127)</f>
        <v>0</v>
      </c>
      <c r="P127" s="34">
        <f>SUM(G$123:G127)</f>
        <v>1</v>
      </c>
      <c r="Q127" s="8">
        <f t="shared" si="25"/>
        <v>1</v>
      </c>
      <c r="S127" s="251"/>
      <c r="T127" s="23" t="s">
        <v>47</v>
      </c>
      <c r="U127" s="34">
        <f>SUM(C$123:C127)</f>
        <v>0</v>
      </c>
      <c r="V127" s="34">
        <f>SUM(D$123:D127)</f>
        <v>0</v>
      </c>
      <c r="W127" s="34">
        <f>SUM(E$123:E127)</f>
        <v>0</v>
      </c>
      <c r="X127" s="34">
        <f>SUM(F$123:F127)</f>
        <v>0</v>
      </c>
      <c r="Y127" s="34">
        <f>SUM(G$123:G127)</f>
        <v>1</v>
      </c>
      <c r="Z127" s="8">
        <f t="shared" si="26"/>
        <v>1</v>
      </c>
    </row>
    <row r="128" spans="1:26">
      <c r="A128" s="251"/>
      <c r="B128" s="23" t="s">
        <v>57</v>
      </c>
      <c r="C128" s="8">
        <f>COUNTIFS('Datos Primaria'!$E:$E,C$122,'Datos Primaria'!$J:$J,"&gt;=01/06/2023",'Datos Primaria'!$J:$J,"&lt;=30/06/2023")</f>
        <v>0</v>
      </c>
      <c r="D128" s="8">
        <f>COUNTIFS('Datos Primaria'!$E:$E,D$122,'Datos Primaria'!$J:$J,"&gt;=01/06/2023",'Datos Primaria'!$J:$J,"&lt;=30/06/2023")</f>
        <v>2</v>
      </c>
      <c r="E128" s="8">
        <f>COUNTIFS('Datos Primaria'!$E:$E,E$122,'Datos Primaria'!$J:$J,"&gt;=01/06/2023",'Datos Primaria'!$J:$J,"&lt;=30/06/2023")</f>
        <v>0</v>
      </c>
      <c r="F128" s="8">
        <f>COUNTIFS('Datos Primaria'!$E:$E,F$122,'Datos Primaria'!$J:$J,"&gt;=01/06/2023",'Datos Primaria'!$J:$J,"&lt;=30/06/2023")</f>
        <v>0</v>
      </c>
      <c r="G128" s="8">
        <f>COUNTIFS('Datos Primaria'!$E:$E,G$122,'Datos Primaria'!$J:$J,"&gt;=01/06/2023",'Datos Primaria'!$J:$J,"&lt;=30/06/2023")</f>
        <v>0</v>
      </c>
      <c r="H128" s="8">
        <f t="shared" si="24"/>
        <v>2</v>
      </c>
      <c r="J128" s="251"/>
      <c r="K128" s="23" t="s">
        <v>57</v>
      </c>
      <c r="L128" s="34">
        <f>SUM(C$123:C128)</f>
        <v>0</v>
      </c>
      <c r="M128" s="34">
        <f>SUM(D$123:D128)</f>
        <v>2</v>
      </c>
      <c r="N128" s="34">
        <f>SUM(E$123:E128)</f>
        <v>0</v>
      </c>
      <c r="O128" s="34">
        <f>SUM(F$123:F128)</f>
        <v>0</v>
      </c>
      <c r="P128" s="34">
        <f>SUM(G$123:G128)</f>
        <v>1</v>
      </c>
      <c r="Q128" s="8">
        <f t="shared" si="25"/>
        <v>3</v>
      </c>
      <c r="S128" s="251"/>
      <c r="T128" s="23" t="s">
        <v>57</v>
      </c>
      <c r="U128" s="34">
        <f>SUM(C$123:C128)</f>
        <v>0</v>
      </c>
      <c r="V128" s="34">
        <f>SUM(D$123:D128)</f>
        <v>2</v>
      </c>
      <c r="W128" s="34">
        <f>SUM(E$123:E128)</f>
        <v>0</v>
      </c>
      <c r="X128" s="34">
        <f>SUM(F$123:F128)</f>
        <v>0</v>
      </c>
      <c r="Y128" s="34">
        <f>SUM(G$123:G128)</f>
        <v>1</v>
      </c>
      <c r="Z128" s="8">
        <f t="shared" si="26"/>
        <v>3</v>
      </c>
    </row>
    <row r="129" spans="1:26">
      <c r="A129" s="251"/>
      <c r="B129" s="23" t="s">
        <v>62</v>
      </c>
      <c r="C129" s="8">
        <f>COUNTIFS('Datos Primaria'!$E:$E,C$122,'Datos Primaria'!$J:$J,"&gt;=01/07/2023",'Datos Primaria'!$J:$J,"&lt;=31/07/2023")</f>
        <v>0</v>
      </c>
      <c r="D129" s="8">
        <f>COUNTIFS('Datos Primaria'!$E:$E,D$122,'Datos Primaria'!$J:$J,"&gt;=01/07/2023",'Datos Primaria'!$J:$J,"&lt;=31/07/2023")</f>
        <v>0</v>
      </c>
      <c r="E129" s="8">
        <f>COUNTIFS('Datos Primaria'!$E:$E,E$122,'Datos Primaria'!$J:$J,"&gt;=01/07/2023",'Datos Primaria'!$J:$J,"&lt;=31/07/2023")</f>
        <v>1</v>
      </c>
      <c r="F129" s="8">
        <f>COUNTIFS('Datos Primaria'!$E:$E,F$122,'Datos Primaria'!$J:$J,"&gt;=01/07/2023",'Datos Primaria'!$J:$J,"&lt;=31/07/2023")</f>
        <v>0</v>
      </c>
      <c r="G129" s="8">
        <f>COUNTIFS('Datos Primaria'!$E:$E,G$122,'Datos Primaria'!$J:$J,"&gt;=01/07/2023",'Datos Primaria'!$J:$J,"&lt;=31/07/2023")</f>
        <v>0</v>
      </c>
      <c r="H129" s="8">
        <f t="shared" si="24"/>
        <v>1</v>
      </c>
      <c r="J129" s="251"/>
      <c r="K129" s="23" t="s">
        <v>62</v>
      </c>
      <c r="L129" s="34">
        <f>SUM(C$123:C129)</f>
        <v>0</v>
      </c>
      <c r="M129" s="34">
        <f>SUM(D$123:D129)</f>
        <v>2</v>
      </c>
      <c r="N129" s="34">
        <f>SUM(E$123:E129)</f>
        <v>1</v>
      </c>
      <c r="O129" s="34">
        <f>SUM(F$123:F129)</f>
        <v>0</v>
      </c>
      <c r="P129" s="34">
        <f>SUM(G$123:G129)</f>
        <v>1</v>
      </c>
      <c r="Q129" s="8">
        <f t="shared" si="25"/>
        <v>4</v>
      </c>
      <c r="S129" s="251"/>
      <c r="T129" s="23" t="s">
        <v>62</v>
      </c>
      <c r="U129" s="34">
        <f>SUM(C$123:C129)</f>
        <v>0</v>
      </c>
      <c r="V129" s="34">
        <f>SUM(D$123:D129)</f>
        <v>2</v>
      </c>
      <c r="W129" s="34">
        <f>SUM(E$123:E129)</f>
        <v>1</v>
      </c>
      <c r="X129" s="34">
        <f>SUM(F$123:F129)</f>
        <v>0</v>
      </c>
      <c r="Y129" s="34">
        <f>SUM(G$123:G129)</f>
        <v>1</v>
      </c>
      <c r="Z129" s="8">
        <f t="shared" si="26"/>
        <v>4</v>
      </c>
    </row>
    <row r="130" spans="1:26">
      <c r="A130" s="251"/>
      <c r="B130" s="23" t="s">
        <v>68</v>
      </c>
      <c r="C130" s="8">
        <f>COUNTIFS('Datos Primaria'!$E:$E,C$122,'Datos Primaria'!$J:$J,"&gt;=01/08/2023",'Datos Primaria'!$J:$J,"&lt;=31/08/2023")</f>
        <v>2</v>
      </c>
      <c r="D130" s="8">
        <f>COUNTIFS('Datos Primaria'!$E:$E,D$122,'Datos Primaria'!$J:$J,"&gt;=01/08/2023",'Datos Primaria'!$J:$J,"&lt;=31/08/2023")</f>
        <v>1</v>
      </c>
      <c r="E130" s="8">
        <f>COUNTIFS('Datos Primaria'!$E:$E,E$122,'Datos Primaria'!$J:$J,"&gt;=01/08/2023",'Datos Primaria'!$J:$J,"&lt;=31/08/2023")</f>
        <v>1</v>
      </c>
      <c r="F130" s="8">
        <f>COUNTIFS('Datos Primaria'!$E:$E,F$122,'Datos Primaria'!$J:$J,"&gt;=01/08/2023",'Datos Primaria'!$J:$J,"&lt;=31/08/2023")</f>
        <v>0</v>
      </c>
      <c r="G130" s="8">
        <f>COUNTIFS('Datos Primaria'!$E:$E,G$122,'Datos Primaria'!$J:$J,"&gt;=01/08/2023",'Datos Primaria'!$J:$J,"&lt;=31/08/2023")</f>
        <v>1</v>
      </c>
      <c r="H130" s="8">
        <f t="shared" si="24"/>
        <v>5</v>
      </c>
      <c r="J130" s="251"/>
      <c r="K130" s="23" t="s">
        <v>68</v>
      </c>
      <c r="L130" s="34">
        <f>SUM(C$123:C130)</f>
        <v>2</v>
      </c>
      <c r="M130" s="34">
        <f>SUM(D$123:D130)</f>
        <v>3</v>
      </c>
      <c r="N130" s="34">
        <f>SUM(E$123:E130)</f>
        <v>2</v>
      </c>
      <c r="O130" s="34">
        <f>SUM(F$123:F130)</f>
        <v>0</v>
      </c>
      <c r="P130" s="34">
        <f>SUM(G$123:G130)</f>
        <v>2</v>
      </c>
      <c r="Q130" s="8">
        <f t="shared" si="25"/>
        <v>9</v>
      </c>
      <c r="S130" s="251"/>
      <c r="T130" s="23" t="s">
        <v>68</v>
      </c>
      <c r="U130" s="34">
        <f>SUM(C$123:C130)</f>
        <v>2</v>
      </c>
      <c r="V130" s="34">
        <f>SUM(D$123:D130)</f>
        <v>3</v>
      </c>
      <c r="W130" s="34">
        <f>SUM(E$123:E130)</f>
        <v>2</v>
      </c>
      <c r="X130" s="34">
        <f>SUM(F$123:F130)</f>
        <v>0</v>
      </c>
      <c r="Y130" s="34">
        <f>SUM(G$123:G130)</f>
        <v>2</v>
      </c>
      <c r="Z130" s="8">
        <f t="shared" si="26"/>
        <v>9</v>
      </c>
    </row>
    <row r="131" spans="1:26">
      <c r="A131" s="251"/>
      <c r="B131" s="23" t="s">
        <v>77</v>
      </c>
      <c r="C131" s="8">
        <f>COUNTIFS('Datos Primaria'!$E:$E,C$122,'Datos Primaria'!$J:$J,"&gt;=01/09/2023",'Datos Primaria'!$J:$J,"&lt;=30/09/2023")</f>
        <v>0</v>
      </c>
      <c r="D131" s="8">
        <f>COUNTIFS('Datos Primaria'!$E:$E,D$122,'Datos Primaria'!$J:$J,"&gt;=01/09/2023",'Datos Primaria'!$J:$J,"&lt;=30/09/2023")</f>
        <v>0</v>
      </c>
      <c r="E131" s="8">
        <f>COUNTIFS('Datos Primaria'!$E:$E,E$122,'Datos Primaria'!$J:$J,"&gt;=01/09/2023",'Datos Primaria'!$J:$J,"&lt;=30/09/2023")</f>
        <v>0</v>
      </c>
      <c r="F131" s="8">
        <f>COUNTIFS('Datos Primaria'!$E:$E,F$122,'Datos Primaria'!$J:$J,"&gt;=01/09/2023",'Datos Primaria'!$J:$J,"&lt;=30/09/2023")</f>
        <v>0</v>
      </c>
      <c r="G131" s="8">
        <f>COUNTIFS('Datos Primaria'!$E:$E,G$122,'Datos Primaria'!$J:$J,"&gt;=01/09/2023",'Datos Primaria'!$J:$J,"&lt;=30/09/2023")</f>
        <v>0</v>
      </c>
      <c r="H131" s="8">
        <f t="shared" si="24"/>
        <v>0</v>
      </c>
      <c r="J131" s="251"/>
      <c r="K131" s="23" t="s">
        <v>77</v>
      </c>
      <c r="L131" s="34">
        <f>SUM(C$123:C131)</f>
        <v>2</v>
      </c>
      <c r="M131" s="34">
        <f>SUM(D$123:D131)</f>
        <v>3</v>
      </c>
      <c r="N131" s="34">
        <f>SUM(E$123:E131)</f>
        <v>2</v>
      </c>
      <c r="O131" s="34">
        <f>SUM(F$123:F131)</f>
        <v>0</v>
      </c>
      <c r="P131" s="34">
        <f>SUM(G$123:G131)</f>
        <v>2</v>
      </c>
      <c r="Q131" s="8">
        <f t="shared" si="25"/>
        <v>9</v>
      </c>
      <c r="S131" s="251"/>
      <c r="T131" s="23" t="s">
        <v>77</v>
      </c>
      <c r="U131" s="34">
        <f>SUM(C$123:C131)</f>
        <v>2</v>
      </c>
      <c r="V131" s="34">
        <f>SUM(D$123:D131)</f>
        <v>3</v>
      </c>
      <c r="W131" s="34">
        <f>SUM(E$123:E131)</f>
        <v>2</v>
      </c>
      <c r="X131" s="34">
        <f>SUM(F$123:F131)</f>
        <v>0</v>
      </c>
      <c r="Y131" s="34">
        <f>SUM(G$123:G131)</f>
        <v>2</v>
      </c>
      <c r="Z131" s="8">
        <f t="shared" si="26"/>
        <v>9</v>
      </c>
    </row>
    <row r="132" spans="1:26">
      <c r="A132" s="251"/>
      <c r="B132" s="23" t="s">
        <v>84</v>
      </c>
      <c r="C132" s="8">
        <f>COUNTIFS('Datos Primaria'!$E:$E,C$122,'Datos Primaria'!$J:$J,"&gt;=01/10/2023",'Datos Primaria'!$J:$J,"&lt;=31/10/2023")</f>
        <v>0</v>
      </c>
      <c r="D132" s="8">
        <f>COUNTIFS('Datos Primaria'!$E:$E,D$122,'Datos Primaria'!$J:$J,"&gt;=01/10/2023",'Datos Primaria'!$J:$J,"&lt;=31/10/2023")</f>
        <v>0</v>
      </c>
      <c r="E132" s="8">
        <f>COUNTIFS('Datos Primaria'!$E:$E,E$122,'Datos Primaria'!$J:$J,"&gt;=01/10/2023",'Datos Primaria'!$J:$J,"&lt;=31/10/2023")</f>
        <v>0</v>
      </c>
      <c r="F132" s="8">
        <f>COUNTIFS('Datos Primaria'!$E:$E,F$122,'Datos Primaria'!$J:$J,"&gt;=01/10/2023",'Datos Primaria'!$J:$J,"&lt;=31/10/2023")</f>
        <v>1</v>
      </c>
      <c r="G132" s="8">
        <f>COUNTIFS('Datos Primaria'!$E:$E,G$122,'Datos Primaria'!$J:$J,"&gt;=01/10/2023",'Datos Primaria'!$J:$J,"&lt;=31/10/2023")</f>
        <v>0</v>
      </c>
      <c r="H132" s="8">
        <f t="shared" si="24"/>
        <v>1</v>
      </c>
      <c r="J132" s="251"/>
      <c r="K132" s="23" t="s">
        <v>84</v>
      </c>
      <c r="L132" s="34">
        <f>SUM(C$123:C132)</f>
        <v>2</v>
      </c>
      <c r="M132" s="34">
        <f>SUM(D$123:D132)</f>
        <v>3</v>
      </c>
      <c r="N132" s="34">
        <f>SUM(E$123:E132)</f>
        <v>2</v>
      </c>
      <c r="O132" s="34">
        <f>SUM(F$123:F132)</f>
        <v>1</v>
      </c>
      <c r="P132" s="34">
        <f>SUM(G$123:G132)</f>
        <v>2</v>
      </c>
      <c r="Q132" s="8">
        <f t="shared" si="25"/>
        <v>10</v>
      </c>
      <c r="S132" s="251"/>
      <c r="T132" s="23" t="s">
        <v>84</v>
      </c>
      <c r="U132" s="34">
        <f>SUM(C$123:C132)</f>
        <v>2</v>
      </c>
      <c r="V132" s="34">
        <f>SUM(D$123:D132)</f>
        <v>3</v>
      </c>
      <c r="W132" s="34">
        <f>SUM(E$123:E132)</f>
        <v>2</v>
      </c>
      <c r="X132" s="34">
        <f>SUM(F$123:F132)</f>
        <v>1</v>
      </c>
      <c r="Y132" s="34">
        <f>SUM(G$123:G132)</f>
        <v>2</v>
      </c>
      <c r="Z132" s="8">
        <f t="shared" si="26"/>
        <v>10</v>
      </c>
    </row>
    <row r="133" spans="1:26">
      <c r="A133" s="251"/>
      <c r="B133" s="23" t="s">
        <v>87</v>
      </c>
      <c r="C133" s="8">
        <f>COUNTIFS('Datos Primaria'!$E:$E,C$122,'Datos Primaria'!$J:$J,"&gt;=01/11/2023",'Datos Primaria'!$J:$J,"&lt;=30/11/2023")</f>
        <v>0</v>
      </c>
      <c r="D133" s="8">
        <f>COUNTIFS('Datos Primaria'!$E:$E,D$122,'Datos Primaria'!$J:$J,"&gt;=01/11/2023",'Datos Primaria'!$J:$J,"&lt;=30/11/2023")</f>
        <v>0</v>
      </c>
      <c r="E133" s="8">
        <f>COUNTIFS('Datos Primaria'!$E:$E,E$122,'Datos Primaria'!$J:$J,"&gt;=01/11/2023",'Datos Primaria'!$J:$J,"&lt;=30/11/2023")</f>
        <v>0</v>
      </c>
      <c r="F133" s="8">
        <f>COUNTIFS('Datos Primaria'!$E:$E,F$122,'Datos Primaria'!$J:$J,"&gt;=01/11/2023",'Datos Primaria'!$J:$J,"&lt;=30/11/2023")</f>
        <v>1</v>
      </c>
      <c r="G133" s="8">
        <f>COUNTIFS('Datos Primaria'!$E:$E,G$122,'Datos Primaria'!$J:$J,"&gt;=01/11/2023",'Datos Primaria'!$J:$J,"&lt;=30/11/2023")</f>
        <v>0</v>
      </c>
      <c r="H133" s="8">
        <f t="shared" si="24"/>
        <v>1</v>
      </c>
      <c r="J133" s="251"/>
      <c r="K133" s="23" t="s">
        <v>87</v>
      </c>
      <c r="L133" s="34">
        <f>SUM(C$123:C133)</f>
        <v>2</v>
      </c>
      <c r="M133" s="34">
        <f>SUM(D$123:D133)</f>
        <v>3</v>
      </c>
      <c r="N133" s="34">
        <f>SUM(E$123:E133)</f>
        <v>2</v>
      </c>
      <c r="O133" s="34">
        <f>SUM(F$123:F133)</f>
        <v>2</v>
      </c>
      <c r="P133" s="34">
        <f>SUM(G$123:G133)</f>
        <v>2</v>
      </c>
      <c r="Q133" s="8">
        <f t="shared" si="25"/>
        <v>11</v>
      </c>
      <c r="S133" s="251"/>
      <c r="T133" s="23" t="s">
        <v>87</v>
      </c>
      <c r="U133" s="34">
        <f>SUM(C$123:C133)</f>
        <v>2</v>
      </c>
      <c r="V133" s="34">
        <f>SUM(D$123:D133)</f>
        <v>3</v>
      </c>
      <c r="W133" s="34">
        <f>SUM(E$123:E133)</f>
        <v>2</v>
      </c>
      <c r="X133" s="34">
        <f>SUM(F$123:F133)</f>
        <v>2</v>
      </c>
      <c r="Y133" s="34">
        <f>SUM(G$123:G133)</f>
        <v>2</v>
      </c>
      <c r="Z133" s="8">
        <f t="shared" si="26"/>
        <v>11</v>
      </c>
    </row>
    <row r="134" spans="1:26">
      <c r="A134" s="251"/>
      <c r="B134" s="23" t="s">
        <v>173</v>
      </c>
      <c r="C134" s="8">
        <f>COUNTIFS('Datos Primaria'!$E:$E,C$122,'Datos Primaria'!$J:$J,"&gt;=01/12/2023",'Datos Primaria'!$J:$J,"&lt;=31/12/2023")</f>
        <v>0</v>
      </c>
      <c r="D134" s="8">
        <f>COUNTIFS('Datos Primaria'!$E:$E,D$122,'Datos Primaria'!$J:$J,"&gt;=01/12/2023",'Datos Primaria'!$J:$J,"&lt;=31/12/2023")</f>
        <v>0</v>
      </c>
      <c r="E134" s="8">
        <f>COUNTIFS('Datos Primaria'!$E:$E,E$122,'Datos Primaria'!$J:$J,"&gt;=01/12/2023",'Datos Primaria'!$J:$J,"&lt;=31/12/2023")</f>
        <v>0</v>
      </c>
      <c r="F134" s="8">
        <f>COUNTIFS('Datos Primaria'!$E:$E,F$122,'Datos Primaria'!$J:$J,"&gt;=01/12/2023",'Datos Primaria'!$J:$J,"&lt;=31/12/2023")</f>
        <v>0</v>
      </c>
      <c r="G134" s="8">
        <f>COUNTIFS('Datos Primaria'!$E:$E,G$122,'Datos Primaria'!$J:$J,"&gt;=01/12/2023",'Datos Primaria'!$J:$J,"&lt;=31/12/2023")</f>
        <v>0</v>
      </c>
      <c r="H134" s="8">
        <f t="shared" si="24"/>
        <v>0</v>
      </c>
      <c r="J134" s="251"/>
      <c r="K134" s="23" t="s">
        <v>173</v>
      </c>
      <c r="L134" s="34">
        <f>SUM(C$123:C134)</f>
        <v>2</v>
      </c>
      <c r="M134" s="34">
        <f>SUM(D$123:D134)</f>
        <v>3</v>
      </c>
      <c r="N134" s="34">
        <f>SUM(E$123:E134)</f>
        <v>2</v>
      </c>
      <c r="O134" s="34">
        <f>SUM(F$123:F134)</f>
        <v>2</v>
      </c>
      <c r="P134" s="34">
        <f>SUM(G$123:G134)</f>
        <v>2</v>
      </c>
      <c r="Q134" s="8">
        <f t="shared" si="25"/>
        <v>11</v>
      </c>
      <c r="S134" s="251"/>
      <c r="T134" s="23" t="s">
        <v>173</v>
      </c>
      <c r="U134" s="34">
        <f>SUM(C$123:C134)</f>
        <v>2</v>
      </c>
      <c r="V134" s="34">
        <f>SUM(D$123:D134)</f>
        <v>3</v>
      </c>
      <c r="W134" s="34">
        <f>SUM(E$123:E134)</f>
        <v>2</v>
      </c>
      <c r="X134" s="34">
        <f>SUM(F$123:F134)</f>
        <v>2</v>
      </c>
      <c r="Y134" s="34">
        <f>SUM(G$123:G134)</f>
        <v>2</v>
      </c>
      <c r="Z134" s="8">
        <f t="shared" si="26"/>
        <v>11</v>
      </c>
    </row>
    <row r="135" spans="1:26" ht="14.45" customHeight="1">
      <c r="A135" s="251">
        <f>A15</f>
        <v>2024</v>
      </c>
      <c r="B135" s="23" t="s">
        <v>13</v>
      </c>
      <c r="C135" s="8">
        <f>COUNTIFS('Datos Primaria'!$E:$E,C$122,'Datos Primaria'!$J:$J,"&gt;=01/01/2024",'Datos Primaria'!$J:$J,"&lt;=31/01/2024")</f>
        <v>0</v>
      </c>
      <c r="D135" s="8">
        <f>COUNTIFS('Datos Primaria'!$E:$E,D$122,'Datos Primaria'!$J:$J,"&gt;=01/01/2024",'Datos Primaria'!$J:$J,"&lt;=31/01/2024")</f>
        <v>1</v>
      </c>
      <c r="E135" s="8">
        <f>COUNTIFS('Datos Primaria'!$E:$E,E$122,'Datos Primaria'!$J:$J,"&gt;=01/01/2024",'Datos Primaria'!$J:$J,"&lt;=31/01/2024")</f>
        <v>1</v>
      </c>
      <c r="F135" s="8">
        <f>COUNTIFS('Datos Primaria'!$E:$E,F$122,'Datos Primaria'!$J:$J,"&gt;=01/01/2024",'Datos Primaria'!$J:$J,"&lt;=31/01/2024")</f>
        <v>0</v>
      </c>
      <c r="G135" s="8">
        <f>COUNTIFS('Datos Primaria'!$E:$E,G$122,'Datos Primaria'!$J:$J,"&gt;=01/01/2024",'Datos Primaria'!$J:$J,"&lt;=31/01/2024")</f>
        <v>4</v>
      </c>
      <c r="H135" s="8">
        <f t="shared" ref="H135:H146" si="27">SUM(C135:G135)</f>
        <v>6</v>
      </c>
      <c r="J135" s="251">
        <f>A135</f>
        <v>2024</v>
      </c>
      <c r="K135" s="23" t="s">
        <v>13</v>
      </c>
      <c r="L135" s="34">
        <f>SUM(C$135:C135)</f>
        <v>0</v>
      </c>
      <c r="M135" s="34">
        <f>SUM(D$135:D135)</f>
        <v>1</v>
      </c>
      <c r="N135" s="34">
        <f>SUM(E$135:E135)</f>
        <v>1</v>
      </c>
      <c r="O135" s="34">
        <f>SUM(F$135:F135)</f>
        <v>0</v>
      </c>
      <c r="P135" s="34">
        <f>SUM(G$135:G135)</f>
        <v>4</v>
      </c>
      <c r="Q135" s="8">
        <f t="shared" ref="Q135:Q146" si="28">SUM(L135:P135)</f>
        <v>6</v>
      </c>
      <c r="S135" s="251">
        <f>A135</f>
        <v>2024</v>
      </c>
      <c r="T135" s="23" t="s">
        <v>13</v>
      </c>
      <c r="U135" s="34">
        <f>SUM(C$123:C135)</f>
        <v>2</v>
      </c>
      <c r="V135" s="34">
        <f>SUM(D$123:D135)</f>
        <v>4</v>
      </c>
      <c r="W135" s="34">
        <f>SUM(E$123:E135)</f>
        <v>3</v>
      </c>
      <c r="X135" s="34">
        <f>SUM(F$123:F135)</f>
        <v>2</v>
      </c>
      <c r="Y135" s="34">
        <f>SUM(G$123:G135)</f>
        <v>6</v>
      </c>
      <c r="Z135" s="8">
        <f t="shared" ref="Z135:Z146" si="29">SUM(U135:Y135)</f>
        <v>17</v>
      </c>
    </row>
    <row r="136" spans="1:26">
      <c r="A136" s="251"/>
      <c r="B136" s="23" t="s">
        <v>24</v>
      </c>
      <c r="C136" s="8">
        <f>COUNTIFS('Datos Primaria'!$E:$E,C$122,'Datos Primaria'!$J:$J,"&gt;=01/02/2024",'Datos Primaria'!$J:$J,"&lt;=29/02/2024")</f>
        <v>1</v>
      </c>
      <c r="D136" s="8">
        <f>COUNTIFS('Datos Primaria'!$E:$E,D$122,'Datos Primaria'!$J:$J,"&gt;=01/02/2024",'Datos Primaria'!$J:$J,"&lt;=29/02/2024")</f>
        <v>0</v>
      </c>
      <c r="E136" s="8">
        <f>COUNTIFS('Datos Primaria'!$E:$E,E$122,'Datos Primaria'!$J:$J,"&gt;=01/02/2024",'Datos Primaria'!$J:$J,"&lt;=29/02/2024")</f>
        <v>0</v>
      </c>
      <c r="F136" s="8">
        <f>COUNTIFS('Datos Primaria'!$E:$E,F$122,'Datos Primaria'!$J:$J,"&gt;=01/02/2024",'Datos Primaria'!$J:$J,"&lt;=29/02/2024")</f>
        <v>1</v>
      </c>
      <c r="G136" s="8">
        <f>COUNTIFS('Datos Primaria'!$E:$E,G$122,'Datos Primaria'!$J:$J,"&gt;=01/02/2024",'Datos Primaria'!$J:$J,"&lt;=29/02/2024")</f>
        <v>1</v>
      </c>
      <c r="H136" s="8">
        <f t="shared" si="27"/>
        <v>3</v>
      </c>
      <c r="J136" s="251"/>
      <c r="K136" s="23" t="s">
        <v>24</v>
      </c>
      <c r="L136" s="34">
        <f>SUM(C$135:C136)</f>
        <v>1</v>
      </c>
      <c r="M136" s="34">
        <f>SUM(D$135:D136)</f>
        <v>1</v>
      </c>
      <c r="N136" s="34">
        <f>SUM(E$135:E136)</f>
        <v>1</v>
      </c>
      <c r="O136" s="34">
        <f>SUM(F$135:F136)</f>
        <v>1</v>
      </c>
      <c r="P136" s="34">
        <f>SUM(G$135:G136)</f>
        <v>5</v>
      </c>
      <c r="Q136" s="8">
        <f t="shared" si="28"/>
        <v>9</v>
      </c>
      <c r="S136" s="251"/>
      <c r="T136" s="23" t="s">
        <v>24</v>
      </c>
      <c r="U136" s="34">
        <f>SUM(C$123:C136)</f>
        <v>3</v>
      </c>
      <c r="V136" s="34">
        <f>SUM(D$123:D136)</f>
        <v>4</v>
      </c>
      <c r="W136" s="34">
        <f>SUM(E$123:E136)</f>
        <v>3</v>
      </c>
      <c r="X136" s="34">
        <f>SUM(F$123:F136)</f>
        <v>3</v>
      </c>
      <c r="Y136" s="34">
        <f>SUM(G$123:G136)</f>
        <v>7</v>
      </c>
      <c r="Z136" s="8">
        <f t="shared" si="29"/>
        <v>20</v>
      </c>
    </row>
    <row r="137" spans="1:26">
      <c r="A137" s="251"/>
      <c r="B137" s="23" t="s">
        <v>34</v>
      </c>
      <c r="C137" s="8">
        <f>COUNTIFS('Datos Primaria'!$E:$E,C$122,'Datos Primaria'!$J:$J,"&gt;=01/03/2024",'Datos Primaria'!$J:$J,"&lt;=31/03/2024")</f>
        <v>1</v>
      </c>
      <c r="D137" s="8">
        <f>COUNTIFS('Datos Primaria'!$E:$E,D$122,'Datos Primaria'!$J:$J,"&gt;=01/03/2024",'Datos Primaria'!$J:$J,"&lt;=31/03/2024")</f>
        <v>0</v>
      </c>
      <c r="E137" s="8">
        <f>COUNTIFS('Datos Primaria'!$E:$E,E$122,'Datos Primaria'!$J:$J,"&gt;=01/03/2024",'Datos Primaria'!$J:$J,"&lt;=31/03/2024")</f>
        <v>0</v>
      </c>
      <c r="F137" s="8">
        <f>COUNTIFS('Datos Primaria'!$E:$E,F$122,'Datos Primaria'!$J:$J,"&gt;=01/03/2024",'Datos Primaria'!$J:$J,"&lt;=31/03/2024")</f>
        <v>0</v>
      </c>
      <c r="G137" s="8">
        <f>COUNTIFS('Datos Primaria'!$E:$E,G$122,'Datos Primaria'!$J:$J,"&gt;=01/03/2024",'Datos Primaria'!$J:$J,"&lt;=31/03/2024")</f>
        <v>0</v>
      </c>
      <c r="H137" s="8">
        <f t="shared" si="27"/>
        <v>1</v>
      </c>
      <c r="J137" s="251"/>
      <c r="K137" s="23" t="s">
        <v>34</v>
      </c>
      <c r="L137" s="34">
        <f>SUM(C$135:C137)</f>
        <v>2</v>
      </c>
      <c r="M137" s="34">
        <f>SUM(D$135:D137)</f>
        <v>1</v>
      </c>
      <c r="N137" s="34">
        <f>SUM(E$135:E137)</f>
        <v>1</v>
      </c>
      <c r="O137" s="34">
        <f>SUM(F$135:F137)</f>
        <v>1</v>
      </c>
      <c r="P137" s="34">
        <f>SUM(G$135:G137)</f>
        <v>5</v>
      </c>
      <c r="Q137" s="8">
        <f t="shared" si="28"/>
        <v>10</v>
      </c>
      <c r="S137" s="251"/>
      <c r="T137" s="23" t="s">
        <v>34</v>
      </c>
      <c r="U137" s="34">
        <f>SUM(C$123:C137)</f>
        <v>4</v>
      </c>
      <c r="V137" s="34">
        <f>SUM(D$123:D137)</f>
        <v>4</v>
      </c>
      <c r="W137" s="34">
        <f>SUM(E$123:E137)</f>
        <v>3</v>
      </c>
      <c r="X137" s="34">
        <f>SUM(F$123:F137)</f>
        <v>3</v>
      </c>
      <c r="Y137" s="34">
        <f>SUM(G$123:G137)</f>
        <v>7</v>
      </c>
      <c r="Z137" s="8">
        <f t="shared" si="29"/>
        <v>21</v>
      </c>
    </row>
    <row r="138" spans="1:26">
      <c r="A138" s="251"/>
      <c r="B138" s="23" t="s">
        <v>38</v>
      </c>
      <c r="C138" s="8">
        <f>COUNTIFS('Datos Primaria'!$E:$E,C$122,'Datos Primaria'!$J:$J,"&gt;=01/04/2024",'Datos Primaria'!$J:$J,"&lt;=30/04/2024")</f>
        <v>0</v>
      </c>
      <c r="D138" s="8">
        <f>COUNTIFS('Datos Primaria'!$E:$E,D$122,'Datos Primaria'!$J:$J,"&gt;=01/04/2024",'Datos Primaria'!$J:$J,"&lt;=30/04/2024")</f>
        <v>0</v>
      </c>
      <c r="E138" s="8">
        <f>COUNTIFS('Datos Primaria'!$E:$E,E$122,'Datos Primaria'!$J:$J,"&gt;=01/04/2024",'Datos Primaria'!$J:$J,"&lt;=30/04/2024")</f>
        <v>0</v>
      </c>
      <c r="F138" s="8">
        <f>COUNTIFS('Datos Primaria'!$E:$E,F$122,'Datos Primaria'!$J:$J,"&gt;=01/04/2024",'Datos Primaria'!$J:$J,"&lt;=30/04/2024")</f>
        <v>0</v>
      </c>
      <c r="G138" s="8">
        <f>COUNTIFS('Datos Primaria'!$E:$E,G$122,'Datos Primaria'!$J:$J,"&gt;=01/04/2024",'Datos Primaria'!$J:$J,"&lt;=30/04/2024")</f>
        <v>0</v>
      </c>
      <c r="H138" s="8">
        <f t="shared" si="27"/>
        <v>0</v>
      </c>
      <c r="J138" s="251"/>
      <c r="K138" s="23" t="s">
        <v>38</v>
      </c>
      <c r="L138" s="34">
        <f>SUM(C$135:C138)</f>
        <v>2</v>
      </c>
      <c r="M138" s="34">
        <f>SUM(D$135:D138)</f>
        <v>1</v>
      </c>
      <c r="N138" s="34">
        <f>SUM(E$135:E138)</f>
        <v>1</v>
      </c>
      <c r="O138" s="34">
        <f>SUM(F$135:F138)</f>
        <v>1</v>
      </c>
      <c r="P138" s="34">
        <f>SUM(G$135:G138)</f>
        <v>5</v>
      </c>
      <c r="Q138" s="8">
        <f t="shared" si="28"/>
        <v>10</v>
      </c>
      <c r="S138" s="251"/>
      <c r="T138" s="23" t="s">
        <v>38</v>
      </c>
      <c r="U138" s="34">
        <f>SUM(C$123:C138)</f>
        <v>4</v>
      </c>
      <c r="V138" s="34">
        <f>SUM(D$123:D138)</f>
        <v>4</v>
      </c>
      <c r="W138" s="34">
        <f>SUM(E$123:E138)</f>
        <v>3</v>
      </c>
      <c r="X138" s="34">
        <f>SUM(F$123:F138)</f>
        <v>3</v>
      </c>
      <c r="Y138" s="34">
        <f>SUM(G$123:G138)</f>
        <v>7</v>
      </c>
      <c r="Z138" s="8">
        <f t="shared" si="29"/>
        <v>21</v>
      </c>
    </row>
    <row r="139" spans="1:26">
      <c r="A139" s="251"/>
      <c r="B139" s="23" t="s">
        <v>47</v>
      </c>
      <c r="C139" s="8">
        <f>COUNTIFS('Datos Primaria'!$E:$E,C$122,'Datos Primaria'!$J:$J,"&gt;=01/05/2024",'Datos Primaria'!$J:$J,"&lt;=31/05/2024")</f>
        <v>0</v>
      </c>
      <c r="D139" s="8">
        <f>COUNTIFS('Datos Primaria'!$E:$E,D$122,'Datos Primaria'!$J:$J,"&gt;=01/05/2024",'Datos Primaria'!$J:$J,"&lt;=31/05/2024")</f>
        <v>0</v>
      </c>
      <c r="E139" s="8">
        <f>COUNTIFS('Datos Primaria'!$E:$E,E$122,'Datos Primaria'!$J:$J,"&gt;=01/05/2024",'Datos Primaria'!$J:$J,"&lt;=31/05/2024")</f>
        <v>1</v>
      </c>
      <c r="F139" s="8">
        <f>COUNTIFS('Datos Primaria'!$E:$E,F$122,'Datos Primaria'!$J:$J,"&gt;=01/05/2024",'Datos Primaria'!$J:$J,"&lt;=31/05/2024")</f>
        <v>0</v>
      </c>
      <c r="G139" s="8">
        <f>COUNTIFS('Datos Primaria'!$E:$E,G$122,'Datos Primaria'!$J:$J,"&gt;=01/05/2024",'Datos Primaria'!$J:$J,"&lt;=31/05/2024")</f>
        <v>0</v>
      </c>
      <c r="H139" s="8">
        <f t="shared" si="27"/>
        <v>1</v>
      </c>
      <c r="J139" s="251"/>
      <c r="K139" s="23" t="s">
        <v>47</v>
      </c>
      <c r="L139" s="34">
        <f>SUM(C$135:C139)</f>
        <v>2</v>
      </c>
      <c r="M139" s="34">
        <f>SUM(D$135:D139)</f>
        <v>1</v>
      </c>
      <c r="N139" s="34">
        <f>SUM(E$135:E139)</f>
        <v>2</v>
      </c>
      <c r="O139" s="34">
        <f>SUM(F$135:F139)</f>
        <v>1</v>
      </c>
      <c r="P139" s="34">
        <f>SUM(G$135:G139)</f>
        <v>5</v>
      </c>
      <c r="Q139" s="8">
        <f t="shared" si="28"/>
        <v>11</v>
      </c>
      <c r="S139" s="251"/>
      <c r="T139" s="23" t="s">
        <v>47</v>
      </c>
      <c r="U139" s="34">
        <f>SUM(C$123:C139)</f>
        <v>4</v>
      </c>
      <c r="V139" s="34">
        <f>SUM(D$123:D139)</f>
        <v>4</v>
      </c>
      <c r="W139" s="34">
        <f>SUM(E$123:E139)</f>
        <v>4</v>
      </c>
      <c r="X139" s="34">
        <f>SUM(F$123:F139)</f>
        <v>3</v>
      </c>
      <c r="Y139" s="34">
        <f>SUM(G$123:G139)</f>
        <v>7</v>
      </c>
      <c r="Z139" s="8">
        <f t="shared" si="29"/>
        <v>22</v>
      </c>
    </row>
    <row r="140" spans="1:26">
      <c r="A140" s="251"/>
      <c r="B140" s="23" t="s">
        <v>57</v>
      </c>
      <c r="C140" s="8">
        <f>COUNTIFS('Datos Primaria'!$E:$E,C$122,'Datos Primaria'!$J:$J,"&gt;=01/06/2024",'Datos Primaria'!$J:$J,"&lt;=30/06/2024")</f>
        <v>0</v>
      </c>
      <c r="D140" s="8">
        <f>COUNTIFS('Datos Primaria'!$E:$E,D$122,'Datos Primaria'!$J:$J,"&gt;=01/06/2024",'Datos Primaria'!$J:$J,"&lt;=30/06/2024")</f>
        <v>1</v>
      </c>
      <c r="E140" s="8">
        <f>COUNTIFS('Datos Primaria'!$E:$E,E$122,'Datos Primaria'!$J:$J,"&gt;=01/06/2024",'Datos Primaria'!$J:$J,"&lt;=30/06/2024")</f>
        <v>0</v>
      </c>
      <c r="F140" s="8">
        <f>COUNTIFS('Datos Primaria'!$E:$E,F$122,'Datos Primaria'!$J:$J,"&gt;=01/06/2024",'Datos Primaria'!$J:$J,"&lt;=30/06/2024")</f>
        <v>0</v>
      </c>
      <c r="G140" s="8">
        <f>COUNTIFS('Datos Primaria'!$E:$E,G$122,'Datos Primaria'!$J:$J,"&gt;=01/06/2024",'Datos Primaria'!$J:$J,"&lt;=30/06/2024")</f>
        <v>0</v>
      </c>
      <c r="H140" s="8">
        <f t="shared" si="27"/>
        <v>1</v>
      </c>
      <c r="J140" s="251"/>
      <c r="K140" s="23" t="s">
        <v>57</v>
      </c>
      <c r="L140" s="34">
        <f>SUM(C$135:C140)</f>
        <v>2</v>
      </c>
      <c r="M140" s="34">
        <f>SUM(D$135:D140)</f>
        <v>2</v>
      </c>
      <c r="N140" s="34">
        <f>SUM(E$135:E140)</f>
        <v>2</v>
      </c>
      <c r="O140" s="34">
        <f>SUM(F$135:F140)</f>
        <v>1</v>
      </c>
      <c r="P140" s="34">
        <f>SUM(G$135:G140)</f>
        <v>5</v>
      </c>
      <c r="Q140" s="8">
        <f t="shared" si="28"/>
        <v>12</v>
      </c>
      <c r="S140" s="251"/>
      <c r="T140" s="23" t="s">
        <v>57</v>
      </c>
      <c r="U140" s="34">
        <f>SUM(C$123:C140)</f>
        <v>4</v>
      </c>
      <c r="V140" s="34">
        <f>SUM(D$123:D140)</f>
        <v>5</v>
      </c>
      <c r="W140" s="34">
        <f>SUM(E$123:E140)</f>
        <v>4</v>
      </c>
      <c r="X140" s="34">
        <f>SUM(F$123:F140)</f>
        <v>3</v>
      </c>
      <c r="Y140" s="34">
        <f>SUM(G$123:G140)</f>
        <v>7</v>
      </c>
      <c r="Z140" s="8">
        <f t="shared" si="29"/>
        <v>23</v>
      </c>
    </row>
    <row r="141" spans="1:26">
      <c r="A141" s="251"/>
      <c r="B141" s="23" t="s">
        <v>62</v>
      </c>
      <c r="C141" s="8">
        <f>COUNTIFS('Datos Primaria'!$E:$E,C$122,'Datos Primaria'!$J:$J,"&gt;=01/07/2024",'Datos Primaria'!$J:$J,"&lt;=31/07/2024")</f>
        <v>0</v>
      </c>
      <c r="D141" s="8">
        <f>COUNTIFS('Datos Primaria'!$E:$E,D$122,'Datos Primaria'!$J:$J,"&gt;=01/07/2024",'Datos Primaria'!$J:$J,"&lt;=31/07/2024")</f>
        <v>1</v>
      </c>
      <c r="E141" s="8">
        <f>COUNTIFS('Datos Primaria'!$E:$E,E$122,'Datos Primaria'!$J:$J,"&gt;=01/07/2024",'Datos Primaria'!$J:$J,"&lt;=31/07/2024")</f>
        <v>1</v>
      </c>
      <c r="F141" s="8">
        <f>COUNTIFS('Datos Primaria'!$E:$E,F$122,'Datos Primaria'!$J:$J,"&gt;=01/07/2024",'Datos Primaria'!$J:$J,"&lt;=31/07/2024")</f>
        <v>0</v>
      </c>
      <c r="G141" s="8">
        <f>COUNTIFS('Datos Primaria'!$E:$E,G$122,'Datos Primaria'!$J:$J,"&gt;=01/07/2024",'Datos Primaria'!$J:$J,"&lt;=31/07/2024")</f>
        <v>0</v>
      </c>
      <c r="H141" s="8">
        <f t="shared" si="27"/>
        <v>2</v>
      </c>
      <c r="J141" s="251"/>
      <c r="K141" s="23" t="s">
        <v>62</v>
      </c>
      <c r="L141" s="34">
        <f>SUM(C$135:C141)</f>
        <v>2</v>
      </c>
      <c r="M141" s="34">
        <f>SUM(D$135:D141)</f>
        <v>3</v>
      </c>
      <c r="N141" s="34">
        <f>SUM(E$135:E141)</f>
        <v>3</v>
      </c>
      <c r="O141" s="34">
        <f>SUM(F$135:F141)</f>
        <v>1</v>
      </c>
      <c r="P141" s="34">
        <f>SUM(G$135:G141)</f>
        <v>5</v>
      </c>
      <c r="Q141" s="8">
        <f t="shared" si="28"/>
        <v>14</v>
      </c>
      <c r="S141" s="251"/>
      <c r="T141" s="23" t="s">
        <v>62</v>
      </c>
      <c r="U141" s="34">
        <f>SUM(C$123:C141)</f>
        <v>4</v>
      </c>
      <c r="V141" s="34">
        <f>SUM(D$123:D141)</f>
        <v>6</v>
      </c>
      <c r="W141" s="34">
        <f>SUM(E$123:E141)</f>
        <v>5</v>
      </c>
      <c r="X141" s="34">
        <f>SUM(F$123:F141)</f>
        <v>3</v>
      </c>
      <c r="Y141" s="34">
        <f>SUM(G$123:G141)</f>
        <v>7</v>
      </c>
      <c r="Z141" s="8">
        <f t="shared" si="29"/>
        <v>25</v>
      </c>
    </row>
    <row r="142" spans="1:26">
      <c r="A142" s="251"/>
      <c r="B142" s="23" t="s">
        <v>68</v>
      </c>
      <c r="C142" s="8">
        <f>COUNTIFS('Datos Primaria'!$E:$E,C$122,'Datos Primaria'!$J:$J,"&gt;=01/08/2024",'Datos Primaria'!$J:$J,"&lt;=31/08/2024")</f>
        <v>0</v>
      </c>
      <c r="D142" s="8">
        <f>COUNTIFS('Datos Primaria'!$E:$E,D$122,'Datos Primaria'!$J:$J,"&gt;=01/08/2024",'Datos Primaria'!$J:$J,"&lt;=31/08/2024")</f>
        <v>0</v>
      </c>
      <c r="E142" s="8">
        <f>COUNTIFS('Datos Primaria'!$E:$E,E$122,'Datos Primaria'!$J:$J,"&gt;=01/08/2024",'Datos Primaria'!$J:$J,"&lt;=31/08/2024")</f>
        <v>1</v>
      </c>
      <c r="F142" s="8">
        <f>COUNTIFS('Datos Primaria'!$E:$E,F$122,'Datos Primaria'!$J:$J,"&gt;=01/08/2024",'Datos Primaria'!$J:$J,"&lt;=31/08/2024")</f>
        <v>1</v>
      </c>
      <c r="G142" s="8">
        <f>COUNTIFS('Datos Primaria'!$E:$E,G$122,'Datos Primaria'!$J:$J,"&gt;=01/08/2024",'Datos Primaria'!$J:$J,"&lt;=31/08/2024")</f>
        <v>1</v>
      </c>
      <c r="H142" s="8">
        <f t="shared" si="27"/>
        <v>3</v>
      </c>
      <c r="J142" s="251"/>
      <c r="K142" s="23" t="s">
        <v>68</v>
      </c>
      <c r="L142" s="34">
        <f>SUM(C$135:C142)</f>
        <v>2</v>
      </c>
      <c r="M142" s="34">
        <f>SUM(D$135:D142)</f>
        <v>3</v>
      </c>
      <c r="N142" s="34">
        <f>SUM(E$135:E142)</f>
        <v>4</v>
      </c>
      <c r="O142" s="34">
        <f>SUM(F$135:F142)</f>
        <v>2</v>
      </c>
      <c r="P142" s="34">
        <f>SUM(G$135:G142)</f>
        <v>6</v>
      </c>
      <c r="Q142" s="8">
        <f t="shared" si="28"/>
        <v>17</v>
      </c>
      <c r="S142" s="251"/>
      <c r="T142" s="23" t="s">
        <v>68</v>
      </c>
      <c r="U142" s="34">
        <f>SUM(C$123:C142)</f>
        <v>4</v>
      </c>
      <c r="V142" s="34">
        <f>SUM(D$123:D142)</f>
        <v>6</v>
      </c>
      <c r="W142" s="34">
        <f>SUM(E$123:E142)</f>
        <v>6</v>
      </c>
      <c r="X142" s="34">
        <f>SUM(F$123:F142)</f>
        <v>4</v>
      </c>
      <c r="Y142" s="34">
        <f>SUM(G$123:G142)</f>
        <v>8</v>
      </c>
      <c r="Z142" s="8">
        <f t="shared" si="29"/>
        <v>28</v>
      </c>
    </row>
    <row r="143" spans="1:26">
      <c r="A143" s="251"/>
      <c r="B143" s="23" t="s">
        <v>77</v>
      </c>
      <c r="C143" s="8">
        <f>COUNTIFS('Datos Primaria'!$E:$E,C$122,'Datos Primaria'!$J:$J,"&gt;=01/09/2024",'Datos Primaria'!$J:$J,"&lt;=30/09/2024")</f>
        <v>0</v>
      </c>
      <c r="D143" s="8">
        <f>COUNTIFS('Datos Primaria'!$E:$E,D$122,'Datos Primaria'!$J:$J,"&gt;=01/09/2024",'Datos Primaria'!$J:$J,"&lt;=30/09/2024")</f>
        <v>0</v>
      </c>
      <c r="E143" s="8">
        <f>COUNTIFS('Datos Primaria'!$E:$E,E$122,'Datos Primaria'!$J:$J,"&gt;=01/09/2024",'Datos Primaria'!$J:$J,"&lt;=30/09/2024")</f>
        <v>0</v>
      </c>
      <c r="F143" s="8">
        <f>COUNTIFS('Datos Primaria'!$E:$E,F$122,'Datos Primaria'!$J:$J,"&gt;=01/09/2024",'Datos Primaria'!$J:$J,"&lt;=30/09/2024")</f>
        <v>1</v>
      </c>
      <c r="G143" s="8">
        <f>COUNTIFS('Datos Primaria'!$E:$E,G$122,'Datos Primaria'!$J:$J,"&gt;=01/09/2024",'Datos Primaria'!$J:$J,"&lt;=30/09/2024")</f>
        <v>1</v>
      </c>
      <c r="H143" s="8">
        <f t="shared" si="27"/>
        <v>2</v>
      </c>
      <c r="J143" s="251"/>
      <c r="K143" s="23" t="s">
        <v>77</v>
      </c>
      <c r="L143" s="34">
        <f>SUM(C$135:C143)</f>
        <v>2</v>
      </c>
      <c r="M143" s="34">
        <f>SUM(D$135:D143)</f>
        <v>3</v>
      </c>
      <c r="N143" s="34">
        <f>SUM(E$135:E143)</f>
        <v>4</v>
      </c>
      <c r="O143" s="34">
        <f>SUM(F$135:F143)</f>
        <v>3</v>
      </c>
      <c r="P143" s="34">
        <f>SUM(G$135:G143)</f>
        <v>7</v>
      </c>
      <c r="Q143" s="8">
        <f t="shared" si="28"/>
        <v>19</v>
      </c>
      <c r="S143" s="251"/>
      <c r="T143" s="23" t="s">
        <v>77</v>
      </c>
      <c r="U143" s="34">
        <f>SUM(C$123:C143)</f>
        <v>4</v>
      </c>
      <c r="V143" s="34">
        <f>SUM(D$123:D143)</f>
        <v>6</v>
      </c>
      <c r="W143" s="34">
        <f>SUM(E$123:E143)</f>
        <v>6</v>
      </c>
      <c r="X143" s="34">
        <f>SUM(F$123:F143)</f>
        <v>5</v>
      </c>
      <c r="Y143" s="34">
        <f>SUM(G$123:G143)</f>
        <v>9</v>
      </c>
      <c r="Z143" s="8">
        <f t="shared" si="29"/>
        <v>30</v>
      </c>
    </row>
    <row r="144" spans="1:26">
      <c r="A144" s="251"/>
      <c r="B144" s="23" t="s">
        <v>84</v>
      </c>
      <c r="C144" s="8">
        <f>COUNTIFS('Datos Primaria'!$E:$E,C$122,'Datos Primaria'!$J:$J,"&gt;=01/10/2024",'Datos Primaria'!$J:$J,"&lt;=31/10/2024")</f>
        <v>0</v>
      </c>
      <c r="D144" s="8">
        <f>COUNTIFS('Datos Primaria'!$E:$E,D$122,'Datos Primaria'!$J:$J,"&gt;=01/10/2024",'Datos Primaria'!$J:$J,"&lt;=31/10/2024")</f>
        <v>0</v>
      </c>
      <c r="E144" s="8">
        <f>COUNTIFS('Datos Primaria'!$E:$E,E$122,'Datos Primaria'!$J:$J,"&gt;=01/10/2024",'Datos Primaria'!$J:$J,"&lt;=31/10/2024")</f>
        <v>0</v>
      </c>
      <c r="F144" s="8">
        <f>COUNTIFS('Datos Primaria'!$E:$E,F$122,'Datos Primaria'!$J:$J,"&gt;=01/10/2024",'Datos Primaria'!$J:$J,"&lt;=31/10/2024")</f>
        <v>0</v>
      </c>
      <c r="G144" s="8">
        <f>COUNTIFS('Datos Primaria'!$E:$E,G$122,'Datos Primaria'!$J:$J,"&gt;=01/10/2024",'Datos Primaria'!$J:$J,"&lt;=31/10/2024")</f>
        <v>0</v>
      </c>
      <c r="H144" s="8">
        <f t="shared" si="27"/>
        <v>0</v>
      </c>
      <c r="J144" s="251"/>
      <c r="K144" s="23" t="s">
        <v>84</v>
      </c>
      <c r="L144" s="34">
        <f>SUM(C$135:C144)</f>
        <v>2</v>
      </c>
      <c r="M144" s="34">
        <f>SUM(D$135:D144)</f>
        <v>3</v>
      </c>
      <c r="N144" s="34">
        <f>SUM(E$135:E144)</f>
        <v>4</v>
      </c>
      <c r="O144" s="34">
        <f>SUM(F$135:F144)</f>
        <v>3</v>
      </c>
      <c r="P144" s="34">
        <f>SUM(G$135:G144)</f>
        <v>7</v>
      </c>
      <c r="Q144" s="8">
        <f t="shared" si="28"/>
        <v>19</v>
      </c>
      <c r="S144" s="251"/>
      <c r="T144" s="23" t="s">
        <v>84</v>
      </c>
      <c r="U144" s="34">
        <f>SUM(C$123:C144)</f>
        <v>4</v>
      </c>
      <c r="V144" s="34">
        <f>SUM(D$123:D144)</f>
        <v>6</v>
      </c>
      <c r="W144" s="34">
        <f>SUM(E$123:E144)</f>
        <v>6</v>
      </c>
      <c r="X144" s="34">
        <f>SUM(F$123:F144)</f>
        <v>5</v>
      </c>
      <c r="Y144" s="34">
        <f>SUM(G$123:G144)</f>
        <v>9</v>
      </c>
      <c r="Z144" s="8">
        <f t="shared" si="29"/>
        <v>30</v>
      </c>
    </row>
    <row r="145" spans="1:26">
      <c r="A145" s="251"/>
      <c r="B145" s="23" t="s">
        <v>87</v>
      </c>
      <c r="C145" s="8">
        <f>COUNTIFS('Datos Primaria'!$E:$E,C$122,'Datos Primaria'!$J:$J,"&gt;=01/11/2024",'Datos Primaria'!$J:$J,"&lt;=30/11/2024")</f>
        <v>0</v>
      </c>
      <c r="D145" s="8">
        <f>COUNTIFS('Datos Primaria'!$E:$E,D$122,'Datos Primaria'!$J:$J,"&gt;=01/11/2024",'Datos Primaria'!$J:$J,"&lt;=30/11/2024")</f>
        <v>0</v>
      </c>
      <c r="E145" s="8">
        <f>COUNTIFS('Datos Primaria'!$E:$E,E$122,'Datos Primaria'!$J:$J,"&gt;=01/11/2024",'Datos Primaria'!$J:$J,"&lt;=30/11/2024")</f>
        <v>0</v>
      </c>
      <c r="F145" s="8">
        <f>COUNTIFS('Datos Primaria'!$E:$E,F$122,'Datos Primaria'!$J:$J,"&gt;=01/11/2024",'Datos Primaria'!$J:$J,"&lt;=30/11/2024")</f>
        <v>0</v>
      </c>
      <c r="G145" s="8">
        <f>COUNTIFS('Datos Primaria'!$E:$E,G$122,'Datos Primaria'!$J:$J,"&gt;=01/11/2024",'Datos Primaria'!$J:$J,"&lt;=30/11/2024")</f>
        <v>0</v>
      </c>
      <c r="H145" s="8">
        <f t="shared" si="27"/>
        <v>0</v>
      </c>
      <c r="J145" s="251"/>
      <c r="K145" s="23" t="s">
        <v>87</v>
      </c>
      <c r="L145" s="34">
        <f>SUM(C$135:C145)</f>
        <v>2</v>
      </c>
      <c r="M145" s="34">
        <f>SUM(D$135:D145)</f>
        <v>3</v>
      </c>
      <c r="N145" s="34">
        <f>SUM(E$135:E145)</f>
        <v>4</v>
      </c>
      <c r="O145" s="34">
        <f>SUM(F$135:F145)</f>
        <v>3</v>
      </c>
      <c r="P145" s="34">
        <f>SUM(G$135:G145)</f>
        <v>7</v>
      </c>
      <c r="Q145" s="8">
        <f t="shared" si="28"/>
        <v>19</v>
      </c>
      <c r="S145" s="251"/>
      <c r="T145" s="23" t="s">
        <v>87</v>
      </c>
      <c r="U145" s="34">
        <f>SUM(C$123:C145)</f>
        <v>4</v>
      </c>
      <c r="V145" s="34">
        <f>SUM(D$123:D145)</f>
        <v>6</v>
      </c>
      <c r="W145" s="34">
        <f>SUM(E$123:E145)</f>
        <v>6</v>
      </c>
      <c r="X145" s="34">
        <f>SUM(F$123:F145)</f>
        <v>5</v>
      </c>
      <c r="Y145" s="34">
        <f>SUM(G$123:G145)</f>
        <v>9</v>
      </c>
      <c r="Z145" s="8">
        <f t="shared" si="29"/>
        <v>30</v>
      </c>
    </row>
    <row r="146" spans="1:26">
      <c r="A146" s="251"/>
      <c r="B146" s="23" t="s">
        <v>173</v>
      </c>
      <c r="C146" s="8">
        <f>COUNTIFS('Datos Primaria'!$E:$E,C$122,'Datos Primaria'!$J:$J,"&gt;=01/12/2024",'Datos Primaria'!$J:$J,"&lt;=31/12/2024")</f>
        <v>0</v>
      </c>
      <c r="D146" s="8">
        <f>COUNTIFS('Datos Primaria'!$E:$E,D$122,'Datos Primaria'!$J:$J,"&gt;=01/12/2024",'Datos Primaria'!$J:$J,"&lt;=31/12/2024")</f>
        <v>0</v>
      </c>
      <c r="E146" s="8">
        <f>COUNTIFS('Datos Primaria'!$E:$E,E$122,'Datos Primaria'!$J:$J,"&gt;=01/12/2024",'Datos Primaria'!$J:$J,"&lt;=31/12/2024")</f>
        <v>0</v>
      </c>
      <c r="F146" s="8">
        <f>COUNTIFS('Datos Primaria'!$E:$E,F$122,'Datos Primaria'!$J:$J,"&gt;=01/12/2024",'Datos Primaria'!$J:$J,"&lt;=31/12/2024")</f>
        <v>0</v>
      </c>
      <c r="G146" s="8">
        <f>COUNTIFS('Datos Primaria'!$E:$E,G$122,'Datos Primaria'!$J:$J,"&gt;=01/12/2024",'Datos Primaria'!$J:$J,"&lt;=31/12/2024")</f>
        <v>1</v>
      </c>
      <c r="H146" s="8">
        <f t="shared" si="27"/>
        <v>1</v>
      </c>
      <c r="J146" s="251"/>
      <c r="K146" s="23" t="s">
        <v>173</v>
      </c>
      <c r="L146" s="34">
        <f>SUM(C$135:C146)</f>
        <v>2</v>
      </c>
      <c r="M146" s="34">
        <f>SUM(D$135:D146)</f>
        <v>3</v>
      </c>
      <c r="N146" s="34">
        <f>SUM(E$135:E146)</f>
        <v>4</v>
      </c>
      <c r="O146" s="34">
        <f>SUM(F$135:F146)</f>
        <v>3</v>
      </c>
      <c r="P146" s="34">
        <f>SUM(G$135:G146)</f>
        <v>8</v>
      </c>
      <c r="Q146" s="8">
        <f t="shared" si="28"/>
        <v>20</v>
      </c>
      <c r="S146" s="251"/>
      <c r="T146" s="23" t="s">
        <v>173</v>
      </c>
      <c r="U146" s="34">
        <f>SUM(C$123:C146)</f>
        <v>4</v>
      </c>
      <c r="V146" s="34">
        <f>SUM(D$123:D146)</f>
        <v>6</v>
      </c>
      <c r="W146" s="34">
        <f>SUM(E$123:E146)</f>
        <v>6</v>
      </c>
      <c r="X146" s="34">
        <f>SUM(F$123:F146)</f>
        <v>5</v>
      </c>
      <c r="Y146" s="34">
        <f>SUM(G$123:G146)</f>
        <v>10</v>
      </c>
      <c r="Z146" s="8">
        <f t="shared" si="29"/>
        <v>31</v>
      </c>
    </row>
    <row r="147" spans="1:26" ht="14.45" customHeight="1">
      <c r="A147" s="251">
        <f>A27</f>
        <v>2025</v>
      </c>
      <c r="B147" s="23" t="s">
        <v>13</v>
      </c>
      <c r="C147" s="8">
        <f>COUNTIFS('Datos Primaria'!$E:$E,C$122,'Datos Primaria'!$J:$J,"&gt;=01/01/2025",'Datos Primaria'!$J:$J,"&lt;=31/01/2025")</f>
        <v>0</v>
      </c>
      <c r="D147" s="8">
        <f>COUNTIFS('Datos Primaria'!$E:$E,D$122,'Datos Primaria'!$J:$J,"&gt;=01/01/2025",'Datos Primaria'!$J:$J,"&lt;=31/01/2025")</f>
        <v>1</v>
      </c>
      <c r="E147" s="8">
        <f>COUNTIFS('Datos Primaria'!$E:$E,E$122,'Datos Primaria'!$J:$J,"&gt;=01/01/2025",'Datos Primaria'!$J:$J,"&lt;=31/01/2025")</f>
        <v>3</v>
      </c>
      <c r="F147" s="8">
        <f>COUNTIFS('Datos Primaria'!$E:$E,F$122,'Datos Primaria'!$J:$J,"&gt;=01/01/2025",'Datos Primaria'!$J:$J,"&lt;=31/01/2025")</f>
        <v>0</v>
      </c>
      <c r="G147" s="8">
        <f>COUNTIFS('Datos Primaria'!$E:$E,G$122,'Datos Primaria'!$J:$J,"&gt;=01/01/2025",'Datos Primaria'!$J:$J,"&lt;=31/01/2025")</f>
        <v>1</v>
      </c>
      <c r="H147" s="8">
        <f t="shared" ref="H147:H158" si="30">SUM(C147:G147)</f>
        <v>5</v>
      </c>
      <c r="J147" s="251">
        <f>A147</f>
        <v>2025</v>
      </c>
      <c r="K147" s="23" t="s">
        <v>13</v>
      </c>
      <c r="L147" s="34">
        <f>SUM(C$147:C147)</f>
        <v>0</v>
      </c>
      <c r="M147" s="34">
        <f>SUM(D$147:D147)</f>
        <v>1</v>
      </c>
      <c r="N147" s="34">
        <f>SUM(E$147:E147)</f>
        <v>3</v>
      </c>
      <c r="O147" s="34">
        <f>SUM(F$147:F147)</f>
        <v>0</v>
      </c>
      <c r="P147" s="34">
        <f>SUM(G$147:G147)</f>
        <v>1</v>
      </c>
      <c r="Q147" s="8">
        <f t="shared" ref="Q147:Q158" si="31">SUM(L147:P147)</f>
        <v>5</v>
      </c>
      <c r="S147" s="251">
        <f>A147</f>
        <v>2025</v>
      </c>
      <c r="T147" s="23" t="s">
        <v>13</v>
      </c>
      <c r="U147" s="34">
        <f>SUM(C$123:C147)</f>
        <v>4</v>
      </c>
      <c r="V147" s="34">
        <f>SUM(D$123:D147)</f>
        <v>7</v>
      </c>
      <c r="W147" s="34">
        <f>SUM(E$123:E147)</f>
        <v>9</v>
      </c>
      <c r="X147" s="34">
        <f>SUM(F$123:F147)</f>
        <v>5</v>
      </c>
      <c r="Y147" s="34">
        <f>SUM(G$123:G147)</f>
        <v>11</v>
      </c>
      <c r="Z147" s="8">
        <f t="shared" ref="Z147:Z158" si="32">SUM(U147:Y147)</f>
        <v>36</v>
      </c>
    </row>
    <row r="148" spans="1:26">
      <c r="A148" s="251"/>
      <c r="B148" s="23" t="s">
        <v>24</v>
      </c>
      <c r="C148" s="8">
        <f>COUNTIFS('Datos Primaria'!$E:$E,C$122,'Datos Primaria'!$J:$J,"&gt;=01/02/2025",'Datos Primaria'!$J:$J,"&lt;=28/02/2025")</f>
        <v>0</v>
      </c>
      <c r="D148" s="8">
        <f>COUNTIFS('Datos Primaria'!$E:$E,D$122,'Datos Primaria'!$J:$J,"&gt;=01/02/2025",'Datos Primaria'!$J:$J,"&lt;=28/02/2025")</f>
        <v>0</v>
      </c>
      <c r="E148" s="8">
        <f>COUNTIFS('Datos Primaria'!$E:$E,E$122,'Datos Primaria'!$J:$J,"&gt;=01/02/2025",'Datos Primaria'!$J:$J,"&lt;=28/02/2025")</f>
        <v>2</v>
      </c>
      <c r="F148" s="8">
        <f>COUNTIFS('Datos Primaria'!$E:$E,F$122,'Datos Primaria'!$J:$J,"&gt;=01/02/2025",'Datos Primaria'!$J:$J,"&lt;=28/02/2025")</f>
        <v>1</v>
      </c>
      <c r="G148" s="8">
        <f>COUNTIFS('Datos Primaria'!$E:$E,G$122,'Datos Primaria'!$J:$J,"&gt;=01/02/2025",'Datos Primaria'!$J:$J,"&lt;=28/02/2025")</f>
        <v>2</v>
      </c>
      <c r="H148" s="8">
        <f t="shared" si="30"/>
        <v>5</v>
      </c>
      <c r="J148" s="251"/>
      <c r="K148" s="23" t="s">
        <v>24</v>
      </c>
      <c r="L148" s="34">
        <f>SUM(C$147:C148)</f>
        <v>0</v>
      </c>
      <c r="M148" s="34">
        <f>SUM(D$147:D148)</f>
        <v>1</v>
      </c>
      <c r="N148" s="34">
        <f>SUM(E$147:E148)</f>
        <v>5</v>
      </c>
      <c r="O148" s="34">
        <f>SUM(F$147:F148)</f>
        <v>1</v>
      </c>
      <c r="P148" s="34">
        <f>SUM(G$147:G148)</f>
        <v>3</v>
      </c>
      <c r="Q148" s="8">
        <f t="shared" si="31"/>
        <v>10</v>
      </c>
      <c r="S148" s="251"/>
      <c r="T148" s="23" t="s">
        <v>24</v>
      </c>
      <c r="U148" s="34">
        <f>SUM(C$123:C148)</f>
        <v>4</v>
      </c>
      <c r="V148" s="34">
        <f>SUM(D$123:D148)</f>
        <v>7</v>
      </c>
      <c r="W148" s="34">
        <f>SUM(E$123:E148)</f>
        <v>11</v>
      </c>
      <c r="X148" s="34">
        <f>SUM(F$123:F148)</f>
        <v>6</v>
      </c>
      <c r="Y148" s="34">
        <f>SUM(G$123:G148)</f>
        <v>13</v>
      </c>
      <c r="Z148" s="8">
        <f t="shared" si="32"/>
        <v>41</v>
      </c>
    </row>
    <row r="149" spans="1:26">
      <c r="A149" s="251"/>
      <c r="B149" s="23" t="s">
        <v>34</v>
      </c>
      <c r="C149" s="8">
        <f>COUNTIFS('Datos Primaria'!$E:$E,C$122,'Datos Primaria'!$J:$J,"&gt;=01/03/2025",'Datos Primaria'!$J:$J,"&lt;=31/03/2025")</f>
        <v>0</v>
      </c>
      <c r="D149" s="8">
        <f>COUNTIFS('Datos Primaria'!$E:$E,D$122,'Datos Primaria'!$J:$J,"&gt;=01/03/2025",'Datos Primaria'!$J:$J,"&lt;=31/03/2025")</f>
        <v>1</v>
      </c>
      <c r="E149" s="8">
        <f>COUNTIFS('Datos Primaria'!$E:$E,E$122,'Datos Primaria'!$J:$J,"&gt;=01/03/2025",'Datos Primaria'!$J:$J,"&lt;=31/03/2025")</f>
        <v>0</v>
      </c>
      <c r="F149" s="8">
        <f>COUNTIFS('Datos Primaria'!$E:$E,F$122,'Datos Primaria'!$J:$J,"&gt;=01/03/2025",'Datos Primaria'!$J:$J,"&lt;=31/03/2025")</f>
        <v>0</v>
      </c>
      <c r="G149" s="8">
        <f>COUNTIFS('Datos Primaria'!$E:$E,G$122,'Datos Primaria'!$J:$J,"&gt;=01/03/2025",'Datos Primaria'!$J:$J,"&lt;=31/03/2025")</f>
        <v>1</v>
      </c>
      <c r="H149" s="8">
        <f t="shared" si="30"/>
        <v>2</v>
      </c>
      <c r="J149" s="251"/>
      <c r="K149" s="23" t="s">
        <v>34</v>
      </c>
      <c r="L149" s="34">
        <f>SUM(C$147:C149)</f>
        <v>0</v>
      </c>
      <c r="M149" s="34">
        <f>SUM(D$147:D149)</f>
        <v>2</v>
      </c>
      <c r="N149" s="34">
        <f>SUM(E$147:E149)</f>
        <v>5</v>
      </c>
      <c r="O149" s="34">
        <f>SUM(F$147:F149)</f>
        <v>1</v>
      </c>
      <c r="P149" s="34">
        <f>SUM(G$147:G149)</f>
        <v>4</v>
      </c>
      <c r="Q149" s="8">
        <f t="shared" si="31"/>
        <v>12</v>
      </c>
      <c r="S149" s="251"/>
      <c r="T149" s="23" t="s">
        <v>34</v>
      </c>
      <c r="U149" s="34">
        <f>SUM(C$123:C149)</f>
        <v>4</v>
      </c>
      <c r="V149" s="34">
        <f>SUM(D$123:D149)</f>
        <v>8</v>
      </c>
      <c r="W149" s="34">
        <f>SUM(E$123:E149)</f>
        <v>11</v>
      </c>
      <c r="X149" s="34">
        <f>SUM(F$123:F149)</f>
        <v>6</v>
      </c>
      <c r="Y149" s="34">
        <f>SUM(G$123:G149)</f>
        <v>14</v>
      </c>
      <c r="Z149" s="8">
        <f t="shared" si="32"/>
        <v>43</v>
      </c>
    </row>
    <row r="150" spans="1:26">
      <c r="A150" s="251"/>
      <c r="B150" s="23" t="s">
        <v>38</v>
      </c>
      <c r="C150" s="8">
        <f>COUNTIFS('Datos Primaria'!$E:$E,C$122,'Datos Primaria'!$J:$J,"&gt;=01/04/2025",'Datos Primaria'!$J:$J,"&lt;=30/04/2025")</f>
        <v>1</v>
      </c>
      <c r="D150" s="8">
        <f>COUNTIFS('Datos Primaria'!$E:$E,D$122,'Datos Primaria'!$J:$J,"&gt;=01/04/2025",'Datos Primaria'!$J:$J,"&lt;=30/04/2025")</f>
        <v>0</v>
      </c>
      <c r="E150" s="8">
        <f>COUNTIFS('Datos Primaria'!$E:$E,E$122,'Datos Primaria'!$J:$J,"&gt;=01/04/2025",'Datos Primaria'!$J:$J,"&lt;=30/04/2025")</f>
        <v>0</v>
      </c>
      <c r="F150" s="8">
        <f>COUNTIFS('Datos Primaria'!$E:$E,F$122,'Datos Primaria'!$J:$J,"&gt;=01/04/2025",'Datos Primaria'!$J:$J,"&lt;=30/04/2025")</f>
        <v>1</v>
      </c>
      <c r="G150" s="8">
        <f>COUNTIFS('Datos Primaria'!$E:$E,G$122,'Datos Primaria'!$J:$J,"&gt;=01/04/2025",'Datos Primaria'!$J:$J,"&lt;=30/04/2025")</f>
        <v>1</v>
      </c>
      <c r="H150" s="8">
        <f t="shared" si="30"/>
        <v>3</v>
      </c>
      <c r="J150" s="251"/>
      <c r="K150" s="23" t="s">
        <v>38</v>
      </c>
      <c r="L150" s="34">
        <f>SUM(C$147:C150)</f>
        <v>1</v>
      </c>
      <c r="M150" s="34">
        <f>SUM(D$147:D150)</f>
        <v>2</v>
      </c>
      <c r="N150" s="34">
        <f>SUM(E$147:E150)</f>
        <v>5</v>
      </c>
      <c r="O150" s="34">
        <f>SUM(F$147:F150)</f>
        <v>2</v>
      </c>
      <c r="P150" s="34">
        <f>SUM(G$147:G150)</f>
        <v>5</v>
      </c>
      <c r="Q150" s="8">
        <f t="shared" si="31"/>
        <v>15</v>
      </c>
      <c r="S150" s="251"/>
      <c r="T150" s="23" t="s">
        <v>38</v>
      </c>
      <c r="U150" s="34">
        <f>SUM(C$123:C150)</f>
        <v>5</v>
      </c>
      <c r="V150" s="34">
        <f>SUM(D$123:D150)</f>
        <v>8</v>
      </c>
      <c r="W150" s="34">
        <f>SUM(E$123:E150)</f>
        <v>11</v>
      </c>
      <c r="X150" s="34">
        <f>SUM(F$123:F150)</f>
        <v>7</v>
      </c>
      <c r="Y150" s="34">
        <f>SUM(G$123:G150)</f>
        <v>15</v>
      </c>
      <c r="Z150" s="8">
        <f t="shared" si="32"/>
        <v>46</v>
      </c>
    </row>
    <row r="151" spans="1:26">
      <c r="A151" s="251"/>
      <c r="B151" s="23" t="s">
        <v>47</v>
      </c>
      <c r="C151" s="8">
        <f>COUNTIFS('Datos Primaria'!$E:$E,C$122,'Datos Primaria'!$J:$J,"&gt;=01/05/2025",'Datos Primaria'!$J:$J,"&lt;=31/05/2025")</f>
        <v>1</v>
      </c>
      <c r="D151" s="8">
        <f>COUNTIFS('Datos Primaria'!$E:$E,D$122,'Datos Primaria'!$J:$J,"&gt;=01/05/2025",'Datos Primaria'!$J:$J,"&lt;=31/05/2025")</f>
        <v>1</v>
      </c>
      <c r="E151" s="8">
        <f>COUNTIFS('Datos Primaria'!$E:$E,E$122,'Datos Primaria'!$J:$J,"&gt;=01/05/2025",'Datos Primaria'!$J:$J,"&lt;=31/05/2025")</f>
        <v>0</v>
      </c>
      <c r="F151" s="8">
        <f>COUNTIFS('Datos Primaria'!$E:$E,F$122,'Datos Primaria'!$J:$J,"&gt;=01/05/2025",'Datos Primaria'!$J:$J,"&lt;=31/05/2025")</f>
        <v>0</v>
      </c>
      <c r="G151" s="8">
        <f>COUNTIFS('Datos Primaria'!$E:$E,G$122,'Datos Primaria'!$J:$J,"&gt;=01/05/2025",'Datos Primaria'!$J:$J,"&lt;=31/05/2025")</f>
        <v>0</v>
      </c>
      <c r="H151" s="8">
        <f t="shared" si="30"/>
        <v>2</v>
      </c>
      <c r="J151" s="251"/>
      <c r="K151" s="23" t="s">
        <v>47</v>
      </c>
      <c r="L151" s="34">
        <f>SUM(C$147:C151)</f>
        <v>2</v>
      </c>
      <c r="M151" s="34">
        <f>SUM(D$147:D151)</f>
        <v>3</v>
      </c>
      <c r="N151" s="34">
        <f>SUM(E$147:E151)</f>
        <v>5</v>
      </c>
      <c r="O151" s="34">
        <f>SUM(F$147:F151)</f>
        <v>2</v>
      </c>
      <c r="P151" s="34">
        <f>SUM(G$147:G151)</f>
        <v>5</v>
      </c>
      <c r="Q151" s="8">
        <f t="shared" si="31"/>
        <v>17</v>
      </c>
      <c r="S151" s="251"/>
      <c r="T151" s="23" t="s">
        <v>47</v>
      </c>
      <c r="U151" s="34">
        <f>SUM(C$123:C151)</f>
        <v>6</v>
      </c>
      <c r="V151" s="34">
        <f>SUM(D$123:D151)</f>
        <v>9</v>
      </c>
      <c r="W151" s="34">
        <f>SUM(E$123:E151)</f>
        <v>11</v>
      </c>
      <c r="X151" s="34">
        <f>SUM(F$123:F151)</f>
        <v>7</v>
      </c>
      <c r="Y151" s="34">
        <f>SUM(G$123:G151)</f>
        <v>15</v>
      </c>
      <c r="Z151" s="8">
        <f t="shared" si="32"/>
        <v>48</v>
      </c>
    </row>
    <row r="152" spans="1:26">
      <c r="A152" s="251"/>
      <c r="B152" s="23" t="s">
        <v>57</v>
      </c>
      <c r="C152" s="8">
        <f>COUNTIFS('Datos Primaria'!$E:$E,C$122,'Datos Primaria'!$J:$J,"&gt;=01/06/2025",'Datos Primaria'!$J:$J,"&lt;=30/06/2025")</f>
        <v>1</v>
      </c>
      <c r="D152" s="8">
        <f>COUNTIFS('Datos Primaria'!$E:$E,D$122,'Datos Primaria'!$J:$J,"&gt;=01/06/2025",'Datos Primaria'!$J:$J,"&lt;=30/06/2025")</f>
        <v>0</v>
      </c>
      <c r="E152" s="8">
        <f>COUNTIFS('Datos Primaria'!$E:$E,E$122,'Datos Primaria'!$J:$J,"&gt;=01/06/2025",'Datos Primaria'!$J:$J,"&lt;=30/06/2025")</f>
        <v>0</v>
      </c>
      <c r="F152" s="8">
        <f>COUNTIFS('Datos Primaria'!$E:$E,F$122,'Datos Primaria'!$J:$J,"&gt;=01/06/2025",'Datos Primaria'!$J:$J,"&lt;=30/06/2025")</f>
        <v>0</v>
      </c>
      <c r="G152" s="8">
        <f>COUNTIFS('Datos Primaria'!$E:$E,G$122,'Datos Primaria'!$J:$J,"&gt;=01/06/2025",'Datos Primaria'!$J:$J,"&lt;=30/06/2025")</f>
        <v>0</v>
      </c>
      <c r="H152" s="8">
        <f t="shared" si="30"/>
        <v>1</v>
      </c>
      <c r="J152" s="251"/>
      <c r="K152" s="23" t="s">
        <v>57</v>
      </c>
      <c r="L152" s="34">
        <f>SUM(C$147:C152)</f>
        <v>3</v>
      </c>
      <c r="M152" s="34">
        <f>SUM(D$147:D152)</f>
        <v>3</v>
      </c>
      <c r="N152" s="34">
        <f>SUM(E$147:E152)</f>
        <v>5</v>
      </c>
      <c r="O152" s="34">
        <f>SUM(F$147:F152)</f>
        <v>2</v>
      </c>
      <c r="P152" s="34">
        <f>SUM(G$147:G152)</f>
        <v>5</v>
      </c>
      <c r="Q152" s="8">
        <f t="shared" si="31"/>
        <v>18</v>
      </c>
      <c r="S152" s="251"/>
      <c r="T152" s="23" t="s">
        <v>57</v>
      </c>
      <c r="U152" s="34">
        <f>SUM(C$123:C152)</f>
        <v>7</v>
      </c>
      <c r="V152" s="34">
        <f>SUM(D$123:D152)</f>
        <v>9</v>
      </c>
      <c r="W152" s="34">
        <f>SUM(E$123:E152)</f>
        <v>11</v>
      </c>
      <c r="X152" s="34">
        <f>SUM(F$123:F152)</f>
        <v>7</v>
      </c>
      <c r="Y152" s="34">
        <f>SUM(G$123:G152)</f>
        <v>15</v>
      </c>
      <c r="Z152" s="8">
        <f t="shared" si="32"/>
        <v>49</v>
      </c>
    </row>
    <row r="153" spans="1:26">
      <c r="A153" s="251"/>
      <c r="B153" s="23" t="s">
        <v>62</v>
      </c>
      <c r="C153" s="8">
        <f>COUNTIFS('Datos Primaria'!$E:$E,C$122,'Datos Primaria'!$J:$J,"&gt;=01/07/2025",'Datos Primaria'!$J:$J,"&lt;=31/07/2025")</f>
        <v>1</v>
      </c>
      <c r="D153" s="8">
        <f>COUNTIFS('Datos Primaria'!$E:$E,D$122,'Datos Primaria'!$J:$J,"&gt;=01/07/2025",'Datos Primaria'!$J:$J,"&lt;=31/07/2025")</f>
        <v>0</v>
      </c>
      <c r="E153" s="8">
        <f>COUNTIFS('Datos Primaria'!$E:$E,E$122,'Datos Primaria'!$J:$J,"&gt;=01/07/2025",'Datos Primaria'!$J:$J,"&lt;=31/07/2025")</f>
        <v>1</v>
      </c>
      <c r="F153" s="8">
        <f>COUNTIFS('Datos Primaria'!$E:$E,F$122,'Datos Primaria'!$J:$J,"&gt;=01/07/2025",'Datos Primaria'!$J:$J,"&lt;=31/07/2025")</f>
        <v>0</v>
      </c>
      <c r="G153" s="8">
        <f>COUNTIFS('Datos Primaria'!$E:$E,G$122,'Datos Primaria'!$J:$J,"&gt;=01/07/2025",'Datos Primaria'!$J:$J,"&lt;=31/07/2025")</f>
        <v>0</v>
      </c>
      <c r="H153" s="8">
        <f t="shared" si="30"/>
        <v>2</v>
      </c>
      <c r="J153" s="251"/>
      <c r="K153" s="23" t="s">
        <v>62</v>
      </c>
      <c r="L153" s="34">
        <f>SUM(C$147:C153)</f>
        <v>4</v>
      </c>
      <c r="M153" s="34">
        <f>SUM(D$147:D153)</f>
        <v>3</v>
      </c>
      <c r="N153" s="34">
        <f>SUM(E$147:E153)</f>
        <v>6</v>
      </c>
      <c r="O153" s="34">
        <f>SUM(F$147:F153)</f>
        <v>2</v>
      </c>
      <c r="P153" s="34">
        <f>SUM(G$147:G153)</f>
        <v>5</v>
      </c>
      <c r="Q153" s="8">
        <f t="shared" si="31"/>
        <v>20</v>
      </c>
      <c r="S153" s="251"/>
      <c r="T153" s="23" t="s">
        <v>62</v>
      </c>
      <c r="U153" s="34">
        <f>SUM(C$123:C153)</f>
        <v>8</v>
      </c>
      <c r="V153" s="34">
        <f>SUM(D$123:D153)</f>
        <v>9</v>
      </c>
      <c r="W153" s="34">
        <f>SUM(E$123:E153)</f>
        <v>12</v>
      </c>
      <c r="X153" s="34">
        <f>SUM(F$123:F153)</f>
        <v>7</v>
      </c>
      <c r="Y153" s="34">
        <f>SUM(G$123:G153)</f>
        <v>15</v>
      </c>
      <c r="Z153" s="8">
        <f t="shared" si="32"/>
        <v>51</v>
      </c>
    </row>
    <row r="154" spans="1:26">
      <c r="A154" s="251"/>
      <c r="B154" s="23" t="s">
        <v>68</v>
      </c>
      <c r="C154" s="8">
        <f>COUNTIFS('Datos Primaria'!$E:$E,C$122,'Datos Primaria'!$J:$J,"&gt;=01/08/2025",'Datos Primaria'!$J:$J,"&lt;=31/08/2025")</f>
        <v>1</v>
      </c>
      <c r="D154" s="8">
        <f>COUNTIFS('Datos Primaria'!$E:$E,D$122,'Datos Primaria'!$J:$J,"&gt;=01/08/2025",'Datos Primaria'!$J:$J,"&lt;=31/08/2025")</f>
        <v>0</v>
      </c>
      <c r="E154" s="8">
        <f>COUNTIFS('Datos Primaria'!$E:$E,E$122,'Datos Primaria'!$J:$J,"&gt;=01/08/2025",'Datos Primaria'!$J:$J,"&lt;=31/08/2025")</f>
        <v>1</v>
      </c>
      <c r="F154" s="8">
        <f>COUNTIFS('Datos Primaria'!$E:$E,F$122,'Datos Primaria'!$J:$J,"&gt;=01/08/2025",'Datos Primaria'!$J:$J,"&lt;=31/08/2025")</f>
        <v>1</v>
      </c>
      <c r="G154" s="8">
        <f>COUNTIFS('Datos Primaria'!$E:$E,G$122,'Datos Primaria'!$J:$J,"&gt;=01/08/2025",'Datos Primaria'!$J:$J,"&lt;=31/08/2025")</f>
        <v>0</v>
      </c>
      <c r="H154" s="8">
        <f t="shared" si="30"/>
        <v>3</v>
      </c>
      <c r="J154" s="251"/>
      <c r="K154" s="23" t="s">
        <v>68</v>
      </c>
      <c r="L154" s="34">
        <f>SUM(C$147:C154)</f>
        <v>5</v>
      </c>
      <c r="M154" s="34">
        <f>SUM(D$147:D154)</f>
        <v>3</v>
      </c>
      <c r="N154" s="34">
        <f>SUM(E$147:E154)</f>
        <v>7</v>
      </c>
      <c r="O154" s="34">
        <f>SUM(F$147:F154)</f>
        <v>3</v>
      </c>
      <c r="P154" s="34">
        <f>SUM(G$147:G154)</f>
        <v>5</v>
      </c>
      <c r="Q154" s="8">
        <f t="shared" si="31"/>
        <v>23</v>
      </c>
      <c r="S154" s="251"/>
      <c r="T154" s="23" t="s">
        <v>68</v>
      </c>
      <c r="U154" s="34">
        <f>SUM(C$123:C154)</f>
        <v>9</v>
      </c>
      <c r="V154" s="34">
        <f>SUM(D$123:D154)</f>
        <v>9</v>
      </c>
      <c r="W154" s="34">
        <f>SUM(E$123:E154)</f>
        <v>13</v>
      </c>
      <c r="X154" s="34">
        <f>SUM(F$123:F154)</f>
        <v>8</v>
      </c>
      <c r="Y154" s="34">
        <f>SUM(G$123:G154)</f>
        <v>15</v>
      </c>
      <c r="Z154" s="8">
        <f t="shared" si="32"/>
        <v>54</v>
      </c>
    </row>
    <row r="155" spans="1:26">
      <c r="A155" s="251"/>
      <c r="B155" s="23" t="s">
        <v>77</v>
      </c>
      <c r="C155" s="8">
        <f>COUNTIFS('Datos Primaria'!$E:$E,C$122,'Datos Primaria'!$J:$J,"&gt;=01/09/2025",'Datos Primaria'!$J:$J,"&lt;=30/09/2025")</f>
        <v>1</v>
      </c>
      <c r="D155" s="8">
        <f>COUNTIFS('Datos Primaria'!$E:$E,D$122,'Datos Primaria'!$J:$J,"&gt;=01/09/2025",'Datos Primaria'!$J:$J,"&lt;=30/09/2025")</f>
        <v>0</v>
      </c>
      <c r="E155" s="8">
        <f>COUNTIFS('Datos Primaria'!$E:$E,E$122,'Datos Primaria'!$J:$J,"&gt;=01/09/2025",'Datos Primaria'!$J:$J,"&lt;=30/09/2025")</f>
        <v>0</v>
      </c>
      <c r="F155" s="8">
        <f>COUNTIFS('Datos Primaria'!$E:$E,F$122,'Datos Primaria'!$J:$J,"&gt;=01/09/2025",'Datos Primaria'!$J:$J,"&lt;=30/09/2025")</f>
        <v>0</v>
      </c>
      <c r="G155" s="8">
        <f>COUNTIFS('Datos Primaria'!$E:$E,G$122,'Datos Primaria'!$J:$J,"&gt;=01/09/2025",'Datos Primaria'!$J:$J,"&lt;=30/09/2025")</f>
        <v>0</v>
      </c>
      <c r="H155" s="8">
        <f t="shared" si="30"/>
        <v>1</v>
      </c>
      <c r="J155" s="251"/>
      <c r="K155" s="23" t="s">
        <v>77</v>
      </c>
      <c r="L155" s="34">
        <f>SUM(C$147:C155)</f>
        <v>6</v>
      </c>
      <c r="M155" s="34">
        <f>SUM(D$147:D155)</f>
        <v>3</v>
      </c>
      <c r="N155" s="34">
        <f>SUM(E$147:E155)</f>
        <v>7</v>
      </c>
      <c r="O155" s="34">
        <f>SUM(F$147:F155)</f>
        <v>3</v>
      </c>
      <c r="P155" s="34">
        <f>SUM(G$147:G155)</f>
        <v>5</v>
      </c>
      <c r="Q155" s="8">
        <f t="shared" si="31"/>
        <v>24</v>
      </c>
      <c r="S155" s="251"/>
      <c r="T155" s="23" t="s">
        <v>77</v>
      </c>
      <c r="U155" s="34">
        <f>SUM(C$123:C155)</f>
        <v>10</v>
      </c>
      <c r="V155" s="34">
        <f>SUM(D$123:D155)</f>
        <v>9</v>
      </c>
      <c r="W155" s="34">
        <f>SUM(E$123:E155)</f>
        <v>13</v>
      </c>
      <c r="X155" s="34">
        <f>SUM(F$123:F155)</f>
        <v>8</v>
      </c>
      <c r="Y155" s="34">
        <f>SUM(G$123:G155)</f>
        <v>15</v>
      </c>
      <c r="Z155" s="8">
        <f t="shared" si="32"/>
        <v>55</v>
      </c>
    </row>
    <row r="156" spans="1:26">
      <c r="A156" s="251"/>
      <c r="B156" s="23" t="s">
        <v>84</v>
      </c>
      <c r="C156" s="8">
        <f>COUNTIFS('Datos Primaria'!$E:$E,C$122,'Datos Primaria'!$J:$J,"&gt;=01/10/2025",'Datos Primaria'!$J:$J,"&lt;=31/10/2025")</f>
        <v>0</v>
      </c>
      <c r="D156" s="8">
        <f>COUNTIFS('Datos Primaria'!$E:$E,D$122,'Datos Primaria'!$J:$J,"&gt;=01/10/2025",'Datos Primaria'!$J:$J,"&lt;=31/10/2025")</f>
        <v>0</v>
      </c>
      <c r="E156" s="8">
        <f>COUNTIFS('Datos Primaria'!$E:$E,E$122,'Datos Primaria'!$J:$J,"&gt;=01/10/2025",'Datos Primaria'!$J:$J,"&lt;=31/10/2025")</f>
        <v>1</v>
      </c>
      <c r="F156" s="8">
        <f>COUNTIFS('Datos Primaria'!$E:$E,F$122,'Datos Primaria'!$J:$J,"&gt;=01/10/2025",'Datos Primaria'!$J:$J,"&lt;=31/10/2025")</f>
        <v>0</v>
      </c>
      <c r="G156" s="8">
        <f>COUNTIFS('Datos Primaria'!$E:$E,G$122,'Datos Primaria'!$J:$J,"&gt;=01/10/2025",'Datos Primaria'!$J:$J,"&lt;=31/10/2025")</f>
        <v>0</v>
      </c>
      <c r="H156" s="8">
        <f t="shared" si="30"/>
        <v>1</v>
      </c>
      <c r="J156" s="251"/>
      <c r="K156" s="23" t="s">
        <v>84</v>
      </c>
      <c r="L156" s="34">
        <f>SUM(C$147:C156)</f>
        <v>6</v>
      </c>
      <c r="M156" s="34">
        <f>SUM(D$147:D156)</f>
        <v>3</v>
      </c>
      <c r="N156" s="34">
        <f>SUM(E$147:E156)</f>
        <v>8</v>
      </c>
      <c r="O156" s="34">
        <f>SUM(F$147:F156)</f>
        <v>3</v>
      </c>
      <c r="P156" s="34">
        <f>SUM(G$147:G156)</f>
        <v>5</v>
      </c>
      <c r="Q156" s="8">
        <f t="shared" si="31"/>
        <v>25</v>
      </c>
      <c r="S156" s="251"/>
      <c r="T156" s="23" t="s">
        <v>84</v>
      </c>
      <c r="U156" s="34">
        <f>SUM(C$123:C156)</f>
        <v>10</v>
      </c>
      <c r="V156" s="34">
        <f>SUM(D$123:D156)</f>
        <v>9</v>
      </c>
      <c r="W156" s="34">
        <f>SUM(E$123:E156)</f>
        <v>14</v>
      </c>
      <c r="X156" s="34">
        <f>SUM(F$123:F156)</f>
        <v>8</v>
      </c>
      <c r="Y156" s="34">
        <f>SUM(G$123:G156)</f>
        <v>15</v>
      </c>
      <c r="Z156" s="8">
        <f t="shared" si="32"/>
        <v>56</v>
      </c>
    </row>
    <row r="157" spans="1:26">
      <c r="A157" s="251"/>
      <c r="B157" s="23" t="s">
        <v>87</v>
      </c>
      <c r="C157" s="8">
        <f>COUNTIFS('Datos Primaria'!$E:$E,C$122,'Datos Primaria'!$J:$J,"&gt;=01/11/2025",'Datos Primaria'!$J:$J,"&lt;=30/11/2025")</f>
        <v>0</v>
      </c>
      <c r="D157" s="8">
        <f>COUNTIFS('Datos Primaria'!$E:$E,D$122,'Datos Primaria'!$J:$J,"&gt;=01/11/2025",'Datos Primaria'!$J:$J,"&lt;=30/11/2025")</f>
        <v>0</v>
      </c>
      <c r="E157" s="8">
        <f>COUNTIFS('Datos Primaria'!$E:$E,E$122,'Datos Primaria'!$J:$J,"&gt;=01/11/2025",'Datos Primaria'!$J:$J,"&lt;=30/11/2025")</f>
        <v>0</v>
      </c>
      <c r="F157" s="8">
        <f>COUNTIFS('Datos Primaria'!$E:$E,F$122,'Datos Primaria'!$J:$J,"&gt;=01/11/2025",'Datos Primaria'!$J:$J,"&lt;=30/11/2025")</f>
        <v>0</v>
      </c>
      <c r="G157" s="8">
        <f>COUNTIFS('Datos Primaria'!$E:$E,G$122,'Datos Primaria'!$J:$J,"&gt;=01/11/2025",'Datos Primaria'!$J:$J,"&lt;=30/11/2025")</f>
        <v>0</v>
      </c>
      <c r="H157" s="8">
        <f t="shared" si="30"/>
        <v>0</v>
      </c>
      <c r="J157" s="251"/>
      <c r="K157" s="23" t="s">
        <v>87</v>
      </c>
      <c r="L157" s="34">
        <f>SUM(C$147:C157)</f>
        <v>6</v>
      </c>
      <c r="M157" s="34">
        <f>SUM(D$147:D157)</f>
        <v>3</v>
      </c>
      <c r="N157" s="34">
        <f>SUM(E$147:E157)</f>
        <v>8</v>
      </c>
      <c r="O157" s="34">
        <f>SUM(F$147:F157)</f>
        <v>3</v>
      </c>
      <c r="P157" s="34">
        <f>SUM(G$147:G157)</f>
        <v>5</v>
      </c>
      <c r="Q157" s="8">
        <f t="shared" si="31"/>
        <v>25</v>
      </c>
      <c r="S157" s="251"/>
      <c r="T157" s="23" t="s">
        <v>87</v>
      </c>
      <c r="U157" s="34">
        <f>SUM(C$123:C157)</f>
        <v>10</v>
      </c>
      <c r="V157" s="34">
        <f>SUM(D$123:D157)</f>
        <v>9</v>
      </c>
      <c r="W157" s="34">
        <f>SUM(E$123:E157)</f>
        <v>14</v>
      </c>
      <c r="X157" s="34">
        <f>SUM(F$123:F157)</f>
        <v>8</v>
      </c>
      <c r="Y157" s="34">
        <f>SUM(G$123:G157)</f>
        <v>15</v>
      </c>
      <c r="Z157" s="8">
        <f t="shared" si="32"/>
        <v>56</v>
      </c>
    </row>
    <row r="158" spans="1:26">
      <c r="A158" s="251"/>
      <c r="B158" s="23" t="s">
        <v>173</v>
      </c>
      <c r="C158" s="8">
        <f>COUNTIFS('Datos Primaria'!$E:$E,C$122,'Datos Primaria'!$J:$J,"&gt;=01/12/2025",'Datos Primaria'!$J:$J,"&lt;=31/12/2025")</f>
        <v>0</v>
      </c>
      <c r="D158" s="8">
        <f>COUNTIFS('Datos Primaria'!$E:$E,D$122,'Datos Primaria'!$J:$J,"&gt;=01/12/2025",'Datos Primaria'!$J:$J,"&lt;=31/12/2025")</f>
        <v>0</v>
      </c>
      <c r="E158" s="8">
        <f>COUNTIFS('Datos Primaria'!$E:$E,E$122,'Datos Primaria'!$J:$J,"&gt;=01/12/2025",'Datos Primaria'!$J:$J,"&lt;=31/12/2025")</f>
        <v>0</v>
      </c>
      <c r="F158" s="8">
        <f>COUNTIFS('Datos Primaria'!$E:$E,F$122,'Datos Primaria'!$J:$J,"&gt;=01/12/2025",'Datos Primaria'!$J:$J,"&lt;=31/12/2025")</f>
        <v>0</v>
      </c>
      <c r="G158" s="8">
        <f>COUNTIFS('Datos Primaria'!$E:$E,G$122,'Datos Primaria'!$J:$J,"&gt;=01/12/2025",'Datos Primaria'!$J:$J,"&lt;=31/12/2025")</f>
        <v>0</v>
      </c>
      <c r="H158" s="8">
        <f t="shared" si="30"/>
        <v>0</v>
      </c>
      <c r="J158" s="251"/>
      <c r="K158" s="23" t="s">
        <v>173</v>
      </c>
      <c r="L158" s="34">
        <f>SUM(C$147:C158)</f>
        <v>6</v>
      </c>
      <c r="M158" s="34">
        <f>SUM(D$147:D158)</f>
        <v>3</v>
      </c>
      <c r="N158" s="34">
        <f>SUM(E$147:E158)</f>
        <v>8</v>
      </c>
      <c r="O158" s="34">
        <f>SUM(F$147:F158)</f>
        <v>3</v>
      </c>
      <c r="P158" s="34">
        <f>SUM(G$147:G158)</f>
        <v>5</v>
      </c>
      <c r="Q158" s="8">
        <f t="shared" si="31"/>
        <v>25</v>
      </c>
      <c r="S158" s="251"/>
      <c r="T158" s="23" t="s">
        <v>173</v>
      </c>
      <c r="U158" s="34">
        <f>SUM(C$123:C158)</f>
        <v>10</v>
      </c>
      <c r="V158" s="34">
        <f>SUM(D$123:D158)</f>
        <v>9</v>
      </c>
      <c r="W158" s="34">
        <f>SUM(E$123:E158)</f>
        <v>14</v>
      </c>
      <c r="X158" s="34">
        <f>SUM(F$123:F158)</f>
        <v>8</v>
      </c>
      <c r="Y158" s="34">
        <f>SUM(G$123:G158)</f>
        <v>15</v>
      </c>
      <c r="Z158" s="8">
        <f t="shared" si="32"/>
        <v>56</v>
      </c>
    </row>
  </sheetData>
  <mergeCells count="48">
    <mergeCell ref="A147:A158"/>
    <mergeCell ref="J147:J158"/>
    <mergeCell ref="S147:S158"/>
    <mergeCell ref="S27:S38"/>
    <mergeCell ref="A67:A78"/>
    <mergeCell ref="J67:J78"/>
    <mergeCell ref="S67:S78"/>
    <mergeCell ref="A107:A118"/>
    <mergeCell ref="J107:J118"/>
    <mergeCell ref="S107:S118"/>
    <mergeCell ref="J123:J134"/>
    <mergeCell ref="J135:J146"/>
    <mergeCell ref="S43:S54"/>
    <mergeCell ref="S123:S134"/>
    <mergeCell ref="S135:S146"/>
    <mergeCell ref="S55:S66"/>
    <mergeCell ref="T1:Z1"/>
    <mergeCell ref="S3:S14"/>
    <mergeCell ref="S15:S26"/>
    <mergeCell ref="T41:V41"/>
    <mergeCell ref="K1:Q1"/>
    <mergeCell ref="K41:M41"/>
    <mergeCell ref="T81:Z81"/>
    <mergeCell ref="S83:S94"/>
    <mergeCell ref="S95:S106"/>
    <mergeCell ref="T121:Z121"/>
    <mergeCell ref="J55:J66"/>
    <mergeCell ref="K81:Q81"/>
    <mergeCell ref="J83:J94"/>
    <mergeCell ref="J95:J106"/>
    <mergeCell ref="K121:Q121"/>
    <mergeCell ref="J43:J54"/>
    <mergeCell ref="J27:J38"/>
    <mergeCell ref="B1:H1"/>
    <mergeCell ref="B81:H81"/>
    <mergeCell ref="A95:A106"/>
    <mergeCell ref="A3:A14"/>
    <mergeCell ref="J3:J14"/>
    <mergeCell ref="J15:J26"/>
    <mergeCell ref="A123:A134"/>
    <mergeCell ref="A135:A146"/>
    <mergeCell ref="B121:H121"/>
    <mergeCell ref="B41:D41"/>
    <mergeCell ref="A15:A26"/>
    <mergeCell ref="A43:A54"/>
    <mergeCell ref="A55:A66"/>
    <mergeCell ref="A83:A94"/>
    <mergeCell ref="A27:A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F980-5666-4374-9A95-168EC8F5D2B5}">
  <dimension ref="A1:AF158"/>
  <sheetViews>
    <sheetView showGridLines="0" topLeftCell="A139" workbookViewId="0">
      <selection activeCell="T169" sqref="T169"/>
    </sheetView>
  </sheetViews>
  <sheetFormatPr defaultColWidth="11.42578125" defaultRowHeight="14.45"/>
  <cols>
    <col min="1" max="1" width="4.5703125" customWidth="1"/>
    <col min="2" max="2" width="11.5703125" customWidth="1"/>
    <col min="3" max="9" width="6.5703125" customWidth="1"/>
    <col min="10" max="10" width="5.5703125" customWidth="1"/>
    <col min="11" max="11" width="4.5703125" customWidth="1"/>
    <col min="12" max="12" width="11.5703125" customWidth="1"/>
    <col min="13" max="19" width="6.5703125" customWidth="1"/>
    <col min="20" max="20" width="5.5703125" customWidth="1"/>
    <col min="21" max="21" width="4.5703125" customWidth="1"/>
    <col min="22" max="22" width="11.5703125" customWidth="1"/>
    <col min="23" max="29" width="6.5703125" customWidth="1"/>
  </cols>
  <sheetData>
    <row r="1" spans="1:31">
      <c r="A1" s="31"/>
      <c r="B1" s="258" t="s">
        <v>1418</v>
      </c>
      <c r="C1" s="259"/>
      <c r="D1" s="259"/>
      <c r="E1" s="259"/>
      <c r="F1" s="259"/>
      <c r="G1" s="259"/>
      <c r="H1" s="259"/>
      <c r="I1" s="259"/>
      <c r="K1" s="31"/>
      <c r="L1" s="258" t="s">
        <v>1419</v>
      </c>
      <c r="M1" s="259"/>
      <c r="N1" s="259"/>
      <c r="O1" s="259"/>
      <c r="P1" s="259"/>
      <c r="Q1" s="259"/>
      <c r="R1" s="259"/>
      <c r="S1" s="259"/>
      <c r="U1" s="31"/>
      <c r="V1" s="258" t="s">
        <v>1420</v>
      </c>
      <c r="W1" s="259"/>
      <c r="X1" s="259"/>
      <c r="Y1" s="259"/>
      <c r="Z1" s="259"/>
      <c r="AA1" s="259"/>
      <c r="AB1" s="259"/>
      <c r="AC1" s="259"/>
    </row>
    <row r="2" spans="1:31">
      <c r="A2" s="31"/>
      <c r="B2" s="22" t="s">
        <v>1421</v>
      </c>
      <c r="C2" s="22" t="s">
        <v>760</v>
      </c>
      <c r="D2" s="22" t="s">
        <v>763</v>
      </c>
      <c r="E2" s="22" t="s">
        <v>753</v>
      </c>
      <c r="F2" s="22" t="s">
        <v>757</v>
      </c>
      <c r="G2" s="22" t="s">
        <v>771</v>
      </c>
      <c r="H2" s="22" t="s">
        <v>755</v>
      </c>
      <c r="I2" s="22" t="s">
        <v>1422</v>
      </c>
      <c r="K2" s="31"/>
      <c r="L2" s="22" t="s">
        <v>1421</v>
      </c>
      <c r="M2" s="22" t="s">
        <v>760</v>
      </c>
      <c r="N2" s="22" t="s">
        <v>763</v>
      </c>
      <c r="O2" s="22" t="s">
        <v>753</v>
      </c>
      <c r="P2" s="22" t="s">
        <v>757</v>
      </c>
      <c r="Q2" s="22" t="s">
        <v>771</v>
      </c>
      <c r="R2" s="22" t="s">
        <v>755</v>
      </c>
      <c r="S2" s="22" t="s">
        <v>1422</v>
      </c>
      <c r="U2" s="31"/>
      <c r="V2" s="22" t="s">
        <v>1421</v>
      </c>
      <c r="W2" s="22" t="s">
        <v>760</v>
      </c>
      <c r="X2" s="22" t="s">
        <v>763</v>
      </c>
      <c r="Y2" s="22" t="s">
        <v>753</v>
      </c>
      <c r="Z2" s="22" t="s">
        <v>757</v>
      </c>
      <c r="AA2" s="22" t="s">
        <v>771</v>
      </c>
      <c r="AB2" s="22" t="s">
        <v>755</v>
      </c>
      <c r="AC2" s="22" t="s">
        <v>1422</v>
      </c>
    </row>
    <row r="3" spans="1:31">
      <c r="A3" s="251">
        <v>2023</v>
      </c>
      <c r="B3" s="23" t="s">
        <v>13</v>
      </c>
      <c r="C3" s="8">
        <f>COUNTIFS('Datos Bachillerato'!$E:$E,C$2,'Datos Bachillerato'!$C:$C,"&gt;=01/01/2023",'Datos Bachillerato'!$C:$C,"&lt;=31/01/2023")</f>
        <v>3</v>
      </c>
      <c r="D3" s="8">
        <f>COUNTIFS('Datos Bachillerato'!$E:$E,D$2,'Datos Bachillerato'!$C:$C,"&gt;=01/01/2023",'Datos Bachillerato'!$C:$C,"&lt;=31/01/2023")</f>
        <v>4</v>
      </c>
      <c r="E3" s="8">
        <f>COUNTIFS('Datos Bachillerato'!$E:$E,E$2,'Datos Bachillerato'!$C:$C,"&gt;=01/01/2023",'Datos Bachillerato'!$C:$C,"&lt;=31/01/2023")</f>
        <v>4</v>
      </c>
      <c r="F3" s="8">
        <f>COUNTIFS('Datos Bachillerato'!$E:$E,F$2,'Datos Bachillerato'!$C:$C,"&gt;=01/01/2023",'Datos Bachillerato'!$C:$C,"&lt;=31/01/2023")</f>
        <v>2</v>
      </c>
      <c r="G3" s="8">
        <f>COUNTIFS('Datos Bachillerato'!$E:$E,G$2,'Datos Bachillerato'!$C:$C,"&gt;=01/01/2023",'Datos Bachillerato'!$C:$C,"&lt;=31/01/2023")</f>
        <v>2</v>
      </c>
      <c r="H3" s="8">
        <f>COUNTIFS('Datos Bachillerato'!$E:$E,H$2,'Datos Bachillerato'!$C:$C,"&gt;=01/01/2023",'Datos Bachillerato'!$C:$C,"&lt;=31/01/2023")</f>
        <v>3</v>
      </c>
      <c r="I3" s="8">
        <f>SUM(C3:H3)</f>
        <v>18</v>
      </c>
      <c r="K3" s="251">
        <f>A3</f>
        <v>2023</v>
      </c>
      <c r="L3" s="23" t="s">
        <v>13</v>
      </c>
      <c r="M3" s="34">
        <f>SUM(C$3:C3)</f>
        <v>3</v>
      </c>
      <c r="N3" s="34">
        <f>SUM(D$3:D3)</f>
        <v>4</v>
      </c>
      <c r="O3" s="34">
        <f>SUM(E$3:E3)</f>
        <v>4</v>
      </c>
      <c r="P3" s="34">
        <f>SUM(F$3:F3)</f>
        <v>2</v>
      </c>
      <c r="Q3" s="34">
        <f>SUM(G$3:G3)</f>
        <v>2</v>
      </c>
      <c r="R3" s="34">
        <f>SUM(H$3:H3)</f>
        <v>3</v>
      </c>
      <c r="S3" s="8">
        <f>SUM(M3:R3)</f>
        <v>18</v>
      </c>
      <c r="U3" s="251">
        <f>A3</f>
        <v>2023</v>
      </c>
      <c r="V3" s="23" t="s">
        <v>13</v>
      </c>
      <c r="W3" s="34">
        <f>SUM(C$3:C3)</f>
        <v>3</v>
      </c>
      <c r="X3" s="34">
        <f>SUM(D$3:D3)</f>
        <v>4</v>
      </c>
      <c r="Y3" s="34">
        <f>SUM(E$3:E3)</f>
        <v>4</v>
      </c>
      <c r="Z3" s="34">
        <f>SUM(F$3:F3)</f>
        <v>2</v>
      </c>
      <c r="AA3" s="34">
        <f>SUM(G$3:G3)</f>
        <v>2</v>
      </c>
      <c r="AB3" s="34">
        <f>SUM(H$3:H3)</f>
        <v>3</v>
      </c>
      <c r="AC3" s="8">
        <f>SUM(W3:AB3)</f>
        <v>18</v>
      </c>
      <c r="AD3" s="64" t="e">
        <f t="shared" ref="AD3:AD38" si="0">AC3/AC123</f>
        <v>#DIV/0!</v>
      </c>
      <c r="AE3" s="64">
        <f t="shared" ref="AE3:AE38" si="1">AC3/AF123</f>
        <v>1.125</v>
      </c>
    </row>
    <row r="4" spans="1:31">
      <c r="A4" s="251"/>
      <c r="B4" s="23" t="s">
        <v>24</v>
      </c>
      <c r="C4" s="8">
        <f>COUNTIFS('Datos Bachillerato'!$E:$E,C$2,'Datos Bachillerato'!$C:$C,"&gt;=01/02/2023",'Datos Bachillerato'!$C:$C,"&lt;=28/02/2023")</f>
        <v>5</v>
      </c>
      <c r="D4" s="8">
        <f>COUNTIFS('Datos Bachillerato'!$E:$E,D$2,'Datos Bachillerato'!$C:$C,"&gt;=01/02/2023",'Datos Bachillerato'!$C:$C,"&lt;=28/02/2023")</f>
        <v>1</v>
      </c>
      <c r="E4" s="8">
        <f>COUNTIFS('Datos Bachillerato'!$E:$E,E$2,'Datos Bachillerato'!$C:$C,"&gt;=01/02/2023",'Datos Bachillerato'!$C:$C,"&lt;=28/02/2023")</f>
        <v>4</v>
      </c>
      <c r="F4" s="8">
        <f>COUNTIFS('Datos Bachillerato'!$E:$E,F$2,'Datos Bachillerato'!$C:$C,"&gt;=01/02/2023",'Datos Bachillerato'!$C:$C,"&lt;=28/02/2023")</f>
        <v>1</v>
      </c>
      <c r="G4" s="8">
        <f>COUNTIFS('Datos Bachillerato'!$E:$E,G$2,'Datos Bachillerato'!$C:$C,"&gt;=01/02/2023",'Datos Bachillerato'!$C:$C,"&lt;=28/02/2023")</f>
        <v>5</v>
      </c>
      <c r="H4" s="8">
        <f>COUNTIFS('Datos Bachillerato'!$E:$E,H$2,'Datos Bachillerato'!$C:$C,"&gt;=01/02/2023",'Datos Bachillerato'!$C:$C,"&lt;=28/02/2023")</f>
        <v>0</v>
      </c>
      <c r="I4" s="8">
        <f t="shared" ref="I4:I14" si="2">SUM(C4:H4)</f>
        <v>16</v>
      </c>
      <c r="K4" s="251"/>
      <c r="L4" s="23" t="s">
        <v>24</v>
      </c>
      <c r="M4" s="34">
        <f>SUM(C$3:C4)</f>
        <v>8</v>
      </c>
      <c r="N4" s="34">
        <f>SUM(D$3:D4)</f>
        <v>5</v>
      </c>
      <c r="O4" s="34">
        <f>SUM(E$3:E4)</f>
        <v>8</v>
      </c>
      <c r="P4" s="34">
        <f>SUM(F$3:F4)</f>
        <v>3</v>
      </c>
      <c r="Q4" s="34">
        <f>SUM(G$3:G4)</f>
        <v>7</v>
      </c>
      <c r="R4" s="34">
        <f>SUM(H$3:H4)</f>
        <v>3</v>
      </c>
      <c r="S4" s="8">
        <f t="shared" ref="S4:S14" si="3">SUM(M4:R4)</f>
        <v>34</v>
      </c>
      <c r="U4" s="251"/>
      <c r="V4" s="23" t="s">
        <v>24</v>
      </c>
      <c r="W4" s="34">
        <f>SUM(C$3:C4)</f>
        <v>8</v>
      </c>
      <c r="X4" s="34">
        <f>SUM(D$3:D4)</f>
        <v>5</v>
      </c>
      <c r="Y4" s="34">
        <f>SUM(E$3:E4)</f>
        <v>8</v>
      </c>
      <c r="Z4" s="34">
        <f>SUM(F$3:F4)</f>
        <v>3</v>
      </c>
      <c r="AA4" s="34">
        <f>SUM(G$3:G4)</f>
        <v>7</v>
      </c>
      <c r="AB4" s="34">
        <f>SUM(H$3:H4)</f>
        <v>3</v>
      </c>
      <c r="AC4" s="8">
        <f t="shared" ref="AC4:AC14" si="4">SUM(W4:AB4)</f>
        <v>34</v>
      </c>
      <c r="AD4" s="64">
        <f t="shared" si="0"/>
        <v>11.333333333333334</v>
      </c>
      <c r="AE4" s="64">
        <f t="shared" si="1"/>
        <v>1.5454545454545454</v>
      </c>
    </row>
    <row r="5" spans="1:31">
      <c r="A5" s="251"/>
      <c r="B5" s="23" t="s">
        <v>34</v>
      </c>
      <c r="C5" s="8">
        <f>COUNTIFS('Datos Bachillerato'!$E:$E,C$2,'Datos Bachillerato'!$C:$C,"&gt;=01/03/2023",'Datos Bachillerato'!$C:$C,"&lt;=31/03/2023")</f>
        <v>2</v>
      </c>
      <c r="D5" s="8">
        <f>COUNTIFS('Datos Bachillerato'!$E:$E,D$2,'Datos Bachillerato'!$C:$C,"&gt;=01/03/2023",'Datos Bachillerato'!$C:$C,"&lt;=31/03/2023")</f>
        <v>2</v>
      </c>
      <c r="E5" s="8">
        <f>COUNTIFS('Datos Bachillerato'!$E:$E,E$2,'Datos Bachillerato'!$C:$C,"&gt;=01/03/2023",'Datos Bachillerato'!$C:$C,"&lt;=31/03/2023")</f>
        <v>3</v>
      </c>
      <c r="F5" s="8">
        <f>COUNTIFS('Datos Bachillerato'!$E:$E,F$2,'Datos Bachillerato'!$C:$C,"&gt;=01/03/2023",'Datos Bachillerato'!$C:$C,"&lt;=31/03/2023")</f>
        <v>2</v>
      </c>
      <c r="G5" s="8">
        <f>COUNTIFS('Datos Bachillerato'!$E:$E,G$2,'Datos Bachillerato'!$C:$C,"&gt;=01/03/2023",'Datos Bachillerato'!$C:$C,"&lt;=31/03/2023")</f>
        <v>2</v>
      </c>
      <c r="H5" s="8">
        <f>COUNTIFS('Datos Bachillerato'!$E:$E,H$2,'Datos Bachillerato'!$C:$C,"&gt;=01/03/2023",'Datos Bachillerato'!$C:$C,"&lt;=31/03/2023")</f>
        <v>3</v>
      </c>
      <c r="I5" s="8">
        <f t="shared" si="2"/>
        <v>14</v>
      </c>
      <c r="K5" s="251"/>
      <c r="L5" s="23" t="s">
        <v>34</v>
      </c>
      <c r="M5" s="34">
        <f>SUM(C$3:C5)</f>
        <v>10</v>
      </c>
      <c r="N5" s="34">
        <f>SUM(D$3:D5)</f>
        <v>7</v>
      </c>
      <c r="O5" s="34">
        <f>SUM(E$3:E5)</f>
        <v>11</v>
      </c>
      <c r="P5" s="34">
        <f>SUM(F$3:F5)</f>
        <v>5</v>
      </c>
      <c r="Q5" s="34">
        <f>SUM(G$3:G5)</f>
        <v>9</v>
      </c>
      <c r="R5" s="34">
        <f>SUM(H$3:H5)</f>
        <v>6</v>
      </c>
      <c r="S5" s="8">
        <f t="shared" si="3"/>
        <v>48</v>
      </c>
      <c r="U5" s="251"/>
      <c r="V5" s="23" t="s">
        <v>34</v>
      </c>
      <c r="W5" s="34">
        <f>SUM(C$3:C5)</f>
        <v>10</v>
      </c>
      <c r="X5" s="34">
        <f>SUM(D$3:D5)</f>
        <v>7</v>
      </c>
      <c r="Y5" s="34">
        <f>SUM(E$3:E5)</f>
        <v>11</v>
      </c>
      <c r="Z5" s="34">
        <f>SUM(F$3:F5)</f>
        <v>5</v>
      </c>
      <c r="AA5" s="34">
        <f>SUM(G$3:G5)</f>
        <v>9</v>
      </c>
      <c r="AB5" s="34">
        <f>SUM(H$3:H5)</f>
        <v>6</v>
      </c>
      <c r="AC5" s="8">
        <f t="shared" si="4"/>
        <v>48</v>
      </c>
      <c r="AD5" s="64">
        <f t="shared" si="0"/>
        <v>9.6</v>
      </c>
      <c r="AE5" s="64">
        <f t="shared" si="1"/>
        <v>1.8461538461538463</v>
      </c>
    </row>
    <row r="6" spans="1:31">
      <c r="A6" s="251"/>
      <c r="B6" s="23" t="s">
        <v>38</v>
      </c>
      <c r="C6" s="8">
        <f>COUNTIFS('Datos Bachillerato'!$E:$E,C$2,'Datos Bachillerato'!$C:$C,"&gt;=01/04/2023",'Datos Bachillerato'!$C:$C,"&lt;=30/04/2023")</f>
        <v>2</v>
      </c>
      <c r="D6" s="8">
        <f>COUNTIFS('Datos Bachillerato'!$E:$E,D$2,'Datos Bachillerato'!$C:$C,"&gt;=01/04/2023",'Datos Bachillerato'!$C:$C,"&lt;=30/04/2023")</f>
        <v>3</v>
      </c>
      <c r="E6" s="8">
        <f>COUNTIFS('Datos Bachillerato'!$E:$E,E$2,'Datos Bachillerato'!$C:$C,"&gt;=01/04/2023",'Datos Bachillerato'!$C:$C,"&lt;=30/04/2023")</f>
        <v>2</v>
      </c>
      <c r="F6" s="8">
        <f>COUNTIFS('Datos Bachillerato'!$E:$E,F$2,'Datos Bachillerato'!$C:$C,"&gt;=01/04/2023",'Datos Bachillerato'!$C:$C,"&lt;=30/04/2023")</f>
        <v>0</v>
      </c>
      <c r="G6" s="8">
        <f>COUNTIFS('Datos Bachillerato'!$E:$E,G$2,'Datos Bachillerato'!$C:$C,"&gt;=01/04/2023",'Datos Bachillerato'!$C:$C,"&lt;=30/04/2023")</f>
        <v>1</v>
      </c>
      <c r="H6" s="8">
        <f>COUNTIFS('Datos Bachillerato'!$E:$E,H$2,'Datos Bachillerato'!$C:$C,"&gt;=01/04/2023",'Datos Bachillerato'!$C:$C,"&lt;=30/04/2023")</f>
        <v>0</v>
      </c>
      <c r="I6" s="8">
        <f t="shared" si="2"/>
        <v>8</v>
      </c>
      <c r="K6" s="251"/>
      <c r="L6" s="23" t="s">
        <v>38</v>
      </c>
      <c r="M6" s="34">
        <f>SUM(C$3:C6)</f>
        <v>12</v>
      </c>
      <c r="N6" s="34">
        <f>SUM(D$3:D6)</f>
        <v>10</v>
      </c>
      <c r="O6" s="34">
        <f>SUM(E$3:E6)</f>
        <v>13</v>
      </c>
      <c r="P6" s="34">
        <f>SUM(F$3:F6)</f>
        <v>5</v>
      </c>
      <c r="Q6" s="34">
        <f>SUM(G$3:G6)</f>
        <v>10</v>
      </c>
      <c r="R6" s="34">
        <f>SUM(H$3:H6)</f>
        <v>6</v>
      </c>
      <c r="S6" s="8">
        <f t="shared" si="3"/>
        <v>56</v>
      </c>
      <c r="U6" s="251"/>
      <c r="V6" s="23" t="s">
        <v>38</v>
      </c>
      <c r="W6" s="34">
        <f>SUM(C$3:C6)</f>
        <v>12</v>
      </c>
      <c r="X6" s="34">
        <f>SUM(D$3:D6)</f>
        <v>10</v>
      </c>
      <c r="Y6" s="34">
        <f>SUM(E$3:E6)</f>
        <v>13</v>
      </c>
      <c r="Z6" s="34">
        <f>SUM(F$3:F6)</f>
        <v>5</v>
      </c>
      <c r="AA6" s="34">
        <f>SUM(G$3:G6)</f>
        <v>10</v>
      </c>
      <c r="AB6" s="34">
        <f>SUM(H$3:H6)</f>
        <v>6</v>
      </c>
      <c r="AC6" s="8">
        <f t="shared" si="4"/>
        <v>56</v>
      </c>
      <c r="AD6" s="64">
        <f t="shared" si="0"/>
        <v>9.3333333333333339</v>
      </c>
      <c r="AE6" s="64">
        <f t="shared" si="1"/>
        <v>1.9310344827586208</v>
      </c>
    </row>
    <row r="7" spans="1:31">
      <c r="A7" s="251"/>
      <c r="B7" s="23" t="s">
        <v>47</v>
      </c>
      <c r="C7" s="8">
        <f>COUNTIFS('Datos Bachillerato'!$E:$E,C$2,'Datos Bachillerato'!$C:$C,"&gt;=01/05/2023",'Datos Bachillerato'!$C:$C,"&lt;=31/05/2023")</f>
        <v>2</v>
      </c>
      <c r="D7" s="8">
        <f>COUNTIFS('Datos Bachillerato'!$E:$E,D$2,'Datos Bachillerato'!$C:$C,"&gt;=01/05/2023",'Datos Bachillerato'!$C:$C,"&lt;=31/05/2023")</f>
        <v>5</v>
      </c>
      <c r="E7" s="8">
        <f>COUNTIFS('Datos Bachillerato'!$E:$E,E$2,'Datos Bachillerato'!$C:$C,"&gt;=01/05/2023",'Datos Bachillerato'!$C:$C,"&lt;=31/05/2023")</f>
        <v>4</v>
      </c>
      <c r="F7" s="8">
        <f>COUNTIFS('Datos Bachillerato'!$E:$E,F$2,'Datos Bachillerato'!$C:$C,"&gt;=01/05/2023",'Datos Bachillerato'!$C:$C,"&lt;=31/05/2023")</f>
        <v>1</v>
      </c>
      <c r="G7" s="8">
        <f>COUNTIFS('Datos Bachillerato'!$E:$E,G$2,'Datos Bachillerato'!$C:$C,"&gt;=01/05/2023",'Datos Bachillerato'!$C:$C,"&lt;=31/05/2023")</f>
        <v>0</v>
      </c>
      <c r="H7" s="8">
        <f>COUNTIFS('Datos Bachillerato'!$E:$E,H$2,'Datos Bachillerato'!$C:$C,"&gt;=01/05/2023",'Datos Bachillerato'!$C:$C,"&lt;=31/05/2023")</f>
        <v>2</v>
      </c>
      <c r="I7" s="8">
        <f t="shared" si="2"/>
        <v>14</v>
      </c>
      <c r="K7" s="251"/>
      <c r="L7" s="23" t="s">
        <v>47</v>
      </c>
      <c r="M7" s="34">
        <f>SUM(C$3:C7)</f>
        <v>14</v>
      </c>
      <c r="N7" s="34">
        <f>SUM(D$3:D7)</f>
        <v>15</v>
      </c>
      <c r="O7" s="34">
        <f>SUM(E$3:E7)</f>
        <v>17</v>
      </c>
      <c r="P7" s="34">
        <f>SUM(F$3:F7)</f>
        <v>6</v>
      </c>
      <c r="Q7" s="34">
        <f>SUM(G$3:G7)</f>
        <v>10</v>
      </c>
      <c r="R7" s="34">
        <f>SUM(H$3:H7)</f>
        <v>8</v>
      </c>
      <c r="S7" s="8">
        <f t="shared" si="3"/>
        <v>70</v>
      </c>
      <c r="U7" s="251"/>
      <c r="V7" s="23" t="s">
        <v>47</v>
      </c>
      <c r="W7" s="34">
        <f>SUM(C$3:C7)</f>
        <v>14</v>
      </c>
      <c r="X7" s="34">
        <f>SUM(D$3:D7)</f>
        <v>15</v>
      </c>
      <c r="Y7" s="34">
        <f>SUM(E$3:E7)</f>
        <v>17</v>
      </c>
      <c r="Z7" s="34">
        <f>SUM(F$3:F7)</f>
        <v>6</v>
      </c>
      <c r="AA7" s="34">
        <f>SUM(G$3:G7)</f>
        <v>10</v>
      </c>
      <c r="AB7" s="34">
        <f>SUM(H$3:H7)</f>
        <v>8</v>
      </c>
      <c r="AC7" s="8">
        <f t="shared" si="4"/>
        <v>70</v>
      </c>
      <c r="AD7" s="64">
        <f t="shared" si="0"/>
        <v>8.75</v>
      </c>
      <c r="AE7" s="64">
        <f t="shared" si="1"/>
        <v>2.1875</v>
      </c>
    </row>
    <row r="8" spans="1:31">
      <c r="A8" s="251"/>
      <c r="B8" s="23" t="s">
        <v>57</v>
      </c>
      <c r="C8" s="8">
        <f>COUNTIFS('Datos Bachillerato'!$E:$E,C$2,'Datos Bachillerato'!$C:$C,"&gt;=01/06/2023",'Datos Bachillerato'!$C:$C,"&lt;=30/06/2023")</f>
        <v>4</v>
      </c>
      <c r="D8" s="8">
        <f>COUNTIFS('Datos Bachillerato'!$E:$E,D$2,'Datos Bachillerato'!$C:$C,"&gt;=01/06/2023",'Datos Bachillerato'!$C:$C,"&lt;=30/06/2023")</f>
        <v>2</v>
      </c>
      <c r="E8" s="8">
        <f>COUNTIFS('Datos Bachillerato'!$E:$E,E$2,'Datos Bachillerato'!$C:$C,"&gt;=01/06/2023",'Datos Bachillerato'!$C:$C,"&lt;=30/06/2023")</f>
        <v>4</v>
      </c>
      <c r="F8" s="8">
        <f>COUNTIFS('Datos Bachillerato'!$E:$E,F$2,'Datos Bachillerato'!$C:$C,"&gt;=01/06/2023",'Datos Bachillerato'!$C:$C,"&lt;=30/06/2023")</f>
        <v>1</v>
      </c>
      <c r="G8" s="8">
        <f>COUNTIFS('Datos Bachillerato'!$E:$E,G$2,'Datos Bachillerato'!$C:$C,"&gt;=01/06/2023",'Datos Bachillerato'!$C:$C,"&lt;=30/06/2023")</f>
        <v>0</v>
      </c>
      <c r="H8" s="8">
        <f>COUNTIFS('Datos Bachillerato'!$E:$E,H$2,'Datos Bachillerato'!$C:$C,"&gt;=01/06/2023",'Datos Bachillerato'!$C:$C,"&lt;=30/06/2023")</f>
        <v>1</v>
      </c>
      <c r="I8" s="8">
        <f t="shared" si="2"/>
        <v>12</v>
      </c>
      <c r="K8" s="251"/>
      <c r="L8" s="23" t="s">
        <v>57</v>
      </c>
      <c r="M8" s="34">
        <f>SUM(C$3:C8)</f>
        <v>18</v>
      </c>
      <c r="N8" s="34">
        <f>SUM(D$3:D8)</f>
        <v>17</v>
      </c>
      <c r="O8" s="34">
        <f>SUM(E$3:E8)</f>
        <v>21</v>
      </c>
      <c r="P8" s="34">
        <f>SUM(F$3:F8)</f>
        <v>7</v>
      </c>
      <c r="Q8" s="34">
        <f>SUM(G$3:G8)</f>
        <v>10</v>
      </c>
      <c r="R8" s="34">
        <f>SUM(H$3:H8)</f>
        <v>9</v>
      </c>
      <c r="S8" s="8">
        <f t="shared" si="3"/>
        <v>82</v>
      </c>
      <c r="U8" s="251"/>
      <c r="V8" s="23" t="s">
        <v>57</v>
      </c>
      <c r="W8" s="34">
        <f>SUM(C$3:C8)</f>
        <v>18</v>
      </c>
      <c r="X8" s="34">
        <f>SUM(D$3:D8)</f>
        <v>17</v>
      </c>
      <c r="Y8" s="34">
        <f>SUM(E$3:E8)</f>
        <v>21</v>
      </c>
      <c r="Z8" s="34">
        <f>SUM(F$3:F8)</f>
        <v>7</v>
      </c>
      <c r="AA8" s="34">
        <f>SUM(G$3:G8)</f>
        <v>10</v>
      </c>
      <c r="AB8" s="34">
        <f>SUM(H$3:H8)</f>
        <v>9</v>
      </c>
      <c r="AC8" s="8">
        <f t="shared" si="4"/>
        <v>82</v>
      </c>
      <c r="AD8" s="64">
        <f t="shared" si="0"/>
        <v>9.1111111111111107</v>
      </c>
      <c r="AE8" s="64">
        <f t="shared" si="1"/>
        <v>2.4117647058823528</v>
      </c>
    </row>
    <row r="9" spans="1:31">
      <c r="A9" s="251"/>
      <c r="B9" s="23" t="s">
        <v>62</v>
      </c>
      <c r="C9" s="8">
        <f>COUNTIFS('Datos Bachillerato'!$E:$E,C$2,'Datos Bachillerato'!$C:$C,"&gt;=01/07/2023",'Datos Bachillerato'!$C:$C,"&lt;=31/07/2023")</f>
        <v>2</v>
      </c>
      <c r="D9" s="8">
        <f>COUNTIFS('Datos Bachillerato'!$E:$E,D$2,'Datos Bachillerato'!$C:$C,"&gt;=01/07/2023",'Datos Bachillerato'!$C:$C,"&lt;=31/07/2023")</f>
        <v>2</v>
      </c>
      <c r="E9" s="8">
        <f>COUNTIFS('Datos Bachillerato'!$E:$E,E$2,'Datos Bachillerato'!$C:$C,"&gt;=01/07/2023",'Datos Bachillerato'!$C:$C,"&lt;=31/07/2023")</f>
        <v>0</v>
      </c>
      <c r="F9" s="8">
        <f>COUNTIFS('Datos Bachillerato'!$E:$E,F$2,'Datos Bachillerato'!$C:$C,"&gt;=01/07/2023",'Datos Bachillerato'!$C:$C,"&lt;=31/07/2023")</f>
        <v>4</v>
      </c>
      <c r="G9" s="8">
        <f>COUNTIFS('Datos Bachillerato'!$E:$E,G$2,'Datos Bachillerato'!$C:$C,"&gt;=01/07/2023",'Datos Bachillerato'!$C:$C,"&lt;=31/07/2023")</f>
        <v>1</v>
      </c>
      <c r="H9" s="8">
        <f>COUNTIFS('Datos Bachillerato'!$E:$E,H$2,'Datos Bachillerato'!$C:$C,"&gt;=01/07/2023",'Datos Bachillerato'!$C:$C,"&lt;=31/07/2023")</f>
        <v>0</v>
      </c>
      <c r="I9" s="8">
        <f t="shared" si="2"/>
        <v>9</v>
      </c>
      <c r="K9" s="251"/>
      <c r="L9" s="23" t="s">
        <v>62</v>
      </c>
      <c r="M9" s="34">
        <f>SUM(C$3:C9)</f>
        <v>20</v>
      </c>
      <c r="N9" s="34">
        <f>SUM(D$3:D9)</f>
        <v>19</v>
      </c>
      <c r="O9" s="34">
        <f>SUM(E$3:E9)</f>
        <v>21</v>
      </c>
      <c r="P9" s="34">
        <f>SUM(F$3:F9)</f>
        <v>11</v>
      </c>
      <c r="Q9" s="34">
        <f>SUM(G$3:G9)</f>
        <v>11</v>
      </c>
      <c r="R9" s="34">
        <f>SUM(H$3:H9)</f>
        <v>9</v>
      </c>
      <c r="S9" s="8">
        <f t="shared" si="3"/>
        <v>91</v>
      </c>
      <c r="U9" s="251"/>
      <c r="V9" s="23" t="s">
        <v>62</v>
      </c>
      <c r="W9" s="34">
        <f>SUM(C$3:C9)</f>
        <v>20</v>
      </c>
      <c r="X9" s="34">
        <f>SUM(D$3:D9)</f>
        <v>19</v>
      </c>
      <c r="Y9" s="34">
        <f>SUM(E$3:E9)</f>
        <v>21</v>
      </c>
      <c r="Z9" s="34">
        <f>SUM(F$3:F9)</f>
        <v>11</v>
      </c>
      <c r="AA9" s="34">
        <f>SUM(G$3:G9)</f>
        <v>11</v>
      </c>
      <c r="AB9" s="34">
        <f>SUM(H$3:H9)</f>
        <v>9</v>
      </c>
      <c r="AC9" s="8">
        <f t="shared" si="4"/>
        <v>91</v>
      </c>
      <c r="AD9" s="64">
        <f t="shared" si="0"/>
        <v>7.583333333333333</v>
      </c>
      <c r="AE9" s="64">
        <f t="shared" si="1"/>
        <v>2.3947368421052633</v>
      </c>
    </row>
    <row r="10" spans="1:31">
      <c r="A10" s="251"/>
      <c r="B10" s="23" t="s">
        <v>68</v>
      </c>
      <c r="C10" s="8">
        <f>COUNTIFS('Datos Bachillerato'!$E:$E,C$2,'Datos Bachillerato'!$C:$C,"&gt;=01/08/2023",'Datos Bachillerato'!$C:$C,"&lt;=31/08/2023")</f>
        <v>3</v>
      </c>
      <c r="D10" s="8">
        <f>COUNTIFS('Datos Bachillerato'!$E:$E,D$2,'Datos Bachillerato'!$C:$C,"&gt;=01/08/2023",'Datos Bachillerato'!$C:$C,"&lt;=31/08/2023")</f>
        <v>2</v>
      </c>
      <c r="E10" s="8">
        <f>COUNTIFS('Datos Bachillerato'!$E:$E,E$2,'Datos Bachillerato'!$C:$C,"&gt;=01/08/2023",'Datos Bachillerato'!$C:$C,"&lt;=31/08/2023")</f>
        <v>7</v>
      </c>
      <c r="F10" s="8">
        <f>COUNTIFS('Datos Bachillerato'!$E:$E,F$2,'Datos Bachillerato'!$C:$C,"&gt;=01/08/2023",'Datos Bachillerato'!$C:$C,"&lt;=31/08/2023")</f>
        <v>2</v>
      </c>
      <c r="G10" s="8">
        <f>COUNTIFS('Datos Bachillerato'!$E:$E,G$2,'Datos Bachillerato'!$C:$C,"&gt;=01/08/2023",'Datos Bachillerato'!$C:$C,"&lt;=31/08/2023")</f>
        <v>5</v>
      </c>
      <c r="H10" s="8">
        <f>COUNTIFS('Datos Bachillerato'!$E:$E,H$2,'Datos Bachillerato'!$C:$C,"&gt;=01/08/2023",'Datos Bachillerato'!$C:$C,"&lt;=31/08/2023")</f>
        <v>1</v>
      </c>
      <c r="I10" s="8">
        <f t="shared" si="2"/>
        <v>20</v>
      </c>
      <c r="K10" s="251"/>
      <c r="L10" s="23" t="s">
        <v>68</v>
      </c>
      <c r="M10" s="34">
        <f>SUM(C$3:C10)</f>
        <v>23</v>
      </c>
      <c r="N10" s="34">
        <f>SUM(D$3:D10)</f>
        <v>21</v>
      </c>
      <c r="O10" s="34">
        <f>SUM(E$3:E10)</f>
        <v>28</v>
      </c>
      <c r="P10" s="34">
        <f>SUM(F$3:F10)</f>
        <v>13</v>
      </c>
      <c r="Q10" s="34">
        <f>SUM(G$3:G10)</f>
        <v>16</v>
      </c>
      <c r="R10" s="34">
        <f>SUM(H$3:H10)</f>
        <v>10</v>
      </c>
      <c r="S10" s="8">
        <f t="shared" si="3"/>
        <v>111</v>
      </c>
      <c r="U10" s="251"/>
      <c r="V10" s="23" t="s">
        <v>68</v>
      </c>
      <c r="W10" s="34">
        <f>SUM(C$3:C10)</f>
        <v>23</v>
      </c>
      <c r="X10" s="34">
        <f>SUM(D$3:D10)</f>
        <v>21</v>
      </c>
      <c r="Y10" s="34">
        <f>SUM(E$3:E10)</f>
        <v>28</v>
      </c>
      <c r="Z10" s="34">
        <f>SUM(F$3:F10)</f>
        <v>13</v>
      </c>
      <c r="AA10" s="34">
        <f>SUM(G$3:G10)</f>
        <v>16</v>
      </c>
      <c r="AB10" s="34">
        <f>SUM(H$3:H10)</f>
        <v>10</v>
      </c>
      <c r="AC10" s="8">
        <f t="shared" si="4"/>
        <v>111</v>
      </c>
      <c r="AD10" s="64">
        <f t="shared" si="0"/>
        <v>6.166666666666667</v>
      </c>
      <c r="AE10" s="64">
        <f t="shared" si="1"/>
        <v>2.5813953488372094</v>
      </c>
    </row>
    <row r="11" spans="1:31">
      <c r="A11" s="251"/>
      <c r="B11" s="23" t="s">
        <v>77</v>
      </c>
      <c r="C11" s="8">
        <f>COUNTIFS('Datos Bachillerato'!$E:$E,C$2,'Datos Bachillerato'!$C:$C,"&gt;=01/09/2023",'Datos Bachillerato'!$C:$C,"&lt;=30/09/2023")</f>
        <v>4</v>
      </c>
      <c r="D11" s="8">
        <f>COUNTIFS('Datos Bachillerato'!$E:$E,D$2,'Datos Bachillerato'!$C:$C,"&gt;=01/09/2023",'Datos Bachillerato'!$C:$C,"&lt;=30/09/2023")</f>
        <v>3</v>
      </c>
      <c r="E11" s="8">
        <f>COUNTIFS('Datos Bachillerato'!$E:$E,E$2,'Datos Bachillerato'!$C:$C,"&gt;=01/09/2023",'Datos Bachillerato'!$C:$C,"&lt;=30/09/2023")</f>
        <v>2</v>
      </c>
      <c r="F11" s="8">
        <f>COUNTIFS('Datos Bachillerato'!$E:$E,F$2,'Datos Bachillerato'!$C:$C,"&gt;=01/09/2023",'Datos Bachillerato'!$C:$C,"&lt;=30/09/2023")</f>
        <v>2</v>
      </c>
      <c r="G11" s="8">
        <f>COUNTIFS('Datos Bachillerato'!$E:$E,G$2,'Datos Bachillerato'!$C:$C,"&gt;=01/09/2023",'Datos Bachillerato'!$C:$C,"&lt;=30/09/2023")</f>
        <v>3</v>
      </c>
      <c r="H11" s="8">
        <f>COUNTIFS('Datos Bachillerato'!$E:$E,H$2,'Datos Bachillerato'!$C:$C,"&gt;=01/09/2023",'Datos Bachillerato'!$C:$C,"&lt;=30/09/2023")</f>
        <v>2</v>
      </c>
      <c r="I11" s="8">
        <f t="shared" si="2"/>
        <v>16</v>
      </c>
      <c r="K11" s="251"/>
      <c r="L11" s="23" t="s">
        <v>77</v>
      </c>
      <c r="M11" s="34">
        <f>SUM(C$3:C11)</f>
        <v>27</v>
      </c>
      <c r="N11" s="34">
        <f>SUM(D$3:D11)</f>
        <v>24</v>
      </c>
      <c r="O11" s="34">
        <f>SUM(E$3:E11)</f>
        <v>30</v>
      </c>
      <c r="P11" s="34">
        <f>SUM(F$3:F11)</f>
        <v>15</v>
      </c>
      <c r="Q11" s="34">
        <f>SUM(G$3:G11)</f>
        <v>19</v>
      </c>
      <c r="R11" s="34">
        <f>SUM(H$3:H11)</f>
        <v>12</v>
      </c>
      <c r="S11" s="8">
        <f t="shared" si="3"/>
        <v>127</v>
      </c>
      <c r="U11" s="251"/>
      <c r="V11" s="23" t="s">
        <v>77</v>
      </c>
      <c r="W11" s="34">
        <f>SUM(C$3:C11)</f>
        <v>27</v>
      </c>
      <c r="X11" s="34">
        <f>SUM(D$3:D11)</f>
        <v>24</v>
      </c>
      <c r="Y11" s="34">
        <f>SUM(E$3:E11)</f>
        <v>30</v>
      </c>
      <c r="Z11" s="34">
        <f>SUM(F$3:F11)</f>
        <v>15</v>
      </c>
      <c r="AA11" s="34">
        <f>SUM(G$3:G11)</f>
        <v>19</v>
      </c>
      <c r="AB11" s="34">
        <f>SUM(H$3:H11)</f>
        <v>12</v>
      </c>
      <c r="AC11" s="8">
        <f t="shared" si="4"/>
        <v>127</v>
      </c>
      <c r="AD11" s="64">
        <f t="shared" si="0"/>
        <v>6.0476190476190474</v>
      </c>
      <c r="AE11" s="64">
        <f t="shared" si="1"/>
        <v>2.6458333333333335</v>
      </c>
    </row>
    <row r="12" spans="1:31">
      <c r="A12" s="251"/>
      <c r="B12" s="23" t="s">
        <v>84</v>
      </c>
      <c r="C12" s="8">
        <f>COUNTIFS('Datos Bachillerato'!$E:$E,C$2,'Datos Bachillerato'!$C:$C,"&gt;=01/10/2023",'Datos Bachillerato'!$C:$C,"&lt;=31/10/2023")</f>
        <v>3</v>
      </c>
      <c r="D12" s="8">
        <f>COUNTIFS('Datos Bachillerato'!$E:$E,D$2,'Datos Bachillerato'!$C:$C,"&gt;=01/10/2023",'Datos Bachillerato'!$C:$C,"&lt;=31/10/2023")</f>
        <v>1</v>
      </c>
      <c r="E12" s="8">
        <f>COUNTIFS('Datos Bachillerato'!$E:$E,E$2,'Datos Bachillerato'!$C:$C,"&gt;=01/10/2023",'Datos Bachillerato'!$C:$C,"&lt;=31/10/2023")</f>
        <v>4</v>
      </c>
      <c r="F12" s="8">
        <f>COUNTIFS('Datos Bachillerato'!$E:$E,F$2,'Datos Bachillerato'!$C:$C,"&gt;=01/10/2023",'Datos Bachillerato'!$C:$C,"&lt;=31/10/2023")</f>
        <v>5</v>
      </c>
      <c r="G12" s="8">
        <f>COUNTIFS('Datos Bachillerato'!$E:$E,G$2,'Datos Bachillerato'!$C:$C,"&gt;=01/10/2023",'Datos Bachillerato'!$C:$C,"&lt;=31/10/2023")</f>
        <v>4</v>
      </c>
      <c r="H12" s="8">
        <f>COUNTIFS('Datos Bachillerato'!$E:$E,H$2,'Datos Bachillerato'!$C:$C,"&gt;=01/10/2023",'Datos Bachillerato'!$C:$C,"&lt;=31/10/2023")</f>
        <v>3</v>
      </c>
      <c r="I12" s="8">
        <f t="shared" si="2"/>
        <v>20</v>
      </c>
      <c r="K12" s="251"/>
      <c r="L12" s="23" t="s">
        <v>84</v>
      </c>
      <c r="M12" s="34">
        <f>SUM(C$3:C12)</f>
        <v>30</v>
      </c>
      <c r="N12" s="34">
        <f>SUM(D$3:D12)</f>
        <v>25</v>
      </c>
      <c r="O12" s="34">
        <f>SUM(E$3:E12)</f>
        <v>34</v>
      </c>
      <c r="P12" s="34">
        <f>SUM(F$3:F12)</f>
        <v>20</v>
      </c>
      <c r="Q12" s="34">
        <f>SUM(G$3:G12)</f>
        <v>23</v>
      </c>
      <c r="R12" s="34">
        <f>SUM(H$3:H12)</f>
        <v>15</v>
      </c>
      <c r="S12" s="8">
        <f t="shared" si="3"/>
        <v>147</v>
      </c>
      <c r="U12" s="251"/>
      <c r="V12" s="23" t="s">
        <v>84</v>
      </c>
      <c r="W12" s="34">
        <f>SUM(C$3:C12)</f>
        <v>30</v>
      </c>
      <c r="X12" s="34">
        <f>SUM(D$3:D12)</f>
        <v>25</v>
      </c>
      <c r="Y12" s="34">
        <f>SUM(E$3:E12)</f>
        <v>34</v>
      </c>
      <c r="Z12" s="34">
        <f>SUM(F$3:F12)</f>
        <v>20</v>
      </c>
      <c r="AA12" s="34">
        <f>SUM(G$3:G12)</f>
        <v>23</v>
      </c>
      <c r="AB12" s="34">
        <f>SUM(H$3:H12)</f>
        <v>15</v>
      </c>
      <c r="AC12" s="8">
        <f t="shared" si="4"/>
        <v>147</v>
      </c>
      <c r="AD12" s="64">
        <f t="shared" si="0"/>
        <v>6.3913043478260869</v>
      </c>
      <c r="AE12" s="64">
        <f t="shared" si="1"/>
        <v>3</v>
      </c>
    </row>
    <row r="13" spans="1:31">
      <c r="A13" s="251"/>
      <c r="B13" s="23" t="s">
        <v>87</v>
      </c>
      <c r="C13" s="8">
        <f>COUNTIFS('Datos Bachillerato'!$E:$E,C$2,'Datos Bachillerato'!$C:$C,"&gt;=01/11/2023",'Datos Bachillerato'!$C:$C,"&lt;=30/11/2023")</f>
        <v>6</v>
      </c>
      <c r="D13" s="8">
        <f>COUNTIFS('Datos Bachillerato'!$E:$E,D$2,'Datos Bachillerato'!$C:$C,"&gt;=01/11/2023",'Datos Bachillerato'!$C:$C,"&lt;=30/11/2023")</f>
        <v>4</v>
      </c>
      <c r="E13" s="8">
        <f>COUNTIFS('Datos Bachillerato'!$E:$E,E$2,'Datos Bachillerato'!$C:$C,"&gt;=01/11/2023",'Datos Bachillerato'!$C:$C,"&lt;=30/11/2023")</f>
        <v>3</v>
      </c>
      <c r="F13" s="8">
        <f>COUNTIFS('Datos Bachillerato'!$E:$E,F$2,'Datos Bachillerato'!$C:$C,"&gt;=01/11/2023",'Datos Bachillerato'!$C:$C,"&lt;=30/11/2023")</f>
        <v>4</v>
      </c>
      <c r="G13" s="8">
        <f>COUNTIFS('Datos Bachillerato'!$E:$E,G$2,'Datos Bachillerato'!$C:$C,"&gt;=01/11/2023",'Datos Bachillerato'!$C:$C,"&lt;=30/11/2023")</f>
        <v>5</v>
      </c>
      <c r="H13" s="8">
        <f>COUNTIFS('Datos Bachillerato'!$E:$E,H$2,'Datos Bachillerato'!$C:$C,"&gt;=01/11/2023",'Datos Bachillerato'!$C:$C,"&lt;=30/11/2023")</f>
        <v>0</v>
      </c>
      <c r="I13" s="8">
        <f t="shared" si="2"/>
        <v>22</v>
      </c>
      <c r="K13" s="251"/>
      <c r="L13" s="23" t="s">
        <v>87</v>
      </c>
      <c r="M13" s="34">
        <f>SUM(C$3:C13)</f>
        <v>36</v>
      </c>
      <c r="N13" s="34">
        <f>SUM(D$3:D13)</f>
        <v>29</v>
      </c>
      <c r="O13" s="34">
        <f>SUM(E$3:E13)</f>
        <v>37</v>
      </c>
      <c r="P13" s="34">
        <f>SUM(F$3:F13)</f>
        <v>24</v>
      </c>
      <c r="Q13" s="34">
        <f>SUM(G$3:G13)</f>
        <v>28</v>
      </c>
      <c r="R13" s="34">
        <f>SUM(H$3:H13)</f>
        <v>15</v>
      </c>
      <c r="S13" s="8">
        <f t="shared" si="3"/>
        <v>169</v>
      </c>
      <c r="U13" s="251"/>
      <c r="V13" s="23" t="s">
        <v>87</v>
      </c>
      <c r="W13" s="34">
        <f>SUM(C$3:C13)</f>
        <v>36</v>
      </c>
      <c r="X13" s="34">
        <f>SUM(D$3:D13)</f>
        <v>29</v>
      </c>
      <c r="Y13" s="34">
        <f>SUM(E$3:E13)</f>
        <v>37</v>
      </c>
      <c r="Z13" s="34">
        <f>SUM(F$3:F13)</f>
        <v>24</v>
      </c>
      <c r="AA13" s="34">
        <f>SUM(G$3:G13)</f>
        <v>28</v>
      </c>
      <c r="AB13" s="34">
        <f>SUM(H$3:H13)</f>
        <v>15</v>
      </c>
      <c r="AC13" s="8">
        <f t="shared" si="4"/>
        <v>169</v>
      </c>
      <c r="AD13" s="64">
        <f t="shared" si="0"/>
        <v>6.5</v>
      </c>
      <c r="AE13" s="64">
        <f t="shared" si="1"/>
        <v>3.1886792452830188</v>
      </c>
    </row>
    <row r="14" spans="1:31">
      <c r="A14" s="251"/>
      <c r="B14" s="23" t="s">
        <v>173</v>
      </c>
      <c r="C14" s="8">
        <f>COUNTIFS('Datos Bachillerato'!$E:$E,C$2,'Datos Bachillerato'!$C:$C,"&gt;=01/12/2023",'Datos Bachillerato'!$C:$C,"&lt;=31/12/2023")</f>
        <v>0</v>
      </c>
      <c r="D14" s="8">
        <f>COUNTIFS('Datos Bachillerato'!$E:$E,D$2,'Datos Bachillerato'!$C:$C,"&gt;=01/12/2023",'Datos Bachillerato'!$C:$C,"&lt;=31/12/2023")</f>
        <v>0</v>
      </c>
      <c r="E14" s="8">
        <f>COUNTIFS('Datos Bachillerato'!$E:$E,E$2,'Datos Bachillerato'!$C:$C,"&gt;=01/12/2023",'Datos Bachillerato'!$C:$C,"&lt;=31/12/2023")</f>
        <v>0</v>
      </c>
      <c r="F14" s="8">
        <f>COUNTIFS('Datos Bachillerato'!$E:$E,F$2,'Datos Bachillerato'!$C:$C,"&gt;=01/12/2023",'Datos Bachillerato'!$C:$C,"&lt;=31/12/2023")</f>
        <v>0</v>
      </c>
      <c r="G14" s="8">
        <f>COUNTIFS('Datos Bachillerato'!$E:$E,G$2,'Datos Bachillerato'!$C:$C,"&gt;=01/12/2023",'Datos Bachillerato'!$C:$C,"&lt;=31/12/2023")</f>
        <v>0</v>
      </c>
      <c r="H14" s="8">
        <f>COUNTIFS('Datos Bachillerato'!$E:$E,H$2,'Datos Bachillerato'!$C:$C,"&gt;=01/12/2023",'Datos Bachillerato'!$C:$C,"&lt;=31/12/2023")</f>
        <v>0</v>
      </c>
      <c r="I14" s="8">
        <f t="shared" si="2"/>
        <v>0</v>
      </c>
      <c r="K14" s="251"/>
      <c r="L14" s="23" t="s">
        <v>173</v>
      </c>
      <c r="M14" s="34">
        <f>SUM(C$3:C14)</f>
        <v>36</v>
      </c>
      <c r="N14" s="34">
        <f>SUM(D$3:D14)</f>
        <v>29</v>
      </c>
      <c r="O14" s="34">
        <f>SUM(E$3:E14)</f>
        <v>37</v>
      </c>
      <c r="P14" s="34">
        <f>SUM(F$3:F14)</f>
        <v>24</v>
      </c>
      <c r="Q14" s="34">
        <f>SUM(G$3:G14)</f>
        <v>28</v>
      </c>
      <c r="R14" s="34">
        <f>SUM(H$3:H14)</f>
        <v>15</v>
      </c>
      <c r="S14" s="8">
        <f t="shared" si="3"/>
        <v>169</v>
      </c>
      <c r="U14" s="251"/>
      <c r="V14" s="23" t="s">
        <v>173</v>
      </c>
      <c r="W14" s="34">
        <f>SUM(C$3:C14)</f>
        <v>36</v>
      </c>
      <c r="X14" s="34">
        <f>SUM(D$3:D14)</f>
        <v>29</v>
      </c>
      <c r="Y14" s="34">
        <f>SUM(E$3:E14)</f>
        <v>37</v>
      </c>
      <c r="Z14" s="34">
        <f>SUM(F$3:F14)</f>
        <v>24</v>
      </c>
      <c r="AA14" s="34">
        <f>SUM(G$3:G14)</f>
        <v>28</v>
      </c>
      <c r="AB14" s="34">
        <f>SUM(H$3:H14)</f>
        <v>15</v>
      </c>
      <c r="AC14" s="8">
        <f t="shared" si="4"/>
        <v>169</v>
      </c>
      <c r="AD14" s="64">
        <f t="shared" si="0"/>
        <v>6.2592592592592595</v>
      </c>
      <c r="AE14" s="64">
        <f t="shared" si="1"/>
        <v>3.1296296296296298</v>
      </c>
    </row>
    <row r="15" spans="1:31" ht="14.45" customHeight="1">
      <c r="A15" s="251">
        <v>2024</v>
      </c>
      <c r="B15" s="23" t="s">
        <v>13</v>
      </c>
      <c r="C15" s="8">
        <f>COUNTIFS('Datos Bachillerato'!$E:$E,C$2,'Datos Bachillerato'!$C:$C,"&gt;=01/01/2024",'Datos Bachillerato'!$C:$C,"&lt;=31/01/2024")</f>
        <v>0</v>
      </c>
      <c r="D15" s="8">
        <f>COUNTIFS('Datos Bachillerato'!$E:$E,D$2,'Datos Bachillerato'!$C:$C,"&gt;=01/01/2024",'Datos Bachillerato'!$C:$C,"&lt;=31/01/2024")</f>
        <v>0</v>
      </c>
      <c r="E15" s="8">
        <f>COUNTIFS('Datos Bachillerato'!$E:$E,E$2,'Datos Bachillerato'!$C:$C,"&gt;=01/01/2024",'Datos Bachillerato'!$C:$C,"&lt;=31/01/2024")</f>
        <v>3</v>
      </c>
      <c r="F15" s="8">
        <f>COUNTIFS('Datos Bachillerato'!$E:$E,F$2,'Datos Bachillerato'!$C:$C,"&gt;=01/01/2024",'Datos Bachillerato'!$C:$C,"&lt;=31/01/2024")</f>
        <v>0</v>
      </c>
      <c r="G15" s="8">
        <f>COUNTIFS('Datos Bachillerato'!$E:$E,G$2,'Datos Bachillerato'!$C:$C,"&gt;=01/01/2024",'Datos Bachillerato'!$C:$C,"&lt;=31/01/2024")</f>
        <v>2</v>
      </c>
      <c r="H15" s="8">
        <f>COUNTIFS('Datos Bachillerato'!$E:$E,H$2,'Datos Bachillerato'!$C:$C,"&gt;=01/01/2024",'Datos Bachillerato'!$C:$C,"&lt;=31/01/2024")</f>
        <v>0</v>
      </c>
      <c r="I15" s="8">
        <f>SUM(C15:H15)</f>
        <v>5</v>
      </c>
      <c r="K15" s="251">
        <f>A15</f>
        <v>2024</v>
      </c>
      <c r="L15" s="23" t="s">
        <v>13</v>
      </c>
      <c r="M15" s="34">
        <f>SUM(C$15:C15)</f>
        <v>0</v>
      </c>
      <c r="N15" s="34">
        <f>SUM(D$15:D15)</f>
        <v>0</v>
      </c>
      <c r="O15" s="34">
        <f>SUM(E$15:E15)</f>
        <v>3</v>
      </c>
      <c r="P15" s="34">
        <f>SUM(F$15:F15)</f>
        <v>0</v>
      </c>
      <c r="Q15" s="34">
        <f>SUM(G$15:G15)</f>
        <v>2</v>
      </c>
      <c r="R15" s="34">
        <f>SUM(H$15:H15)</f>
        <v>0</v>
      </c>
      <c r="S15" s="8">
        <f>SUM(M15:R15)</f>
        <v>5</v>
      </c>
      <c r="U15" s="251">
        <f>A15</f>
        <v>2024</v>
      </c>
      <c r="V15" s="23" t="s">
        <v>13</v>
      </c>
      <c r="W15" s="34">
        <f>SUM(C$3:C15)</f>
        <v>36</v>
      </c>
      <c r="X15" s="34">
        <f>SUM(D$3:D15)</f>
        <v>29</v>
      </c>
      <c r="Y15" s="34">
        <f>SUM(E$3:E15)</f>
        <v>40</v>
      </c>
      <c r="Z15" s="34">
        <f>SUM(F$3:F15)</f>
        <v>24</v>
      </c>
      <c r="AA15" s="34">
        <f>SUM(G$3:G15)</f>
        <v>30</v>
      </c>
      <c r="AB15" s="34">
        <f>SUM(H$3:H15)</f>
        <v>15</v>
      </c>
      <c r="AC15" s="8">
        <f>SUM(W15:AB15)</f>
        <v>174</v>
      </c>
      <c r="AD15" s="64">
        <f t="shared" si="0"/>
        <v>5.612903225806452</v>
      </c>
      <c r="AE15" s="64">
        <f t="shared" si="1"/>
        <v>2.806451612903226</v>
      </c>
    </row>
    <row r="16" spans="1:31">
      <c r="A16" s="251"/>
      <c r="B16" s="23" t="s">
        <v>24</v>
      </c>
      <c r="C16" s="8">
        <f>COUNTIFS('Datos Bachillerato'!$E:$E,C$2,'Datos Bachillerato'!$C:$C,"&gt;=01/02/2024",'Datos Bachillerato'!$C:$C,"&lt;=29/02/2024")</f>
        <v>2</v>
      </c>
      <c r="D16" s="8">
        <f>COUNTIFS('Datos Bachillerato'!$E:$E,D$2,'Datos Bachillerato'!$C:$C,"&gt;=01/02/2024",'Datos Bachillerato'!$C:$C,"&lt;=29/02/2024")</f>
        <v>4</v>
      </c>
      <c r="E16" s="8">
        <f>COUNTIFS('Datos Bachillerato'!$E:$E,E$2,'Datos Bachillerato'!$C:$C,"&gt;=01/02/2024",'Datos Bachillerato'!$C:$C,"&lt;=29/02/2024")</f>
        <v>3</v>
      </c>
      <c r="F16" s="8">
        <f>COUNTIFS('Datos Bachillerato'!$E:$E,F$2,'Datos Bachillerato'!$C:$C,"&gt;=01/02/2024",'Datos Bachillerato'!$C:$C,"&lt;=29/02/2024")</f>
        <v>3</v>
      </c>
      <c r="G16" s="8">
        <f>COUNTIFS('Datos Bachillerato'!$E:$E,G$2,'Datos Bachillerato'!$C:$C,"&gt;=01/02/2024",'Datos Bachillerato'!$C:$C,"&lt;=29/02/2024")</f>
        <v>5</v>
      </c>
      <c r="H16" s="8">
        <f>COUNTIFS('Datos Bachillerato'!$E:$E,H$2,'Datos Bachillerato'!$C:$C,"&gt;=01/02/2024",'Datos Bachillerato'!$C:$C,"&lt;=29/02/2024")</f>
        <v>2</v>
      </c>
      <c r="I16" s="8">
        <f t="shared" ref="I16:I26" si="5">SUM(C16:H16)</f>
        <v>19</v>
      </c>
      <c r="K16" s="251"/>
      <c r="L16" s="23" t="s">
        <v>24</v>
      </c>
      <c r="M16" s="34">
        <f>SUM(C$15:C16)</f>
        <v>2</v>
      </c>
      <c r="N16" s="34">
        <f>SUM(D$15:D16)</f>
        <v>4</v>
      </c>
      <c r="O16" s="34">
        <f>SUM(E$15:E16)</f>
        <v>6</v>
      </c>
      <c r="P16" s="34">
        <f>SUM(F$15:F16)</f>
        <v>3</v>
      </c>
      <c r="Q16" s="34">
        <f>SUM(G$15:G16)</f>
        <v>7</v>
      </c>
      <c r="R16" s="34">
        <f>SUM(H$15:H16)</f>
        <v>2</v>
      </c>
      <c r="S16" s="8">
        <f t="shared" ref="S16:S26" si="6">SUM(M16:R16)</f>
        <v>24</v>
      </c>
      <c r="U16" s="251"/>
      <c r="V16" s="23" t="s">
        <v>24</v>
      </c>
      <c r="W16" s="34">
        <f>SUM(C$3:C16)</f>
        <v>38</v>
      </c>
      <c r="X16" s="34">
        <f>SUM(D$3:D16)</f>
        <v>33</v>
      </c>
      <c r="Y16" s="34">
        <f>SUM(E$3:E16)</f>
        <v>43</v>
      </c>
      <c r="Z16" s="34">
        <f>SUM(F$3:F16)</f>
        <v>27</v>
      </c>
      <c r="AA16" s="34">
        <f>SUM(G$3:G16)</f>
        <v>35</v>
      </c>
      <c r="AB16" s="34">
        <f>SUM(H$3:H16)</f>
        <v>17</v>
      </c>
      <c r="AC16" s="8">
        <f t="shared" ref="AC16:AC26" si="7">SUM(W16:AB16)</f>
        <v>193</v>
      </c>
      <c r="AD16" s="64">
        <f t="shared" si="0"/>
        <v>5.0789473684210522</v>
      </c>
      <c r="AE16" s="64">
        <f t="shared" si="1"/>
        <v>2.6805555555555554</v>
      </c>
    </row>
    <row r="17" spans="1:31">
      <c r="A17" s="251"/>
      <c r="B17" s="23" t="s">
        <v>34</v>
      </c>
      <c r="C17" s="8">
        <f>COUNTIFS('Datos Bachillerato'!$E:$E,C$2,'Datos Bachillerato'!$C:$C,"&gt;=01/03/2024",'Datos Bachillerato'!$C:$C,"&lt;=31/03/2024")</f>
        <v>2</v>
      </c>
      <c r="D17" s="8">
        <f>COUNTIFS('Datos Bachillerato'!$E:$E,D$2,'Datos Bachillerato'!$C:$C,"&gt;=01/03/2024",'Datos Bachillerato'!$C:$C,"&lt;=31/03/2024")</f>
        <v>0</v>
      </c>
      <c r="E17" s="8">
        <f>COUNTIFS('Datos Bachillerato'!$E:$E,E$2,'Datos Bachillerato'!$C:$C,"&gt;=01/03/2024",'Datos Bachillerato'!$C:$C,"&lt;=31/03/2024")</f>
        <v>2</v>
      </c>
      <c r="F17" s="8">
        <f>COUNTIFS('Datos Bachillerato'!$E:$E,F$2,'Datos Bachillerato'!$C:$C,"&gt;=01/03/2024",'Datos Bachillerato'!$C:$C,"&lt;=31/03/2024")</f>
        <v>1</v>
      </c>
      <c r="G17" s="8">
        <f>COUNTIFS('Datos Bachillerato'!$E:$E,G$2,'Datos Bachillerato'!$C:$C,"&gt;=01/03/2024",'Datos Bachillerato'!$C:$C,"&lt;=31/03/2024")</f>
        <v>3</v>
      </c>
      <c r="H17" s="8">
        <f>COUNTIFS('Datos Bachillerato'!$E:$E,H$2,'Datos Bachillerato'!$C:$C,"&gt;=01/03/2024",'Datos Bachillerato'!$C:$C,"&lt;=31/03/2024")</f>
        <v>2</v>
      </c>
      <c r="I17" s="8">
        <f t="shared" si="5"/>
        <v>10</v>
      </c>
      <c r="K17" s="251"/>
      <c r="L17" s="23" t="s">
        <v>34</v>
      </c>
      <c r="M17" s="34">
        <f>SUM(C$15:C17)</f>
        <v>4</v>
      </c>
      <c r="N17" s="34">
        <f>SUM(D$15:D17)</f>
        <v>4</v>
      </c>
      <c r="O17" s="34">
        <f>SUM(E$15:E17)</f>
        <v>8</v>
      </c>
      <c r="P17" s="34">
        <f>SUM(F$15:F17)</f>
        <v>4</v>
      </c>
      <c r="Q17" s="34">
        <f>SUM(G$15:G17)</f>
        <v>10</v>
      </c>
      <c r="R17" s="34">
        <f>SUM(H$15:H17)</f>
        <v>4</v>
      </c>
      <c r="S17" s="8">
        <f t="shared" si="6"/>
        <v>34</v>
      </c>
      <c r="U17" s="251"/>
      <c r="V17" s="23" t="s">
        <v>34</v>
      </c>
      <c r="W17" s="34">
        <f>SUM(C$3:C17)</f>
        <v>40</v>
      </c>
      <c r="X17" s="34">
        <f>SUM(D$3:D17)</f>
        <v>33</v>
      </c>
      <c r="Y17" s="34">
        <f>SUM(E$3:E17)</f>
        <v>45</v>
      </c>
      <c r="Z17" s="34">
        <f>SUM(F$3:F17)</f>
        <v>28</v>
      </c>
      <c r="AA17" s="34">
        <f>SUM(G$3:G17)</f>
        <v>38</v>
      </c>
      <c r="AB17" s="34">
        <f>SUM(H$3:H17)</f>
        <v>19</v>
      </c>
      <c r="AC17" s="8">
        <f t="shared" si="7"/>
        <v>203</v>
      </c>
      <c r="AD17" s="64">
        <f t="shared" si="0"/>
        <v>5.0750000000000002</v>
      </c>
      <c r="AE17" s="64">
        <f t="shared" si="1"/>
        <v>2.7432432432432434</v>
      </c>
    </row>
    <row r="18" spans="1:31">
      <c r="A18" s="251"/>
      <c r="B18" s="23" t="s">
        <v>38</v>
      </c>
      <c r="C18" s="8">
        <f>COUNTIFS('Datos Bachillerato'!$E:$E,C$2,'Datos Bachillerato'!$C:$C,"&gt;=01/04/2024",'Datos Bachillerato'!$C:$C,"&lt;=30/04/2024")</f>
        <v>0</v>
      </c>
      <c r="D18" s="8">
        <f>COUNTIFS('Datos Bachillerato'!$E:$E,D$2,'Datos Bachillerato'!$C:$C,"&gt;=01/04/2024",'Datos Bachillerato'!$C:$C,"&lt;=30/04/2024")</f>
        <v>0</v>
      </c>
      <c r="E18" s="8">
        <f>COUNTIFS('Datos Bachillerato'!$E:$E,E$2,'Datos Bachillerato'!$C:$C,"&gt;=01/04/2024",'Datos Bachillerato'!$C:$C,"&lt;=30/04/2024")</f>
        <v>2</v>
      </c>
      <c r="F18" s="8">
        <f>COUNTIFS('Datos Bachillerato'!$E:$E,F$2,'Datos Bachillerato'!$C:$C,"&gt;=01/04/2024",'Datos Bachillerato'!$C:$C,"&lt;=30/04/2024")</f>
        <v>3</v>
      </c>
      <c r="G18" s="8">
        <f>COUNTIFS('Datos Bachillerato'!$E:$E,G$2,'Datos Bachillerato'!$C:$C,"&gt;=01/04/2024",'Datos Bachillerato'!$C:$C,"&lt;=30/04/2024")</f>
        <v>4</v>
      </c>
      <c r="H18" s="8">
        <f>COUNTIFS('Datos Bachillerato'!$E:$E,H$2,'Datos Bachillerato'!$C:$C,"&gt;=01/04/2024",'Datos Bachillerato'!$C:$C,"&lt;=30/04/2024")</f>
        <v>1</v>
      </c>
      <c r="I18" s="8">
        <f t="shared" si="5"/>
        <v>10</v>
      </c>
      <c r="K18" s="251"/>
      <c r="L18" s="23" t="s">
        <v>38</v>
      </c>
      <c r="M18" s="34">
        <f>SUM(C$15:C18)</f>
        <v>4</v>
      </c>
      <c r="N18" s="34">
        <f>SUM(D$15:D18)</f>
        <v>4</v>
      </c>
      <c r="O18" s="34">
        <f>SUM(E$15:E18)</f>
        <v>10</v>
      </c>
      <c r="P18" s="34">
        <f>SUM(F$15:F18)</f>
        <v>7</v>
      </c>
      <c r="Q18" s="34">
        <f>SUM(G$15:G18)</f>
        <v>14</v>
      </c>
      <c r="R18" s="34">
        <f>SUM(H$15:H18)</f>
        <v>5</v>
      </c>
      <c r="S18" s="8">
        <f t="shared" si="6"/>
        <v>44</v>
      </c>
      <c r="U18" s="251"/>
      <c r="V18" s="23" t="s">
        <v>38</v>
      </c>
      <c r="W18" s="34">
        <f>SUM(C$3:C18)</f>
        <v>40</v>
      </c>
      <c r="X18" s="34">
        <f>SUM(D$3:D18)</f>
        <v>33</v>
      </c>
      <c r="Y18" s="34">
        <f>SUM(E$3:E18)</f>
        <v>47</v>
      </c>
      <c r="Z18" s="34">
        <f>SUM(F$3:F18)</f>
        <v>31</v>
      </c>
      <c r="AA18" s="34">
        <f>SUM(G$3:G18)</f>
        <v>42</v>
      </c>
      <c r="AB18" s="34">
        <f>SUM(H$3:H18)</f>
        <v>20</v>
      </c>
      <c r="AC18" s="8">
        <f t="shared" si="7"/>
        <v>213</v>
      </c>
      <c r="AD18" s="64">
        <f t="shared" si="0"/>
        <v>5.3250000000000002</v>
      </c>
      <c r="AE18" s="64">
        <f t="shared" si="1"/>
        <v>2.8783783783783785</v>
      </c>
    </row>
    <row r="19" spans="1:31">
      <c r="A19" s="251"/>
      <c r="B19" s="23" t="s">
        <v>47</v>
      </c>
      <c r="C19" s="8">
        <f>COUNTIFS('Datos Bachillerato'!$E:$E,C$2,'Datos Bachillerato'!$C:$C,"&gt;=01/05/2024",'Datos Bachillerato'!$C:$C,"&lt;=31/05/2024")</f>
        <v>2</v>
      </c>
      <c r="D19" s="8">
        <f>COUNTIFS('Datos Bachillerato'!$E:$E,D$2,'Datos Bachillerato'!$C:$C,"&gt;=01/05/2024",'Datos Bachillerato'!$C:$C,"&lt;=31/05/2024")</f>
        <v>2</v>
      </c>
      <c r="E19" s="8">
        <f>COUNTIFS('Datos Bachillerato'!$E:$E,E$2,'Datos Bachillerato'!$C:$C,"&gt;=01/05/2024",'Datos Bachillerato'!$C:$C,"&lt;=31/05/2024")</f>
        <v>3</v>
      </c>
      <c r="F19" s="8">
        <f>COUNTIFS('Datos Bachillerato'!$E:$E,F$2,'Datos Bachillerato'!$C:$C,"&gt;=01/05/2024",'Datos Bachillerato'!$C:$C,"&lt;=31/05/2024")</f>
        <v>1</v>
      </c>
      <c r="G19" s="8">
        <f>COUNTIFS('Datos Bachillerato'!$E:$E,G$2,'Datos Bachillerato'!$C:$C,"&gt;=01/05/2024",'Datos Bachillerato'!$C:$C,"&lt;=31/05/2024")</f>
        <v>1</v>
      </c>
      <c r="H19" s="8">
        <f>COUNTIFS('Datos Bachillerato'!$E:$E,H$2,'Datos Bachillerato'!$C:$C,"&gt;=01/05/2024",'Datos Bachillerato'!$C:$C,"&lt;=31/05/2024")</f>
        <v>0</v>
      </c>
      <c r="I19" s="8">
        <f t="shared" si="5"/>
        <v>9</v>
      </c>
      <c r="K19" s="251"/>
      <c r="L19" s="23" t="s">
        <v>47</v>
      </c>
      <c r="M19" s="34">
        <f>SUM(C$15:C19)</f>
        <v>6</v>
      </c>
      <c r="N19" s="34">
        <f>SUM(D$15:D19)</f>
        <v>6</v>
      </c>
      <c r="O19" s="34">
        <f>SUM(E$15:E19)</f>
        <v>13</v>
      </c>
      <c r="P19" s="34">
        <f>SUM(F$15:F19)</f>
        <v>8</v>
      </c>
      <c r="Q19" s="34">
        <f>SUM(G$15:G19)</f>
        <v>15</v>
      </c>
      <c r="R19" s="34">
        <f>SUM(H$15:H19)</f>
        <v>5</v>
      </c>
      <c r="S19" s="8">
        <f t="shared" si="6"/>
        <v>53</v>
      </c>
      <c r="U19" s="251"/>
      <c r="V19" s="23" t="s">
        <v>47</v>
      </c>
      <c r="W19" s="34">
        <f>SUM(C$3:C19)</f>
        <v>42</v>
      </c>
      <c r="X19" s="34">
        <f>SUM(D$3:D19)</f>
        <v>35</v>
      </c>
      <c r="Y19" s="34">
        <f>SUM(E$3:E19)</f>
        <v>50</v>
      </c>
      <c r="Z19" s="34">
        <f>SUM(F$3:F19)</f>
        <v>32</v>
      </c>
      <c r="AA19" s="34">
        <f>SUM(G$3:G19)</f>
        <v>43</v>
      </c>
      <c r="AB19" s="34">
        <f>SUM(H$3:H19)</f>
        <v>20</v>
      </c>
      <c r="AC19" s="8">
        <f t="shared" si="7"/>
        <v>222</v>
      </c>
      <c r="AD19" s="64">
        <f t="shared" si="0"/>
        <v>5.4146341463414638</v>
      </c>
      <c r="AE19" s="64">
        <f t="shared" si="1"/>
        <v>2.96</v>
      </c>
    </row>
    <row r="20" spans="1:31">
      <c r="A20" s="251"/>
      <c r="B20" s="23" t="s">
        <v>57</v>
      </c>
      <c r="C20" s="8">
        <f>COUNTIFS('Datos Bachillerato'!$E:$E,C$2,'Datos Bachillerato'!$C:$C,"&gt;=01/06/2024",'Datos Bachillerato'!$C:$C,"&lt;=30/06/2024")</f>
        <v>1</v>
      </c>
      <c r="D20" s="8">
        <f>COUNTIFS('Datos Bachillerato'!$E:$E,D$2,'Datos Bachillerato'!$C:$C,"&gt;=01/06/2024",'Datos Bachillerato'!$C:$C,"&lt;=30/06/2024")</f>
        <v>3</v>
      </c>
      <c r="E20" s="8">
        <f>COUNTIFS('Datos Bachillerato'!$E:$E,E$2,'Datos Bachillerato'!$C:$C,"&gt;=01/06/2024",'Datos Bachillerato'!$C:$C,"&lt;=30/06/2024")</f>
        <v>3</v>
      </c>
      <c r="F20" s="8">
        <f>COUNTIFS('Datos Bachillerato'!$E:$E,F$2,'Datos Bachillerato'!$C:$C,"&gt;=01/06/2024",'Datos Bachillerato'!$C:$C,"&lt;=30/06/2024")</f>
        <v>1</v>
      </c>
      <c r="G20" s="8">
        <f>COUNTIFS('Datos Bachillerato'!$E:$E,G$2,'Datos Bachillerato'!$C:$C,"&gt;=01/06/2024",'Datos Bachillerato'!$C:$C,"&lt;=30/06/2024")</f>
        <v>0</v>
      </c>
      <c r="H20" s="8">
        <f>COUNTIFS('Datos Bachillerato'!$E:$E,H$2,'Datos Bachillerato'!$C:$C,"&gt;=01/06/2024",'Datos Bachillerato'!$C:$C,"&lt;=30/06/2024")</f>
        <v>0</v>
      </c>
      <c r="I20" s="8">
        <f t="shared" si="5"/>
        <v>8</v>
      </c>
      <c r="K20" s="251"/>
      <c r="L20" s="23" t="s">
        <v>57</v>
      </c>
      <c r="M20" s="34">
        <f>SUM(C$15:C20)</f>
        <v>7</v>
      </c>
      <c r="N20" s="34">
        <f>SUM(D$15:D20)</f>
        <v>9</v>
      </c>
      <c r="O20" s="34">
        <f>SUM(E$15:E20)</f>
        <v>16</v>
      </c>
      <c r="P20" s="34">
        <f>SUM(F$15:F20)</f>
        <v>9</v>
      </c>
      <c r="Q20" s="34">
        <f>SUM(G$15:G20)</f>
        <v>15</v>
      </c>
      <c r="R20" s="34">
        <f>SUM(H$15:H20)</f>
        <v>5</v>
      </c>
      <c r="S20" s="8">
        <f t="shared" si="6"/>
        <v>61</v>
      </c>
      <c r="U20" s="251"/>
      <c r="V20" s="23" t="s">
        <v>57</v>
      </c>
      <c r="W20" s="34">
        <f>SUM(C$3:C20)</f>
        <v>43</v>
      </c>
      <c r="X20" s="34">
        <f>SUM(D$3:D20)</f>
        <v>38</v>
      </c>
      <c r="Y20" s="34">
        <f>SUM(E$3:E20)</f>
        <v>53</v>
      </c>
      <c r="Z20" s="34">
        <f>SUM(F$3:F20)</f>
        <v>33</v>
      </c>
      <c r="AA20" s="34">
        <f>SUM(G$3:G20)</f>
        <v>43</v>
      </c>
      <c r="AB20" s="34">
        <f>SUM(H$3:H20)</f>
        <v>20</v>
      </c>
      <c r="AC20" s="8">
        <f t="shared" si="7"/>
        <v>230</v>
      </c>
      <c r="AD20" s="64">
        <f t="shared" si="0"/>
        <v>5.6097560975609753</v>
      </c>
      <c r="AE20" s="64">
        <f t="shared" si="1"/>
        <v>3.0263157894736841</v>
      </c>
    </row>
    <row r="21" spans="1:31">
      <c r="A21" s="251"/>
      <c r="B21" s="23" t="s">
        <v>62</v>
      </c>
      <c r="C21" s="8">
        <f>COUNTIFS('Datos Bachillerato'!$E:$E,C$2,'Datos Bachillerato'!$C:$C,"&gt;=01/07/2024",'Datos Bachillerato'!$C:$C,"&lt;=31/07/2024")</f>
        <v>2</v>
      </c>
      <c r="D21" s="8">
        <f>COUNTIFS('Datos Bachillerato'!$E:$E,D$2,'Datos Bachillerato'!$C:$C,"&gt;=01/07/2024",'Datos Bachillerato'!$C:$C,"&lt;=31/07/2024")</f>
        <v>1</v>
      </c>
      <c r="E21" s="8">
        <f>COUNTIFS('Datos Bachillerato'!$E:$E,E$2,'Datos Bachillerato'!$C:$C,"&gt;=01/07/2024",'Datos Bachillerato'!$C:$C,"&lt;=31/07/2024")</f>
        <v>3</v>
      </c>
      <c r="F21" s="8">
        <f>COUNTIFS('Datos Bachillerato'!$E:$E,F$2,'Datos Bachillerato'!$C:$C,"&gt;=01/07/2024",'Datos Bachillerato'!$C:$C,"&lt;=31/07/2024")</f>
        <v>2</v>
      </c>
      <c r="G21" s="8">
        <f>COUNTIFS('Datos Bachillerato'!$E:$E,G$2,'Datos Bachillerato'!$C:$C,"&gt;=01/07/2024",'Datos Bachillerato'!$C:$C,"&lt;=31/07/2024")</f>
        <v>2</v>
      </c>
      <c r="H21" s="8">
        <f>COUNTIFS('Datos Bachillerato'!$E:$E,H$2,'Datos Bachillerato'!$C:$C,"&gt;=01/07/2024",'Datos Bachillerato'!$C:$C,"&lt;=31/07/2024")</f>
        <v>0</v>
      </c>
      <c r="I21" s="8">
        <f t="shared" si="5"/>
        <v>10</v>
      </c>
      <c r="K21" s="251"/>
      <c r="L21" s="23" t="s">
        <v>62</v>
      </c>
      <c r="M21" s="34">
        <f>SUM(C$15:C21)</f>
        <v>9</v>
      </c>
      <c r="N21" s="34">
        <f>SUM(D$15:D21)</f>
        <v>10</v>
      </c>
      <c r="O21" s="34">
        <f>SUM(E$15:E21)</f>
        <v>19</v>
      </c>
      <c r="P21" s="34">
        <f>SUM(F$15:F21)</f>
        <v>11</v>
      </c>
      <c r="Q21" s="34">
        <f>SUM(G$15:G21)</f>
        <v>17</v>
      </c>
      <c r="R21" s="34">
        <f>SUM(H$15:H21)</f>
        <v>5</v>
      </c>
      <c r="S21" s="8">
        <f t="shared" si="6"/>
        <v>71</v>
      </c>
      <c r="U21" s="251"/>
      <c r="V21" s="23" t="s">
        <v>62</v>
      </c>
      <c r="W21" s="34">
        <f>SUM(C$3:C21)</f>
        <v>45</v>
      </c>
      <c r="X21" s="34">
        <f>SUM(D$3:D21)</f>
        <v>39</v>
      </c>
      <c r="Y21" s="34">
        <f>SUM(E$3:E21)</f>
        <v>56</v>
      </c>
      <c r="Z21" s="34">
        <f>SUM(F$3:F21)</f>
        <v>35</v>
      </c>
      <c r="AA21" s="34">
        <f>SUM(G$3:G21)</f>
        <v>45</v>
      </c>
      <c r="AB21" s="34">
        <f>SUM(H$3:H21)</f>
        <v>20</v>
      </c>
      <c r="AC21" s="8">
        <f t="shared" si="7"/>
        <v>240</v>
      </c>
      <c r="AD21" s="65">
        <f t="shared" si="0"/>
        <v>5.7142857142857144</v>
      </c>
      <c r="AE21" s="64">
        <f t="shared" si="1"/>
        <v>3.116883116883117</v>
      </c>
    </row>
    <row r="22" spans="1:31">
      <c r="A22" s="251"/>
      <c r="B22" s="23" t="s">
        <v>68</v>
      </c>
      <c r="C22" s="8">
        <f>COUNTIFS('Datos Bachillerato'!$E:$E,C$2,'Datos Bachillerato'!$C:$C,"&gt;=01/08/2024",'Datos Bachillerato'!$C:$C,"&lt;=31/08/2024")</f>
        <v>4</v>
      </c>
      <c r="D22" s="8">
        <f>COUNTIFS('Datos Bachillerato'!$E:$E,D$2,'Datos Bachillerato'!$C:$C,"&gt;=01/08/2024",'Datos Bachillerato'!$C:$C,"&lt;=31/08/2024")</f>
        <v>2</v>
      </c>
      <c r="E22" s="8">
        <f>COUNTIFS('Datos Bachillerato'!$E:$E,E$2,'Datos Bachillerato'!$C:$C,"&gt;=01/08/2024",'Datos Bachillerato'!$C:$C,"&lt;=31/08/2024")</f>
        <v>3</v>
      </c>
      <c r="F22" s="8">
        <f>COUNTIFS('Datos Bachillerato'!$E:$E,F$2,'Datos Bachillerato'!$C:$C,"&gt;=01/08/2024",'Datos Bachillerato'!$C:$C,"&lt;=31/08/2024")</f>
        <v>4</v>
      </c>
      <c r="G22" s="8">
        <f>COUNTIFS('Datos Bachillerato'!$E:$E,G$2,'Datos Bachillerato'!$C:$C,"&gt;=01/08/2024",'Datos Bachillerato'!$C:$C,"&lt;=31/08/2024")</f>
        <v>3</v>
      </c>
      <c r="H22" s="8">
        <f>COUNTIFS('Datos Bachillerato'!$E:$E,H$2,'Datos Bachillerato'!$C:$C,"&gt;=01/08/2024",'Datos Bachillerato'!$C:$C,"&lt;=31/08/2024")</f>
        <v>1</v>
      </c>
      <c r="I22" s="8">
        <f t="shared" si="5"/>
        <v>17</v>
      </c>
      <c r="K22" s="251"/>
      <c r="L22" s="23" t="s">
        <v>68</v>
      </c>
      <c r="M22" s="34">
        <f>SUM(C$15:C22)</f>
        <v>13</v>
      </c>
      <c r="N22" s="34">
        <f>SUM(D$15:D22)</f>
        <v>12</v>
      </c>
      <c r="O22" s="34">
        <f>SUM(E$15:E22)</f>
        <v>22</v>
      </c>
      <c r="P22" s="34">
        <f>SUM(F$15:F22)</f>
        <v>15</v>
      </c>
      <c r="Q22" s="34">
        <f>SUM(G$15:G22)</f>
        <v>20</v>
      </c>
      <c r="R22" s="34">
        <f>SUM(H$15:H22)</f>
        <v>6</v>
      </c>
      <c r="S22" s="8">
        <f t="shared" si="6"/>
        <v>88</v>
      </c>
      <c r="U22" s="251"/>
      <c r="V22" s="23" t="s">
        <v>68</v>
      </c>
      <c r="W22" s="34">
        <f>SUM(C$3:C22)</f>
        <v>49</v>
      </c>
      <c r="X22" s="34">
        <f>SUM(D$3:D22)</f>
        <v>41</v>
      </c>
      <c r="Y22" s="34">
        <f>SUM(E$3:E22)</f>
        <v>59</v>
      </c>
      <c r="Z22" s="34">
        <f>SUM(F$3:F22)</f>
        <v>39</v>
      </c>
      <c r="AA22" s="34">
        <f>SUM(G$3:G22)</f>
        <v>48</v>
      </c>
      <c r="AB22" s="34">
        <f>SUM(H$3:H22)</f>
        <v>21</v>
      </c>
      <c r="AC22" s="8">
        <f t="shared" si="7"/>
        <v>257</v>
      </c>
      <c r="AD22" s="64">
        <f t="shared" si="0"/>
        <v>6.1190476190476186</v>
      </c>
      <c r="AE22" s="64">
        <f t="shared" si="1"/>
        <v>3.3376623376623376</v>
      </c>
    </row>
    <row r="23" spans="1:31">
      <c r="A23" s="251"/>
      <c r="B23" s="23" t="s">
        <v>77</v>
      </c>
      <c r="C23" s="8">
        <f>COUNTIFS('Datos Bachillerato'!$E:$E,C$2,'Datos Bachillerato'!$C:$C,"&gt;=01/09/2024",'Datos Bachillerato'!$C:$C,"&lt;=30/09/2024")</f>
        <v>2</v>
      </c>
      <c r="D23" s="8">
        <f>COUNTIFS('Datos Bachillerato'!$E:$E,D$2,'Datos Bachillerato'!$C:$C,"&gt;=01/09/2024",'Datos Bachillerato'!$C:$C,"&lt;=30/09/2024")</f>
        <v>2</v>
      </c>
      <c r="E23" s="8">
        <f>COUNTIFS('Datos Bachillerato'!$E:$E,E$2,'Datos Bachillerato'!$C:$C,"&gt;=01/09/2024",'Datos Bachillerato'!$C:$C,"&lt;=30/09/2024")</f>
        <v>2</v>
      </c>
      <c r="F23" s="8">
        <f>COUNTIFS('Datos Bachillerato'!$E:$E,F$2,'Datos Bachillerato'!$C:$C,"&gt;=01/09/2024",'Datos Bachillerato'!$C:$C,"&lt;=30/09/2024")</f>
        <v>0</v>
      </c>
      <c r="G23" s="8">
        <f>COUNTIFS('Datos Bachillerato'!$E:$E,G$2,'Datos Bachillerato'!$C:$C,"&gt;=01/09/2024",'Datos Bachillerato'!$C:$C,"&lt;=30/09/2024")</f>
        <v>1</v>
      </c>
      <c r="H23" s="8">
        <f>COUNTIFS('Datos Bachillerato'!$E:$E,H$2,'Datos Bachillerato'!$C:$C,"&gt;=01/09/2024",'Datos Bachillerato'!$C:$C,"&lt;=30/09/2024")</f>
        <v>0</v>
      </c>
      <c r="I23" s="8">
        <f t="shared" si="5"/>
        <v>7</v>
      </c>
      <c r="K23" s="251"/>
      <c r="L23" s="23" t="s">
        <v>77</v>
      </c>
      <c r="M23" s="34">
        <f>SUM(C$15:C23)</f>
        <v>15</v>
      </c>
      <c r="N23" s="34">
        <f>SUM(D$15:D23)</f>
        <v>14</v>
      </c>
      <c r="O23" s="34">
        <f>SUM(E$15:E23)</f>
        <v>24</v>
      </c>
      <c r="P23" s="34">
        <f>SUM(F$15:F23)</f>
        <v>15</v>
      </c>
      <c r="Q23" s="34">
        <f>SUM(G$15:G23)</f>
        <v>21</v>
      </c>
      <c r="R23" s="34">
        <f>SUM(H$15:H23)</f>
        <v>6</v>
      </c>
      <c r="S23" s="8">
        <f t="shared" si="6"/>
        <v>95</v>
      </c>
      <c r="U23" s="251"/>
      <c r="V23" s="23" t="s">
        <v>77</v>
      </c>
      <c r="W23" s="34">
        <f>SUM(C$3:C23)</f>
        <v>51</v>
      </c>
      <c r="X23" s="34">
        <f>SUM(D$3:D23)</f>
        <v>43</v>
      </c>
      <c r="Y23" s="34">
        <f>SUM(E$3:E23)</f>
        <v>61</v>
      </c>
      <c r="Z23" s="34">
        <f>SUM(F$3:F23)</f>
        <v>39</v>
      </c>
      <c r="AA23" s="34">
        <f>SUM(G$3:G23)</f>
        <v>49</v>
      </c>
      <c r="AB23" s="34">
        <f>SUM(H$3:H23)</f>
        <v>21</v>
      </c>
      <c r="AC23" s="8">
        <f t="shared" si="7"/>
        <v>264</v>
      </c>
      <c r="AD23" s="64">
        <f t="shared" si="0"/>
        <v>5.8666666666666663</v>
      </c>
      <c r="AE23" s="64">
        <f t="shared" si="1"/>
        <v>3.4285714285714284</v>
      </c>
    </row>
    <row r="24" spans="1:31">
      <c r="A24" s="251"/>
      <c r="B24" s="23" t="s">
        <v>84</v>
      </c>
      <c r="C24" s="8">
        <f>COUNTIFS('Datos Bachillerato'!$E:$E,C$2,'Datos Bachillerato'!$C:$C,"&gt;=01/10/2024",'Datos Bachillerato'!$C:$C,"&lt;=31/10/2024")</f>
        <v>0</v>
      </c>
      <c r="D24" s="8">
        <f>COUNTIFS('Datos Bachillerato'!$E:$E,D$2,'Datos Bachillerato'!$C:$C,"&gt;=01/10/2024",'Datos Bachillerato'!$C:$C,"&lt;=31/10/2024")</f>
        <v>1</v>
      </c>
      <c r="E24" s="8">
        <f>COUNTIFS('Datos Bachillerato'!$E:$E,E$2,'Datos Bachillerato'!$C:$C,"&gt;=01/10/2024",'Datos Bachillerato'!$C:$C,"&lt;=31/10/2024")</f>
        <v>3</v>
      </c>
      <c r="F24" s="8">
        <f>COUNTIFS('Datos Bachillerato'!$E:$E,F$2,'Datos Bachillerato'!$C:$C,"&gt;=01/10/2024",'Datos Bachillerato'!$C:$C,"&lt;=31/10/2024")</f>
        <v>2</v>
      </c>
      <c r="G24" s="8">
        <f>COUNTIFS('Datos Bachillerato'!$E:$E,G$2,'Datos Bachillerato'!$C:$C,"&gt;=01/10/2024",'Datos Bachillerato'!$C:$C,"&lt;=31/10/2024")</f>
        <v>2</v>
      </c>
      <c r="H24" s="8">
        <f>COUNTIFS('Datos Bachillerato'!$E:$E,H$2,'Datos Bachillerato'!$C:$C,"&gt;=01/10/2024",'Datos Bachillerato'!$C:$C,"&lt;=31/10/2024")</f>
        <v>0</v>
      </c>
      <c r="I24" s="8">
        <f t="shared" si="5"/>
        <v>8</v>
      </c>
      <c r="K24" s="251"/>
      <c r="L24" s="23" t="s">
        <v>84</v>
      </c>
      <c r="M24" s="34">
        <f>SUM(C$15:C24)</f>
        <v>15</v>
      </c>
      <c r="N24" s="34">
        <f>SUM(D$15:D24)</f>
        <v>15</v>
      </c>
      <c r="O24" s="34">
        <f>SUM(E$15:E24)</f>
        <v>27</v>
      </c>
      <c r="P24" s="34">
        <f>SUM(F$15:F24)</f>
        <v>17</v>
      </c>
      <c r="Q24" s="34">
        <f>SUM(G$15:G24)</f>
        <v>23</v>
      </c>
      <c r="R24" s="34">
        <f>SUM(H$15:H24)</f>
        <v>6</v>
      </c>
      <c r="S24" s="8">
        <f t="shared" si="6"/>
        <v>103</v>
      </c>
      <c r="U24" s="251"/>
      <c r="V24" s="23" t="s">
        <v>84</v>
      </c>
      <c r="W24" s="34">
        <f>SUM(C$3:C24)</f>
        <v>51</v>
      </c>
      <c r="X24" s="34">
        <f>SUM(D$3:D24)</f>
        <v>44</v>
      </c>
      <c r="Y24" s="34">
        <f>SUM(E$3:E24)</f>
        <v>64</v>
      </c>
      <c r="Z24" s="34">
        <f>SUM(F$3:F24)</f>
        <v>41</v>
      </c>
      <c r="AA24" s="34">
        <f>SUM(G$3:G24)</f>
        <v>51</v>
      </c>
      <c r="AB24" s="34">
        <f>SUM(H$3:H24)</f>
        <v>21</v>
      </c>
      <c r="AC24" s="8">
        <f t="shared" si="7"/>
        <v>272</v>
      </c>
      <c r="AD24" s="64">
        <f t="shared" si="0"/>
        <v>5.9130434782608692</v>
      </c>
      <c r="AE24" s="64">
        <f t="shared" si="1"/>
        <v>3.5324675324675323</v>
      </c>
    </row>
    <row r="25" spans="1:31">
      <c r="A25" s="251"/>
      <c r="B25" s="23" t="s">
        <v>87</v>
      </c>
      <c r="C25" s="8">
        <f>COUNTIFS('Datos Bachillerato'!$E:$E,C$2,'Datos Bachillerato'!$C:$C,"&gt;=01/11/2024",'Datos Bachillerato'!$C:$C,"&lt;=30/11/2024")</f>
        <v>2</v>
      </c>
      <c r="D25" s="8">
        <f>COUNTIFS('Datos Bachillerato'!$E:$E,D$2,'Datos Bachillerato'!$C:$C,"&gt;=01/11/2024",'Datos Bachillerato'!$C:$C,"&lt;=30/11/2024")</f>
        <v>4</v>
      </c>
      <c r="E25" s="8">
        <f>COUNTIFS('Datos Bachillerato'!$E:$E,E$2,'Datos Bachillerato'!$C:$C,"&gt;=01/11/2024",'Datos Bachillerato'!$C:$C,"&lt;=30/11/2024")</f>
        <v>6</v>
      </c>
      <c r="F25" s="8">
        <f>COUNTIFS('Datos Bachillerato'!$E:$E,F$2,'Datos Bachillerato'!$C:$C,"&gt;=01/11/2024",'Datos Bachillerato'!$C:$C,"&lt;=30/11/2024")</f>
        <v>2</v>
      </c>
      <c r="G25" s="8">
        <f>COUNTIFS('Datos Bachillerato'!$E:$E,G$2,'Datos Bachillerato'!$C:$C,"&gt;=01/11/2024",'Datos Bachillerato'!$C:$C,"&lt;=30/11/2024")</f>
        <v>2</v>
      </c>
      <c r="H25" s="8">
        <f>COUNTIFS('Datos Bachillerato'!$E:$E,H$2,'Datos Bachillerato'!$C:$C,"&gt;=01/11/2024",'Datos Bachillerato'!$C:$C,"&lt;=30/11/2024")</f>
        <v>0</v>
      </c>
      <c r="I25" s="8">
        <f t="shared" si="5"/>
        <v>16</v>
      </c>
      <c r="K25" s="251"/>
      <c r="L25" s="23" t="s">
        <v>87</v>
      </c>
      <c r="M25" s="34">
        <f>SUM(C$15:C25)</f>
        <v>17</v>
      </c>
      <c r="N25" s="34">
        <f>SUM(D$15:D25)</f>
        <v>19</v>
      </c>
      <c r="O25" s="34">
        <f>SUM(E$15:E25)</f>
        <v>33</v>
      </c>
      <c r="P25" s="34">
        <f>SUM(F$15:F25)</f>
        <v>19</v>
      </c>
      <c r="Q25" s="34">
        <f>SUM(G$15:G25)</f>
        <v>25</v>
      </c>
      <c r="R25" s="34">
        <f>SUM(H$15:H25)</f>
        <v>6</v>
      </c>
      <c r="S25" s="8">
        <f t="shared" si="6"/>
        <v>119</v>
      </c>
      <c r="U25" s="251"/>
      <c r="V25" s="23" t="s">
        <v>87</v>
      </c>
      <c r="W25" s="34">
        <f>SUM(C$3:C25)</f>
        <v>53</v>
      </c>
      <c r="X25" s="34">
        <f>SUM(D$3:D25)</f>
        <v>48</v>
      </c>
      <c r="Y25" s="34">
        <f>SUM(E$3:E25)</f>
        <v>70</v>
      </c>
      <c r="Z25" s="34">
        <f>SUM(F$3:F25)</f>
        <v>43</v>
      </c>
      <c r="AA25" s="34">
        <f>SUM(G$3:G25)</f>
        <v>53</v>
      </c>
      <c r="AB25" s="34">
        <f>SUM(H$3:H25)</f>
        <v>21</v>
      </c>
      <c r="AC25" s="8">
        <f t="shared" si="7"/>
        <v>288</v>
      </c>
      <c r="AD25" s="64">
        <f t="shared" si="0"/>
        <v>6.1276595744680851</v>
      </c>
      <c r="AE25" s="64">
        <f t="shared" si="1"/>
        <v>3.7402597402597402</v>
      </c>
    </row>
    <row r="26" spans="1:31">
      <c r="A26" s="251"/>
      <c r="B26" s="23" t="s">
        <v>173</v>
      </c>
      <c r="C26" s="8">
        <f>COUNTIFS('Datos Bachillerato'!$E:$E,C$2,'Datos Bachillerato'!$C:$C,"&gt;=01/12/2024",'Datos Bachillerato'!$C:$C,"&lt;=31/12/2024")</f>
        <v>0</v>
      </c>
      <c r="D26" s="8">
        <f>COUNTIFS('Datos Bachillerato'!$E:$E,D$2,'Datos Bachillerato'!$C:$C,"&gt;=01/12/2024",'Datos Bachillerato'!$C:$C,"&lt;=31/12/2024")</f>
        <v>1</v>
      </c>
      <c r="E26" s="8">
        <f>COUNTIFS('Datos Bachillerato'!$E:$E,E$2,'Datos Bachillerato'!$C:$C,"&gt;=01/12/2024",'Datos Bachillerato'!$C:$C,"&lt;=31/12/2024")</f>
        <v>2</v>
      </c>
      <c r="F26" s="8">
        <f>COUNTIFS('Datos Bachillerato'!$E:$E,F$2,'Datos Bachillerato'!$C:$C,"&gt;=01/12/2024",'Datos Bachillerato'!$C:$C,"&lt;=31/12/2024")</f>
        <v>1</v>
      </c>
      <c r="G26" s="8">
        <f>COUNTIFS('Datos Bachillerato'!$E:$E,G$2,'Datos Bachillerato'!$C:$C,"&gt;=01/12/2024",'Datos Bachillerato'!$C:$C,"&lt;=31/12/2024")</f>
        <v>1</v>
      </c>
      <c r="H26" s="8">
        <f>COUNTIFS('Datos Bachillerato'!$E:$E,H$2,'Datos Bachillerato'!$C:$C,"&gt;=01/12/2024",'Datos Bachillerato'!$C:$C,"&lt;=31/12/2024")</f>
        <v>0</v>
      </c>
      <c r="I26" s="8">
        <f t="shared" si="5"/>
        <v>5</v>
      </c>
      <c r="K26" s="251"/>
      <c r="L26" s="23" t="s">
        <v>173</v>
      </c>
      <c r="M26" s="34">
        <f>SUM(C$15:C26)</f>
        <v>17</v>
      </c>
      <c r="N26" s="34">
        <f>SUM(D$15:D26)</f>
        <v>20</v>
      </c>
      <c r="O26" s="34">
        <f>SUM(E$15:E26)</f>
        <v>35</v>
      </c>
      <c r="P26" s="34">
        <f>SUM(F$15:F26)</f>
        <v>20</v>
      </c>
      <c r="Q26" s="34">
        <f>SUM(G$15:G26)</f>
        <v>26</v>
      </c>
      <c r="R26" s="34">
        <f>SUM(H$15:H26)</f>
        <v>6</v>
      </c>
      <c r="S26" s="8">
        <f t="shared" si="6"/>
        <v>124</v>
      </c>
      <c r="T26" s="103">
        <f>S26-S14</f>
        <v>-45</v>
      </c>
      <c r="U26" s="251"/>
      <c r="V26" s="23" t="s">
        <v>173</v>
      </c>
      <c r="W26" s="34">
        <f>SUM(C$3:C26)</f>
        <v>53</v>
      </c>
      <c r="X26" s="34">
        <f>SUM(D$3:D26)</f>
        <v>49</v>
      </c>
      <c r="Y26" s="34">
        <f>SUM(E$3:E26)</f>
        <v>72</v>
      </c>
      <c r="Z26" s="34">
        <f>SUM(F$3:F26)</f>
        <v>44</v>
      </c>
      <c r="AA26" s="34">
        <f>SUM(G$3:G26)</f>
        <v>54</v>
      </c>
      <c r="AB26" s="34">
        <f>SUM(H$3:H26)</f>
        <v>21</v>
      </c>
      <c r="AC26" s="8">
        <f t="shared" si="7"/>
        <v>293</v>
      </c>
      <c r="AD26" s="64">
        <f t="shared" si="0"/>
        <v>6.2340425531914896</v>
      </c>
      <c r="AE26" s="64">
        <f t="shared" si="1"/>
        <v>3.8051948051948052</v>
      </c>
    </row>
    <row r="27" spans="1:31" ht="14.45" customHeight="1">
      <c r="A27" s="251">
        <v>2025</v>
      </c>
      <c r="B27" s="23" t="s">
        <v>13</v>
      </c>
      <c r="C27" s="8">
        <f>COUNTIFS('Datos Bachillerato'!$E:$E,C$2,'Datos Bachillerato'!$C:$C,"&gt;=01/01/2025",'Datos Bachillerato'!$C:$C,"&lt;=31/01/2025")</f>
        <v>4</v>
      </c>
      <c r="D27" s="8">
        <f>COUNTIFS('Datos Bachillerato'!$E:$E,D$2,'Datos Bachillerato'!$C:$C,"&gt;=01/01/2025",'Datos Bachillerato'!$C:$C,"&lt;=31/01/2025")</f>
        <v>1</v>
      </c>
      <c r="E27" s="8">
        <f>COUNTIFS('Datos Bachillerato'!$E:$E,E$2,'Datos Bachillerato'!$C:$C,"&gt;=01/01/2025",'Datos Bachillerato'!$C:$C,"&lt;=31/01/2025")</f>
        <v>3</v>
      </c>
      <c r="F27" s="8">
        <f>COUNTIFS('Datos Bachillerato'!$E:$E,F$2,'Datos Bachillerato'!$C:$C,"&gt;=01/01/2025",'Datos Bachillerato'!$C:$C,"&lt;=31/01/2025")</f>
        <v>4</v>
      </c>
      <c r="G27" s="8">
        <f>COUNTIFS('Datos Bachillerato'!$E:$E,G$2,'Datos Bachillerato'!$C:$C,"&gt;=01/01/2025",'Datos Bachillerato'!$C:$C,"&lt;=31/01/2025")</f>
        <v>0</v>
      </c>
      <c r="H27" s="8">
        <f>COUNTIFS('Datos Bachillerato'!$E:$E,H$2,'Datos Bachillerato'!$C:$C,"&gt;=01/01/2025",'Datos Bachillerato'!$C:$C,"&lt;=31/01/2025")</f>
        <v>2</v>
      </c>
      <c r="I27" s="8">
        <f>SUM(C27:H27)</f>
        <v>14</v>
      </c>
      <c r="K27" s="251">
        <f>A27</f>
        <v>2025</v>
      </c>
      <c r="L27" s="23" t="s">
        <v>13</v>
      </c>
      <c r="M27" s="34">
        <f>SUM(C$27:C27)</f>
        <v>4</v>
      </c>
      <c r="N27" s="34">
        <f>SUM(D$27:D27)</f>
        <v>1</v>
      </c>
      <c r="O27" s="34">
        <f>SUM(E$27:E27)</f>
        <v>3</v>
      </c>
      <c r="P27" s="34">
        <f>SUM(F$27:F27)</f>
        <v>4</v>
      </c>
      <c r="Q27" s="34">
        <f>SUM(G$27:G27)</f>
        <v>0</v>
      </c>
      <c r="R27" s="34">
        <f>SUM(H$27:H27)</f>
        <v>2</v>
      </c>
      <c r="S27" s="8">
        <f>SUM(M27:R27)</f>
        <v>14</v>
      </c>
      <c r="U27" s="251">
        <f>A27</f>
        <v>2025</v>
      </c>
      <c r="V27" s="23" t="s">
        <v>13</v>
      </c>
      <c r="W27" s="34">
        <f>SUM(C$3:C27)</f>
        <v>57</v>
      </c>
      <c r="X27" s="34">
        <f>SUM(D$3:D27)</f>
        <v>50</v>
      </c>
      <c r="Y27" s="34">
        <f>SUM(E$3:E27)</f>
        <v>75</v>
      </c>
      <c r="Z27" s="34">
        <f>SUM(F$3:F27)</f>
        <v>48</v>
      </c>
      <c r="AA27" s="34">
        <f>SUM(G$3:G27)</f>
        <v>54</v>
      </c>
      <c r="AB27" s="34">
        <f>SUM(H$3:H27)</f>
        <v>23</v>
      </c>
      <c r="AC27" s="8">
        <f>SUM(W27:AB27)</f>
        <v>307</v>
      </c>
      <c r="AD27" s="64">
        <f t="shared" si="0"/>
        <v>5.9038461538461542</v>
      </c>
      <c r="AE27" s="64">
        <f t="shared" si="1"/>
        <v>3.9870129870129869</v>
      </c>
    </row>
    <row r="28" spans="1:31">
      <c r="A28" s="251"/>
      <c r="B28" s="23" t="s">
        <v>24</v>
      </c>
      <c r="C28" s="8">
        <f>COUNTIFS('Datos Bachillerato'!$E:$E,C$2,'Datos Bachillerato'!$C:$C,"&gt;=01/02/2025",'Datos Bachillerato'!$C:$C,"&lt;=28/02/2025")</f>
        <v>1</v>
      </c>
      <c r="D28" s="8">
        <f>COUNTIFS('Datos Bachillerato'!$E:$E,D$2,'Datos Bachillerato'!$C:$C,"&gt;=01/02/2025",'Datos Bachillerato'!$C:$C,"&lt;=28/02/2025")</f>
        <v>0</v>
      </c>
      <c r="E28" s="8">
        <f>COUNTIFS('Datos Bachillerato'!$E:$E,E$2,'Datos Bachillerato'!$C:$C,"&gt;=01/02/2025",'Datos Bachillerato'!$C:$C,"&lt;=28/02/2025")</f>
        <v>0</v>
      </c>
      <c r="F28" s="8">
        <f>COUNTIFS('Datos Bachillerato'!$E:$E,F$2,'Datos Bachillerato'!$C:$C,"&gt;=01/02/2025",'Datos Bachillerato'!$C:$C,"&lt;=28/02/2025")</f>
        <v>2</v>
      </c>
      <c r="G28" s="8">
        <f>COUNTIFS('Datos Bachillerato'!$E:$E,G$2,'Datos Bachillerato'!$C:$C,"&gt;=01/02/2025",'Datos Bachillerato'!$C:$C,"&lt;=28/02/2025")</f>
        <v>0</v>
      </c>
      <c r="H28" s="8">
        <f>COUNTIFS('Datos Bachillerato'!$E:$E,H$2,'Datos Bachillerato'!$C:$C,"&gt;=01/02/2025",'Datos Bachillerato'!$C:$C,"&lt;=28/02/2025")</f>
        <v>1</v>
      </c>
      <c r="I28" s="8">
        <f t="shared" ref="I28:I38" si="8">SUM(C28:H28)</f>
        <v>4</v>
      </c>
      <c r="K28" s="251"/>
      <c r="L28" s="23" t="s">
        <v>24</v>
      </c>
      <c r="M28" s="34">
        <f>SUM(C$27:C28)</f>
        <v>5</v>
      </c>
      <c r="N28" s="34">
        <f>SUM(D$27:D28)</f>
        <v>1</v>
      </c>
      <c r="O28" s="34">
        <f>SUM(E$27:E28)</f>
        <v>3</v>
      </c>
      <c r="P28" s="34">
        <f>SUM(F$27:F28)</f>
        <v>6</v>
      </c>
      <c r="Q28" s="34">
        <f>SUM(G$27:G28)</f>
        <v>0</v>
      </c>
      <c r="R28" s="34">
        <f>SUM(H$27:H28)</f>
        <v>3</v>
      </c>
      <c r="S28" s="8">
        <f t="shared" ref="S28:S38" si="9">SUM(M28:R28)</f>
        <v>18</v>
      </c>
      <c r="U28" s="251"/>
      <c r="V28" s="23" t="s">
        <v>24</v>
      </c>
      <c r="W28" s="34">
        <f>SUM(C$3:C28)</f>
        <v>58</v>
      </c>
      <c r="X28" s="34">
        <f>SUM(D$3:D28)</f>
        <v>50</v>
      </c>
      <c r="Y28" s="34">
        <f>SUM(E$3:E28)</f>
        <v>75</v>
      </c>
      <c r="Z28" s="34">
        <f>SUM(F$3:F28)</f>
        <v>50</v>
      </c>
      <c r="AA28" s="34">
        <f>SUM(G$3:G28)</f>
        <v>54</v>
      </c>
      <c r="AB28" s="34">
        <f>SUM(H$3:H28)</f>
        <v>24</v>
      </c>
      <c r="AC28" s="8">
        <f t="shared" ref="AC28:AC38" si="10">SUM(W28:AB28)</f>
        <v>311</v>
      </c>
      <c r="AD28" s="64">
        <f t="shared" si="0"/>
        <v>5.6545454545454543</v>
      </c>
      <c r="AE28" s="64">
        <f t="shared" si="1"/>
        <v>4.0389610389610393</v>
      </c>
    </row>
    <row r="29" spans="1:31">
      <c r="A29" s="251"/>
      <c r="B29" s="23" t="s">
        <v>34</v>
      </c>
      <c r="C29" s="8">
        <f>COUNTIFS('Datos Bachillerato'!$E:$E,C$2,'Datos Bachillerato'!$C:$C,"&gt;=01/03/2025",'Datos Bachillerato'!$C:$C,"&lt;=31/03/2025")</f>
        <v>2</v>
      </c>
      <c r="D29" s="8">
        <f>COUNTIFS('Datos Bachillerato'!$E:$E,D$2,'Datos Bachillerato'!$C:$C,"&gt;=01/03/2025",'Datos Bachillerato'!$C:$C,"&lt;=31/03/2025")</f>
        <v>1</v>
      </c>
      <c r="E29" s="8">
        <f>COUNTIFS('Datos Bachillerato'!$E:$E,E$2,'Datos Bachillerato'!$C:$C,"&gt;=01/03/2025",'Datos Bachillerato'!$C:$C,"&lt;=31/03/2025")</f>
        <v>0</v>
      </c>
      <c r="F29" s="8">
        <f>COUNTIFS('Datos Bachillerato'!$E:$E,F$2,'Datos Bachillerato'!$C:$C,"&gt;=01/03/2025",'Datos Bachillerato'!$C:$C,"&lt;=31/03/2025")</f>
        <v>1</v>
      </c>
      <c r="G29" s="8">
        <f>COUNTIFS('Datos Bachillerato'!$E:$E,G$2,'Datos Bachillerato'!$C:$C,"&gt;=01/03/2025",'Datos Bachillerato'!$C:$C,"&lt;=31/03/2025")</f>
        <v>4</v>
      </c>
      <c r="H29" s="8">
        <f>COUNTIFS('Datos Bachillerato'!$E:$E,H$2,'Datos Bachillerato'!$C:$C,"&gt;=01/03/2025",'Datos Bachillerato'!$C:$C,"&lt;=31/03/2025")</f>
        <v>0</v>
      </c>
      <c r="I29" s="8">
        <f t="shared" si="8"/>
        <v>8</v>
      </c>
      <c r="K29" s="251"/>
      <c r="L29" s="23" t="s">
        <v>34</v>
      </c>
      <c r="M29" s="34">
        <f>SUM(C$27:C29)</f>
        <v>7</v>
      </c>
      <c r="N29" s="34">
        <f>SUM(D$27:D29)</f>
        <v>2</v>
      </c>
      <c r="O29" s="34">
        <f>SUM(E$27:E29)</f>
        <v>3</v>
      </c>
      <c r="P29" s="34">
        <f>SUM(F$27:F29)</f>
        <v>7</v>
      </c>
      <c r="Q29" s="34">
        <f>SUM(G$27:G29)</f>
        <v>4</v>
      </c>
      <c r="R29" s="34">
        <f>SUM(H$27:H29)</f>
        <v>3</v>
      </c>
      <c r="S29" s="8">
        <f t="shared" si="9"/>
        <v>26</v>
      </c>
      <c r="U29" s="251"/>
      <c r="V29" s="23" t="s">
        <v>34</v>
      </c>
      <c r="W29" s="34">
        <f>SUM(C$3:C29)</f>
        <v>60</v>
      </c>
      <c r="X29" s="34">
        <f>SUM(D$3:D29)</f>
        <v>51</v>
      </c>
      <c r="Y29" s="34">
        <f>SUM(E$3:E29)</f>
        <v>75</v>
      </c>
      <c r="Z29" s="34">
        <f>SUM(F$3:F29)</f>
        <v>51</v>
      </c>
      <c r="AA29" s="34">
        <f>SUM(G$3:G29)</f>
        <v>58</v>
      </c>
      <c r="AB29" s="34">
        <f>SUM(H$3:H29)</f>
        <v>24</v>
      </c>
      <c r="AC29" s="8">
        <f t="shared" si="10"/>
        <v>319</v>
      </c>
      <c r="AD29" s="64">
        <f t="shared" si="0"/>
        <v>5.5</v>
      </c>
      <c r="AE29" s="64">
        <f t="shared" si="1"/>
        <v>4.1428571428571432</v>
      </c>
    </row>
    <row r="30" spans="1:31">
      <c r="A30" s="251"/>
      <c r="B30" s="23" t="s">
        <v>38</v>
      </c>
      <c r="C30" s="8">
        <f>COUNTIFS('Datos Bachillerato'!$E:$E,C$2,'Datos Bachillerato'!$C:$C,"&gt;=01/04/2025",'Datos Bachillerato'!$C:$C,"&lt;=30/04/2025")</f>
        <v>3</v>
      </c>
      <c r="D30" s="8">
        <f>COUNTIFS('Datos Bachillerato'!$E:$E,D$2,'Datos Bachillerato'!$C:$C,"&gt;=01/04/2025",'Datos Bachillerato'!$C:$C,"&lt;=30/04/2025")</f>
        <v>0</v>
      </c>
      <c r="E30" s="8">
        <f>COUNTIFS('Datos Bachillerato'!$E:$E,E$2,'Datos Bachillerato'!$C:$C,"&gt;=01/04/2025",'Datos Bachillerato'!$C:$C,"&lt;=30/04/2025")</f>
        <v>2</v>
      </c>
      <c r="F30" s="8">
        <f>COUNTIFS('Datos Bachillerato'!$E:$E,F$2,'Datos Bachillerato'!$C:$C,"&gt;=01/04/2025",'Datos Bachillerato'!$C:$C,"&lt;=30/04/2025")</f>
        <v>4</v>
      </c>
      <c r="G30" s="8">
        <f>COUNTIFS('Datos Bachillerato'!$E:$E,G$2,'Datos Bachillerato'!$C:$C,"&gt;=01/04/2025",'Datos Bachillerato'!$C:$C,"&lt;=30/04/2025")</f>
        <v>1</v>
      </c>
      <c r="H30" s="8">
        <f>COUNTIFS('Datos Bachillerato'!$E:$E,H$2,'Datos Bachillerato'!$C:$C,"&gt;=01/04/2025",'Datos Bachillerato'!$C:$C,"&lt;=30/04/2025")</f>
        <v>0</v>
      </c>
      <c r="I30" s="8">
        <f t="shared" si="8"/>
        <v>10</v>
      </c>
      <c r="K30" s="251"/>
      <c r="L30" s="23" t="s">
        <v>38</v>
      </c>
      <c r="M30" s="34">
        <f>SUM(C$27:C30)</f>
        <v>10</v>
      </c>
      <c r="N30" s="34">
        <f>SUM(D$27:D30)</f>
        <v>2</v>
      </c>
      <c r="O30" s="34">
        <f>SUM(E$27:E30)</f>
        <v>5</v>
      </c>
      <c r="P30" s="34">
        <f>SUM(F$27:F30)</f>
        <v>11</v>
      </c>
      <c r="Q30" s="34">
        <f>SUM(G$27:G30)</f>
        <v>5</v>
      </c>
      <c r="R30" s="34">
        <f>SUM(H$27:H30)</f>
        <v>3</v>
      </c>
      <c r="S30" s="8">
        <f t="shared" si="9"/>
        <v>36</v>
      </c>
      <c r="U30" s="251"/>
      <c r="V30" s="23" t="s">
        <v>38</v>
      </c>
      <c r="W30" s="34">
        <f>SUM(C$3:C30)</f>
        <v>63</v>
      </c>
      <c r="X30" s="34">
        <f>SUM(D$3:D30)</f>
        <v>51</v>
      </c>
      <c r="Y30" s="34">
        <f>SUM(E$3:E30)</f>
        <v>77</v>
      </c>
      <c r="Z30" s="34">
        <f>SUM(F$3:F30)</f>
        <v>55</v>
      </c>
      <c r="AA30" s="34">
        <f>SUM(G$3:G30)</f>
        <v>59</v>
      </c>
      <c r="AB30" s="34">
        <f>SUM(H$3:H30)</f>
        <v>24</v>
      </c>
      <c r="AC30" s="8">
        <f t="shared" si="10"/>
        <v>329</v>
      </c>
      <c r="AD30" s="64">
        <f t="shared" si="0"/>
        <v>5.4833333333333334</v>
      </c>
      <c r="AE30" s="64">
        <f t="shared" si="1"/>
        <v>4.2727272727272725</v>
      </c>
    </row>
    <row r="31" spans="1:31">
      <c r="A31" s="251"/>
      <c r="B31" s="23" t="s">
        <v>47</v>
      </c>
      <c r="C31" s="8">
        <f>COUNTIFS('Datos Bachillerato'!$E:$E,C$2,'Datos Bachillerato'!$C:$C,"&gt;=01/05/2025",'Datos Bachillerato'!$C:$C,"&lt;=31/05/2025")</f>
        <v>4</v>
      </c>
      <c r="D31" s="8">
        <f>COUNTIFS('Datos Bachillerato'!$E:$E,D$2,'Datos Bachillerato'!$C:$C,"&gt;=01/05/2025",'Datos Bachillerato'!$C:$C,"&lt;=31/05/2025")</f>
        <v>3</v>
      </c>
      <c r="E31" s="8">
        <f>COUNTIFS('Datos Bachillerato'!$E:$E,E$2,'Datos Bachillerato'!$C:$C,"&gt;=01/05/2025",'Datos Bachillerato'!$C:$C,"&lt;=31/05/2025")</f>
        <v>4</v>
      </c>
      <c r="F31" s="8">
        <f>COUNTIFS('Datos Bachillerato'!$E:$E,F$2,'Datos Bachillerato'!$C:$C,"&gt;=01/05/2025",'Datos Bachillerato'!$C:$C,"&lt;=31/05/2025")</f>
        <v>0</v>
      </c>
      <c r="G31" s="8">
        <f>COUNTIFS('Datos Bachillerato'!$E:$E,G$2,'Datos Bachillerato'!$C:$C,"&gt;=01/05/2025",'Datos Bachillerato'!$C:$C,"&lt;=31/05/2025")</f>
        <v>1</v>
      </c>
      <c r="H31" s="8">
        <f>COUNTIFS('Datos Bachillerato'!$E:$E,H$2,'Datos Bachillerato'!$C:$C,"&gt;=01/05/2025",'Datos Bachillerato'!$C:$C,"&lt;=31/05/2025")</f>
        <v>0</v>
      </c>
      <c r="I31" s="8">
        <f t="shared" si="8"/>
        <v>12</v>
      </c>
      <c r="K31" s="251"/>
      <c r="L31" s="23" t="s">
        <v>47</v>
      </c>
      <c r="M31" s="34">
        <f>SUM(C$27:C31)</f>
        <v>14</v>
      </c>
      <c r="N31" s="34">
        <f>SUM(D$27:D31)</f>
        <v>5</v>
      </c>
      <c r="O31" s="34">
        <f>SUM(E$27:E31)</f>
        <v>9</v>
      </c>
      <c r="P31" s="34">
        <f>SUM(F$27:F31)</f>
        <v>11</v>
      </c>
      <c r="Q31" s="34">
        <f>SUM(G$27:G31)</f>
        <v>6</v>
      </c>
      <c r="R31" s="34">
        <f>SUM(H$27:H31)</f>
        <v>3</v>
      </c>
      <c r="S31" s="8">
        <f t="shared" si="9"/>
        <v>48</v>
      </c>
      <c r="U31" s="251"/>
      <c r="V31" s="23" t="s">
        <v>47</v>
      </c>
      <c r="W31" s="34">
        <f>SUM(C$3:C31)</f>
        <v>67</v>
      </c>
      <c r="X31" s="34">
        <f>SUM(D$3:D31)</f>
        <v>54</v>
      </c>
      <c r="Y31" s="34">
        <f>SUM(E$3:E31)</f>
        <v>81</v>
      </c>
      <c r="Z31" s="34">
        <f>SUM(F$3:F31)</f>
        <v>55</v>
      </c>
      <c r="AA31" s="34">
        <f>SUM(G$3:G31)</f>
        <v>60</v>
      </c>
      <c r="AB31" s="34">
        <f>SUM(H$3:H31)</f>
        <v>24</v>
      </c>
      <c r="AC31" s="8">
        <f t="shared" si="10"/>
        <v>341</v>
      </c>
      <c r="AD31" s="64">
        <f t="shared" si="0"/>
        <v>5.5901639344262293</v>
      </c>
      <c r="AE31" s="64">
        <f t="shared" si="1"/>
        <v>4.4285714285714288</v>
      </c>
    </row>
    <row r="32" spans="1:31">
      <c r="A32" s="251"/>
      <c r="B32" s="23" t="s">
        <v>57</v>
      </c>
      <c r="C32" s="8">
        <f>COUNTIFS('Datos Bachillerato'!$E:$E,C$2,'Datos Bachillerato'!$C:$C,"&gt;=01/06/2025",'Datos Bachillerato'!$C:$C,"&lt;=30/06/2025")</f>
        <v>2</v>
      </c>
      <c r="D32" s="8">
        <f>COUNTIFS('Datos Bachillerato'!$E:$E,D$2,'Datos Bachillerato'!$C:$C,"&gt;=01/06/2025",'Datos Bachillerato'!$C:$C,"&lt;=30/06/2025")</f>
        <v>2</v>
      </c>
      <c r="E32" s="8">
        <f>COUNTIFS('Datos Bachillerato'!$E:$E,E$2,'Datos Bachillerato'!$C:$C,"&gt;=01/06/2025",'Datos Bachillerato'!$C:$C,"&lt;=30/06/2025")</f>
        <v>0</v>
      </c>
      <c r="F32" s="8">
        <f>COUNTIFS('Datos Bachillerato'!$E:$E,F$2,'Datos Bachillerato'!$C:$C,"&gt;=01/06/2025",'Datos Bachillerato'!$C:$C,"&lt;=30/06/2025")</f>
        <v>1</v>
      </c>
      <c r="G32" s="8">
        <f>COUNTIFS('Datos Bachillerato'!$E:$E,G$2,'Datos Bachillerato'!$C:$C,"&gt;=01/06/2025",'Datos Bachillerato'!$C:$C,"&lt;=30/06/2025")</f>
        <v>2</v>
      </c>
      <c r="H32" s="8">
        <f>COUNTIFS('Datos Bachillerato'!$E:$E,H$2,'Datos Bachillerato'!$C:$C,"&gt;=01/06/2025",'Datos Bachillerato'!$C:$C,"&lt;=30/06/2025")</f>
        <v>0</v>
      </c>
      <c r="I32" s="8">
        <f t="shared" si="8"/>
        <v>7</v>
      </c>
      <c r="K32" s="251"/>
      <c r="L32" s="23" t="s">
        <v>57</v>
      </c>
      <c r="M32" s="34">
        <f>SUM(C$27:C32)</f>
        <v>16</v>
      </c>
      <c r="N32" s="34">
        <f>SUM(D$27:D32)</f>
        <v>7</v>
      </c>
      <c r="O32" s="34">
        <f>SUM(E$27:E32)</f>
        <v>9</v>
      </c>
      <c r="P32" s="34">
        <f>SUM(F$27:F32)</f>
        <v>12</v>
      </c>
      <c r="Q32" s="34">
        <f>SUM(G$27:G32)</f>
        <v>8</v>
      </c>
      <c r="R32" s="34">
        <f>SUM(H$27:H32)</f>
        <v>3</v>
      </c>
      <c r="S32" s="8">
        <f t="shared" si="9"/>
        <v>55</v>
      </c>
      <c r="U32" s="251"/>
      <c r="V32" s="23" t="s">
        <v>57</v>
      </c>
      <c r="W32" s="34">
        <f>SUM(C$3:C32)</f>
        <v>69</v>
      </c>
      <c r="X32" s="34">
        <f>SUM(D$3:D32)</f>
        <v>56</v>
      </c>
      <c r="Y32" s="34">
        <f>SUM(E$3:E32)</f>
        <v>81</v>
      </c>
      <c r="Z32" s="34">
        <f>SUM(F$3:F32)</f>
        <v>56</v>
      </c>
      <c r="AA32" s="34">
        <f>SUM(G$3:G32)</f>
        <v>62</v>
      </c>
      <c r="AB32" s="34">
        <f>SUM(H$3:H32)</f>
        <v>24</v>
      </c>
      <c r="AC32" s="8">
        <f t="shared" si="10"/>
        <v>348</v>
      </c>
      <c r="AD32" s="64">
        <f t="shared" si="0"/>
        <v>5.7049180327868854</v>
      </c>
      <c r="AE32" s="64">
        <f t="shared" si="1"/>
        <v>4.5194805194805197</v>
      </c>
    </row>
    <row r="33" spans="1:31">
      <c r="A33" s="251"/>
      <c r="B33" s="23" t="s">
        <v>62</v>
      </c>
      <c r="C33" s="8">
        <f>COUNTIFS('Datos Bachillerato'!$E:$E,C$2,'Datos Bachillerato'!$C:$C,"&gt;=01/07/2025",'Datos Bachillerato'!$C:$C,"&lt;=31/07/2025")</f>
        <v>5</v>
      </c>
      <c r="D33" s="8">
        <f>COUNTIFS('Datos Bachillerato'!$E:$E,D$2,'Datos Bachillerato'!$C:$C,"&gt;=01/07/2025",'Datos Bachillerato'!$C:$C,"&lt;=31/07/2025")</f>
        <v>3</v>
      </c>
      <c r="E33" s="8">
        <f>COUNTIFS('Datos Bachillerato'!$E:$E,E$2,'Datos Bachillerato'!$C:$C,"&gt;=01/07/2025",'Datos Bachillerato'!$C:$C,"&lt;=31/07/2025")</f>
        <v>3</v>
      </c>
      <c r="F33" s="8">
        <f>COUNTIFS('Datos Bachillerato'!$E:$E,F$2,'Datos Bachillerato'!$C:$C,"&gt;=01/07/2025",'Datos Bachillerato'!$C:$C,"&lt;=31/07/2025")</f>
        <v>4</v>
      </c>
      <c r="G33" s="8">
        <f>COUNTIFS('Datos Bachillerato'!$E:$E,G$2,'Datos Bachillerato'!$C:$C,"&gt;=01/07/2025",'Datos Bachillerato'!$C:$C,"&lt;=31/07/2025")</f>
        <v>3</v>
      </c>
      <c r="H33" s="8">
        <f>COUNTIFS('Datos Bachillerato'!$E:$E,H$2,'Datos Bachillerato'!$C:$C,"&gt;=01/07/2025",'Datos Bachillerato'!$C:$C,"&lt;=31/07/2025")</f>
        <v>1</v>
      </c>
      <c r="I33" s="8">
        <f t="shared" si="8"/>
        <v>19</v>
      </c>
      <c r="K33" s="251"/>
      <c r="L33" s="23" t="s">
        <v>62</v>
      </c>
      <c r="M33" s="34">
        <f>SUM(C$27:C33)</f>
        <v>21</v>
      </c>
      <c r="N33" s="34">
        <f>SUM(D$27:D33)</f>
        <v>10</v>
      </c>
      <c r="O33" s="34">
        <f>SUM(E$27:E33)</f>
        <v>12</v>
      </c>
      <c r="P33" s="34">
        <f>SUM(F$27:F33)</f>
        <v>16</v>
      </c>
      <c r="Q33" s="34">
        <f>SUM(G$27:G33)</f>
        <v>11</v>
      </c>
      <c r="R33" s="34">
        <f>SUM(H$27:H33)</f>
        <v>4</v>
      </c>
      <c r="S33" s="8">
        <f t="shared" si="9"/>
        <v>74</v>
      </c>
      <c r="U33" s="251"/>
      <c r="V33" s="23" t="s">
        <v>62</v>
      </c>
      <c r="W33" s="34">
        <f>SUM(C$3:C33)</f>
        <v>74</v>
      </c>
      <c r="X33" s="34">
        <f>SUM(D$3:D33)</f>
        <v>59</v>
      </c>
      <c r="Y33" s="34">
        <f>SUM(E$3:E33)</f>
        <v>84</v>
      </c>
      <c r="Z33" s="34">
        <f>SUM(F$3:F33)</f>
        <v>60</v>
      </c>
      <c r="AA33" s="34">
        <f>SUM(G$3:G33)</f>
        <v>65</v>
      </c>
      <c r="AB33" s="34">
        <f>SUM(H$3:H33)</f>
        <v>25</v>
      </c>
      <c r="AC33" s="8">
        <f t="shared" si="10"/>
        <v>367</v>
      </c>
      <c r="AD33" s="65">
        <f t="shared" si="0"/>
        <v>5.4776119402985071</v>
      </c>
      <c r="AE33" s="64">
        <f t="shared" si="1"/>
        <v>4.7662337662337659</v>
      </c>
    </row>
    <row r="34" spans="1:31">
      <c r="A34" s="251"/>
      <c r="B34" s="23" t="s">
        <v>68</v>
      </c>
      <c r="C34" s="8">
        <f>COUNTIFS('Datos Bachillerato'!$E:$E,C$2,'Datos Bachillerato'!$C:$C,"&gt;=01/08/2025",'Datos Bachillerato'!$C:$C,"&lt;=31/08/2025")</f>
        <v>4</v>
      </c>
      <c r="D34" s="8">
        <f>COUNTIFS('Datos Bachillerato'!$E:$E,D$2,'Datos Bachillerato'!$C:$C,"&gt;=01/08/2025",'Datos Bachillerato'!$C:$C,"&lt;=31/08/2025")</f>
        <v>5</v>
      </c>
      <c r="E34" s="8">
        <f>COUNTIFS('Datos Bachillerato'!$E:$E,E$2,'Datos Bachillerato'!$C:$C,"&gt;=01/08/2025",'Datos Bachillerato'!$C:$C,"&lt;=31/08/2025")</f>
        <v>1</v>
      </c>
      <c r="F34" s="8">
        <f>COUNTIFS('Datos Bachillerato'!$E:$E,F$2,'Datos Bachillerato'!$C:$C,"&gt;=01/08/2025",'Datos Bachillerato'!$C:$C,"&lt;=31/08/2025")</f>
        <v>3</v>
      </c>
      <c r="G34" s="8">
        <f>COUNTIFS('Datos Bachillerato'!$E:$E,G$2,'Datos Bachillerato'!$C:$C,"&gt;=01/08/2025",'Datos Bachillerato'!$C:$C,"&lt;=31/08/2025")</f>
        <v>0</v>
      </c>
      <c r="H34" s="8">
        <f>COUNTIFS('Datos Bachillerato'!$E:$E,H$2,'Datos Bachillerato'!$C:$C,"&gt;=01/08/2025",'Datos Bachillerato'!$C:$C,"&lt;=31/08/2025")</f>
        <v>2</v>
      </c>
      <c r="I34" s="8">
        <f t="shared" si="8"/>
        <v>15</v>
      </c>
      <c r="K34" s="251"/>
      <c r="L34" s="23" t="s">
        <v>68</v>
      </c>
      <c r="M34" s="34">
        <f>SUM(C$27:C34)</f>
        <v>25</v>
      </c>
      <c r="N34" s="34">
        <f>SUM(D$27:D34)</f>
        <v>15</v>
      </c>
      <c r="O34" s="34">
        <f>SUM(E$27:E34)</f>
        <v>13</v>
      </c>
      <c r="P34" s="34">
        <f>SUM(F$27:F34)</f>
        <v>19</v>
      </c>
      <c r="Q34" s="34">
        <f>SUM(G$27:G34)</f>
        <v>11</v>
      </c>
      <c r="R34" s="34">
        <f>SUM(H$27:H34)</f>
        <v>6</v>
      </c>
      <c r="S34" s="8">
        <f t="shared" si="9"/>
        <v>89</v>
      </c>
      <c r="U34" s="251"/>
      <c r="V34" s="23" t="s">
        <v>68</v>
      </c>
      <c r="W34" s="34">
        <f>SUM(C$3:C34)</f>
        <v>78</v>
      </c>
      <c r="X34" s="34">
        <f>SUM(D$3:D34)</f>
        <v>64</v>
      </c>
      <c r="Y34" s="34">
        <f>SUM(E$3:E34)</f>
        <v>85</v>
      </c>
      <c r="Z34" s="34">
        <f>SUM(F$3:F34)</f>
        <v>63</v>
      </c>
      <c r="AA34" s="34">
        <f>SUM(G$3:G34)</f>
        <v>65</v>
      </c>
      <c r="AB34" s="34">
        <f>SUM(H$3:H34)</f>
        <v>27</v>
      </c>
      <c r="AC34" s="8">
        <f t="shared" si="10"/>
        <v>382</v>
      </c>
      <c r="AD34" s="64">
        <f t="shared" si="0"/>
        <v>5.380281690140845</v>
      </c>
      <c r="AE34" s="64">
        <f t="shared" si="1"/>
        <v>4.9610389610389607</v>
      </c>
    </row>
    <row r="35" spans="1:31">
      <c r="A35" s="251"/>
      <c r="B35" s="23" t="s">
        <v>77</v>
      </c>
      <c r="C35" s="8">
        <f>COUNTIFS('Datos Bachillerato'!$E:$E,C$2,'Datos Bachillerato'!$C:$C,"&gt;=01/09/2025",'Datos Bachillerato'!$C:$C,"&lt;=30/09/2025")</f>
        <v>3</v>
      </c>
      <c r="D35" s="8">
        <f>COUNTIFS('Datos Bachillerato'!$E:$E,D$2,'Datos Bachillerato'!$C:$C,"&gt;=01/09/2025",'Datos Bachillerato'!$C:$C,"&lt;=30/09/2025")</f>
        <v>7</v>
      </c>
      <c r="E35" s="8">
        <f>COUNTIFS('Datos Bachillerato'!$E:$E,E$2,'Datos Bachillerato'!$C:$C,"&gt;=01/09/2025",'Datos Bachillerato'!$C:$C,"&lt;=30/09/2025")</f>
        <v>2</v>
      </c>
      <c r="F35" s="8">
        <f>COUNTIFS('Datos Bachillerato'!$E:$E,F$2,'Datos Bachillerato'!$C:$C,"&gt;=01/09/2025",'Datos Bachillerato'!$C:$C,"&lt;=30/09/2025")</f>
        <v>2</v>
      </c>
      <c r="G35" s="8">
        <f>COUNTIFS('Datos Bachillerato'!$E:$E,G$2,'Datos Bachillerato'!$C:$C,"&gt;=01/09/2025",'Datos Bachillerato'!$C:$C,"&lt;=30/09/2025")</f>
        <v>3</v>
      </c>
      <c r="H35" s="8">
        <f>COUNTIFS('Datos Bachillerato'!$E:$E,H$2,'Datos Bachillerato'!$C:$C,"&gt;=01/09/2025",'Datos Bachillerato'!$C:$C,"&lt;=30/09/2025")</f>
        <v>2</v>
      </c>
      <c r="I35" s="8">
        <f t="shared" si="8"/>
        <v>19</v>
      </c>
      <c r="K35" s="251"/>
      <c r="L35" s="23" t="s">
        <v>77</v>
      </c>
      <c r="M35" s="34">
        <f>SUM(C$27:C35)</f>
        <v>28</v>
      </c>
      <c r="N35" s="34">
        <f>SUM(D$27:D35)</f>
        <v>22</v>
      </c>
      <c r="O35" s="34">
        <f>SUM(E$27:E35)</f>
        <v>15</v>
      </c>
      <c r="P35" s="34">
        <f>SUM(F$27:F35)</f>
        <v>21</v>
      </c>
      <c r="Q35" s="34">
        <f>SUM(G$27:G35)</f>
        <v>14</v>
      </c>
      <c r="R35" s="34">
        <f>SUM(H$27:H35)</f>
        <v>8</v>
      </c>
      <c r="S35" s="8">
        <f t="shared" si="9"/>
        <v>108</v>
      </c>
      <c r="U35" s="251"/>
      <c r="V35" s="23" t="s">
        <v>77</v>
      </c>
      <c r="W35" s="34">
        <f>SUM(C$3:C35)</f>
        <v>81</v>
      </c>
      <c r="X35" s="34">
        <f>SUM(D$3:D35)</f>
        <v>71</v>
      </c>
      <c r="Y35" s="34">
        <f>SUM(E$3:E35)</f>
        <v>87</v>
      </c>
      <c r="Z35" s="34">
        <f>SUM(F$3:F35)</f>
        <v>65</v>
      </c>
      <c r="AA35" s="34">
        <f>SUM(G$3:G35)</f>
        <v>68</v>
      </c>
      <c r="AB35" s="34">
        <f>SUM(H$3:H35)</f>
        <v>29</v>
      </c>
      <c r="AC35" s="8">
        <f t="shared" si="10"/>
        <v>401</v>
      </c>
      <c r="AD35" s="64">
        <f t="shared" si="0"/>
        <v>5.2763157894736841</v>
      </c>
      <c r="AE35" s="64">
        <f t="shared" si="1"/>
        <v>5.2077922077922079</v>
      </c>
    </row>
    <row r="36" spans="1:31">
      <c r="A36" s="251"/>
      <c r="B36" s="23" t="s">
        <v>84</v>
      </c>
      <c r="C36" s="8">
        <f>COUNTIFS('Datos Bachillerato'!$E:$E,C$2,'Datos Bachillerato'!$C:$C,"&gt;=01/10/2025",'Datos Bachillerato'!$C:$C,"&lt;=31/10/2025")</f>
        <v>1</v>
      </c>
      <c r="D36" s="8">
        <f>COUNTIFS('Datos Bachillerato'!$E:$E,D$2,'Datos Bachillerato'!$C:$C,"&gt;=01/10/2025",'Datos Bachillerato'!$C:$C,"&lt;=31/10/2025")</f>
        <v>3</v>
      </c>
      <c r="E36" s="8">
        <f>COUNTIFS('Datos Bachillerato'!$E:$E,E$2,'Datos Bachillerato'!$C:$C,"&gt;=01/10/2025",'Datos Bachillerato'!$C:$C,"&lt;=31/10/2025")</f>
        <v>0</v>
      </c>
      <c r="F36" s="8">
        <f>COUNTIFS('Datos Bachillerato'!$E:$E,F$2,'Datos Bachillerato'!$C:$C,"&gt;=01/10/2025",'Datos Bachillerato'!$C:$C,"&lt;=31/10/2025")</f>
        <v>2</v>
      </c>
      <c r="G36" s="8">
        <f>COUNTIFS('Datos Bachillerato'!$E:$E,G$2,'Datos Bachillerato'!$C:$C,"&gt;=01/10/2025",'Datos Bachillerato'!$C:$C,"&lt;=31/10/2025")</f>
        <v>3</v>
      </c>
      <c r="H36" s="8">
        <f>COUNTIFS('Datos Bachillerato'!$E:$E,H$2,'Datos Bachillerato'!$C:$C,"&gt;=01/10/2025",'Datos Bachillerato'!$C:$C,"&lt;=31/10/2025")</f>
        <v>0</v>
      </c>
      <c r="I36" s="8">
        <f t="shared" si="8"/>
        <v>9</v>
      </c>
      <c r="K36" s="251"/>
      <c r="L36" s="23" t="s">
        <v>84</v>
      </c>
      <c r="M36" s="34">
        <f>SUM(C$27:C36)</f>
        <v>29</v>
      </c>
      <c r="N36" s="34">
        <f>SUM(D$27:D36)</f>
        <v>25</v>
      </c>
      <c r="O36" s="34">
        <f>SUM(E$27:E36)</f>
        <v>15</v>
      </c>
      <c r="P36" s="34">
        <f>SUM(F$27:F36)</f>
        <v>23</v>
      </c>
      <c r="Q36" s="34">
        <f>SUM(G$27:G36)</f>
        <v>17</v>
      </c>
      <c r="R36" s="34">
        <f>SUM(H$27:H36)</f>
        <v>8</v>
      </c>
      <c r="S36" s="8">
        <f t="shared" si="9"/>
        <v>117</v>
      </c>
      <c r="U36" s="251"/>
      <c r="V36" s="23" t="s">
        <v>84</v>
      </c>
      <c r="W36" s="34">
        <f>SUM(C$3:C36)</f>
        <v>82</v>
      </c>
      <c r="X36" s="34">
        <f>SUM(D$3:D36)</f>
        <v>74</v>
      </c>
      <c r="Y36" s="34">
        <f>SUM(E$3:E36)</f>
        <v>87</v>
      </c>
      <c r="Z36" s="34">
        <f>SUM(F$3:F36)</f>
        <v>67</v>
      </c>
      <c r="AA36" s="34">
        <f>SUM(G$3:G36)</f>
        <v>71</v>
      </c>
      <c r="AB36" s="34">
        <f>SUM(H$3:H36)</f>
        <v>29</v>
      </c>
      <c r="AC36" s="8">
        <f t="shared" si="10"/>
        <v>410</v>
      </c>
      <c r="AD36" s="64">
        <f t="shared" si="0"/>
        <v>5.3246753246753249</v>
      </c>
      <c r="AE36" s="64">
        <f t="shared" si="1"/>
        <v>5.3246753246753249</v>
      </c>
    </row>
    <row r="37" spans="1:31">
      <c r="A37" s="251"/>
      <c r="B37" s="23" t="s">
        <v>87</v>
      </c>
      <c r="C37" s="8">
        <f>COUNTIFS('Datos Bachillerato'!$E:$E,C$2,'Datos Bachillerato'!$C:$C,"&gt;=01/11/2025",'Datos Bachillerato'!$C:$C,"&lt;=30/11/2025")</f>
        <v>2</v>
      </c>
      <c r="D37" s="8">
        <f>COUNTIFS('Datos Bachillerato'!$E:$E,D$2,'Datos Bachillerato'!$C:$C,"&gt;=01/11/2025",'Datos Bachillerato'!$C:$C,"&lt;=30/11/2025")</f>
        <v>2</v>
      </c>
      <c r="E37" s="8">
        <f>COUNTIFS('Datos Bachillerato'!$E:$E,E$2,'Datos Bachillerato'!$C:$C,"&gt;=01/11/2025",'Datos Bachillerato'!$C:$C,"&lt;=30/11/2025")</f>
        <v>3</v>
      </c>
      <c r="F37" s="8">
        <f>COUNTIFS('Datos Bachillerato'!$E:$E,F$2,'Datos Bachillerato'!$C:$C,"&gt;=01/11/2025",'Datos Bachillerato'!$C:$C,"&lt;=30/11/2025")</f>
        <v>5</v>
      </c>
      <c r="G37" s="8">
        <f>COUNTIFS('Datos Bachillerato'!$E:$E,G$2,'Datos Bachillerato'!$C:$C,"&gt;=01/11/2025",'Datos Bachillerato'!$C:$C,"&lt;=30/11/2025")</f>
        <v>2</v>
      </c>
      <c r="H37" s="8">
        <f>COUNTIFS('Datos Bachillerato'!$E:$E,H$2,'Datos Bachillerato'!$C:$C,"&gt;=01/11/2025",'Datos Bachillerato'!$C:$C,"&lt;=30/11/2025")</f>
        <v>1</v>
      </c>
      <c r="I37" s="8">
        <f t="shared" si="8"/>
        <v>15</v>
      </c>
      <c r="K37" s="251"/>
      <c r="L37" s="23" t="s">
        <v>87</v>
      </c>
      <c r="M37" s="34">
        <f>SUM(C$27:C37)</f>
        <v>31</v>
      </c>
      <c r="N37" s="34">
        <f>SUM(D$27:D37)</f>
        <v>27</v>
      </c>
      <c r="O37" s="34">
        <f>SUM(E$27:E37)</f>
        <v>18</v>
      </c>
      <c r="P37" s="34">
        <f>SUM(F$27:F37)</f>
        <v>28</v>
      </c>
      <c r="Q37" s="34">
        <f>SUM(G$27:G37)</f>
        <v>19</v>
      </c>
      <c r="R37" s="34">
        <f>SUM(H$27:H37)</f>
        <v>9</v>
      </c>
      <c r="S37" s="8">
        <f t="shared" si="9"/>
        <v>132</v>
      </c>
      <c r="U37" s="251"/>
      <c r="V37" s="23" t="s">
        <v>87</v>
      </c>
      <c r="W37" s="34">
        <f>SUM(C$3:C37)</f>
        <v>84</v>
      </c>
      <c r="X37" s="34">
        <f>SUM(D$3:D37)</f>
        <v>76</v>
      </c>
      <c r="Y37" s="34">
        <f>SUM(E$3:E37)</f>
        <v>90</v>
      </c>
      <c r="Z37" s="34">
        <f>SUM(F$3:F37)</f>
        <v>72</v>
      </c>
      <c r="AA37" s="34">
        <f>SUM(G$3:G37)</f>
        <v>73</v>
      </c>
      <c r="AB37" s="34">
        <f>SUM(H$3:H37)</f>
        <v>30</v>
      </c>
      <c r="AC37" s="8">
        <f t="shared" si="10"/>
        <v>425</v>
      </c>
      <c r="AD37" s="64">
        <f t="shared" si="0"/>
        <v>5.3125</v>
      </c>
      <c r="AE37" s="64">
        <f t="shared" si="1"/>
        <v>5.5194805194805197</v>
      </c>
    </row>
    <row r="38" spans="1:31">
      <c r="A38" s="251"/>
      <c r="B38" s="23" t="s">
        <v>173</v>
      </c>
      <c r="C38" s="8">
        <f>COUNTIFS('Datos Bachillerato'!$E:$E,C$2,'Datos Bachillerato'!$C:$C,"&gt;=01/12/2025",'Datos Bachillerato'!$C:$C,"&lt;=31/12/2025")</f>
        <v>2</v>
      </c>
      <c r="D38" s="8">
        <f>COUNTIFS('Datos Bachillerato'!$E:$E,D$2,'Datos Bachillerato'!$C:$C,"&gt;=01/12/2025",'Datos Bachillerato'!$C:$C,"&lt;=31/12/2025")</f>
        <v>2</v>
      </c>
      <c r="E38" s="8">
        <f>COUNTIFS('Datos Bachillerato'!$E:$E,E$2,'Datos Bachillerato'!$C:$C,"&gt;=01/12/2025",'Datos Bachillerato'!$C:$C,"&lt;=31/12/2025")</f>
        <v>3</v>
      </c>
      <c r="F38" s="8">
        <f>COUNTIFS('Datos Bachillerato'!$E:$E,F$2,'Datos Bachillerato'!$C:$C,"&gt;=01/12/2025",'Datos Bachillerato'!$C:$C,"&lt;=31/12/2025")</f>
        <v>3</v>
      </c>
      <c r="G38" s="8">
        <f>COUNTIFS('Datos Bachillerato'!$E:$E,G$2,'Datos Bachillerato'!$C:$C,"&gt;=01/12/2025",'Datos Bachillerato'!$C:$C,"&lt;=31/12/2025")</f>
        <v>4</v>
      </c>
      <c r="H38" s="8">
        <f>COUNTIFS('Datos Bachillerato'!$E:$E,H$2,'Datos Bachillerato'!$C:$C,"&gt;=01/12/2025",'Datos Bachillerato'!$C:$C,"&lt;=31/12/2025")</f>
        <v>0</v>
      </c>
      <c r="I38" s="8">
        <f t="shared" si="8"/>
        <v>14</v>
      </c>
      <c r="K38" s="251"/>
      <c r="L38" s="23" t="s">
        <v>173</v>
      </c>
      <c r="M38" s="34">
        <f>SUM(C$27:C38)</f>
        <v>33</v>
      </c>
      <c r="N38" s="34">
        <f>SUM(D$27:D38)</f>
        <v>29</v>
      </c>
      <c r="O38" s="34">
        <f>SUM(E$27:E38)</f>
        <v>21</v>
      </c>
      <c r="P38" s="34">
        <f>SUM(F$27:F38)</f>
        <v>31</v>
      </c>
      <c r="Q38" s="34">
        <f>SUM(G$27:G38)</f>
        <v>23</v>
      </c>
      <c r="R38" s="34">
        <f>SUM(H$27:H38)</f>
        <v>9</v>
      </c>
      <c r="S38" s="8">
        <f t="shared" si="9"/>
        <v>146</v>
      </c>
      <c r="U38" s="251"/>
      <c r="V38" s="23" t="s">
        <v>173</v>
      </c>
      <c r="W38" s="34">
        <f>SUM(C$3:C38)</f>
        <v>86</v>
      </c>
      <c r="X38" s="34">
        <f>SUM(D$3:D38)</f>
        <v>78</v>
      </c>
      <c r="Y38" s="34">
        <f>SUM(E$3:E38)</f>
        <v>93</v>
      </c>
      <c r="Z38" s="34">
        <f>SUM(F$3:F38)</f>
        <v>75</v>
      </c>
      <c r="AA38" s="34">
        <f>SUM(G$3:G38)</f>
        <v>77</v>
      </c>
      <c r="AB38" s="34">
        <f>SUM(H$3:H38)</f>
        <v>30</v>
      </c>
      <c r="AC38" s="8">
        <f t="shared" si="10"/>
        <v>439</v>
      </c>
      <c r="AD38" s="64">
        <f t="shared" si="0"/>
        <v>5.4874999999999998</v>
      </c>
      <c r="AE38" s="64">
        <f t="shared" si="1"/>
        <v>5.7012987012987013</v>
      </c>
    </row>
    <row r="39" spans="1:31">
      <c r="W39" s="39">
        <f>W26/W146</f>
        <v>7.5714285714285712</v>
      </c>
      <c r="X39" s="39">
        <f t="shared" ref="X39:AC39" si="11">X26/X146</f>
        <v>6.125</v>
      </c>
      <c r="Y39" s="39">
        <f t="shared" si="11"/>
        <v>7.2</v>
      </c>
      <c r="Z39" s="39">
        <f t="shared" si="11"/>
        <v>6.2857142857142856</v>
      </c>
      <c r="AA39" s="39">
        <f t="shared" si="11"/>
        <v>6</v>
      </c>
      <c r="AB39" s="39">
        <f t="shared" si="11"/>
        <v>3.5</v>
      </c>
      <c r="AC39" s="39">
        <f t="shared" si="11"/>
        <v>6.2340425531914896</v>
      </c>
      <c r="AE39" s="64">
        <f t="shared" ref="AE39" si="12">AC39/AF147</f>
        <v>8.0961591599889471E-2</v>
      </c>
    </row>
    <row r="41" spans="1:31">
      <c r="B41" s="260" t="s">
        <v>1429</v>
      </c>
      <c r="C41" s="260"/>
      <c r="D41" s="260"/>
      <c r="E41" s="260"/>
      <c r="F41" s="260"/>
      <c r="G41" s="260"/>
      <c r="H41" s="260"/>
      <c r="I41" s="260"/>
      <c r="L41" s="260" t="s">
        <v>1430</v>
      </c>
      <c r="M41" s="260"/>
      <c r="N41" s="260"/>
      <c r="O41" s="260"/>
      <c r="P41" s="260"/>
      <c r="Q41" s="260"/>
      <c r="R41" s="260"/>
      <c r="S41" s="260"/>
      <c r="V41" s="260" t="s">
        <v>1431</v>
      </c>
      <c r="W41" s="260"/>
      <c r="X41" s="260"/>
      <c r="Y41" s="260"/>
      <c r="Z41" s="260"/>
      <c r="AA41" s="260"/>
      <c r="AB41" s="260"/>
      <c r="AC41" s="260"/>
    </row>
    <row r="42" spans="1:31">
      <c r="B42" s="22" t="s">
        <v>1421</v>
      </c>
      <c r="C42" s="22" t="s">
        <v>760</v>
      </c>
      <c r="D42" s="22" t="s">
        <v>763</v>
      </c>
      <c r="E42" s="22" t="s">
        <v>753</v>
      </c>
      <c r="F42" s="22" t="s">
        <v>757</v>
      </c>
      <c r="G42" s="22" t="s">
        <v>771</v>
      </c>
      <c r="H42" s="22" t="s">
        <v>755</v>
      </c>
      <c r="I42" s="22" t="s">
        <v>1422</v>
      </c>
      <c r="L42" s="22" t="s">
        <v>1421</v>
      </c>
      <c r="M42" s="22" t="s">
        <v>760</v>
      </c>
      <c r="N42" s="22" t="s">
        <v>763</v>
      </c>
      <c r="O42" s="22" t="s">
        <v>753</v>
      </c>
      <c r="P42" s="22" t="s">
        <v>757</v>
      </c>
      <c r="Q42" s="22" t="s">
        <v>771</v>
      </c>
      <c r="R42" s="22" t="s">
        <v>755</v>
      </c>
      <c r="S42" s="22" t="s">
        <v>1422</v>
      </c>
      <c r="V42" s="22" t="s">
        <v>1421</v>
      </c>
      <c r="W42" s="22" t="s">
        <v>760</v>
      </c>
      <c r="X42" s="22" t="s">
        <v>763</v>
      </c>
      <c r="Y42" s="22" t="s">
        <v>753</v>
      </c>
      <c r="Z42" s="22" t="s">
        <v>757</v>
      </c>
      <c r="AA42" s="22" t="s">
        <v>771</v>
      </c>
      <c r="AB42" s="22" t="s">
        <v>755</v>
      </c>
      <c r="AC42" s="22" t="s">
        <v>1422</v>
      </c>
    </row>
    <row r="43" spans="1:31">
      <c r="A43" s="251">
        <f>A3</f>
        <v>2023</v>
      </c>
      <c r="B43" s="23" t="s">
        <v>13</v>
      </c>
      <c r="C43" s="8">
        <f>COUNTIFS('Datos Bachillerato'!$E:$E,C$42,'Datos Bachillerato'!$H:$H,"&gt;=01/01/2023",'Datos Bachillerato'!$H:$H,"&lt;=31/01/2023")</f>
        <v>1</v>
      </c>
      <c r="D43" s="8">
        <f>COUNTIFS('Datos Bachillerato'!$E:$E,D$42,'Datos Bachillerato'!$H:$H,"&gt;=01/01/2023",'Datos Bachillerato'!$H:$H,"&lt;=31/01/2023")</f>
        <v>2</v>
      </c>
      <c r="E43" s="8">
        <f>COUNTIFS('Datos Bachillerato'!$E:$E,E$42,'Datos Bachillerato'!$H:$H,"&gt;=01/01/2023",'Datos Bachillerato'!$H:$H,"&lt;=31/01/2023")</f>
        <v>3</v>
      </c>
      <c r="F43" s="8">
        <f>COUNTIFS('Datos Bachillerato'!$E:$E,F$42,'Datos Bachillerato'!$H:$H,"&gt;=01/01/2023",'Datos Bachillerato'!$H:$H,"&lt;=31/01/2023")</f>
        <v>1</v>
      </c>
      <c r="G43" s="8">
        <f>COUNTIFS('Datos Bachillerato'!$E:$E,G$42,'Datos Bachillerato'!$H:$H,"&gt;=01/01/2023",'Datos Bachillerato'!$H:$H,"&lt;=31/01/2023")</f>
        <v>1</v>
      </c>
      <c r="H43" s="8">
        <f>COUNTIFS('Datos Bachillerato'!$E:$E,H$42,'Datos Bachillerato'!$H:$H,"&gt;=01/01/2023",'Datos Bachillerato'!$H:$H,"&lt;=31/01/2023")</f>
        <v>2</v>
      </c>
      <c r="I43" s="8">
        <f>SUM(C43:H43)</f>
        <v>10</v>
      </c>
      <c r="K43" s="251">
        <f>A43</f>
        <v>2023</v>
      </c>
      <c r="L43" s="23" t="s">
        <v>13</v>
      </c>
      <c r="M43" s="34">
        <f>SUM(C$43:C43)</f>
        <v>1</v>
      </c>
      <c r="N43" s="34">
        <f>SUM(D$43:D43)</f>
        <v>2</v>
      </c>
      <c r="O43" s="34">
        <f>SUM(E$43:E43)</f>
        <v>3</v>
      </c>
      <c r="P43" s="34">
        <f>SUM(F$43:F43)</f>
        <v>1</v>
      </c>
      <c r="Q43" s="34">
        <f>SUM(G$43:G43)</f>
        <v>1</v>
      </c>
      <c r="R43" s="34">
        <f>SUM(H$43:H43)</f>
        <v>2</v>
      </c>
      <c r="S43" s="8">
        <f>SUM(M43:R43)</f>
        <v>10</v>
      </c>
      <c r="U43" s="251">
        <f>A43</f>
        <v>2023</v>
      </c>
      <c r="V43" s="23" t="s">
        <v>13</v>
      </c>
      <c r="W43" s="34">
        <f>SUM(C$43:C43)</f>
        <v>1</v>
      </c>
      <c r="X43" s="34">
        <f>SUM(D$43:D43)</f>
        <v>2</v>
      </c>
      <c r="Y43" s="34">
        <f>SUM(E$43:E43)</f>
        <v>3</v>
      </c>
      <c r="Z43" s="34">
        <f>SUM(F$43:F43)</f>
        <v>1</v>
      </c>
      <c r="AA43" s="34">
        <f>SUM(G$43:G43)</f>
        <v>1</v>
      </c>
      <c r="AB43" s="34">
        <f>SUM(H$43:H43)</f>
        <v>2</v>
      </c>
      <c r="AC43" s="8">
        <f>SUM(W43:AB43)</f>
        <v>10</v>
      </c>
      <c r="AD43" s="64" t="e">
        <f t="shared" ref="AD43:AD78" si="13">AC43/AC123</f>
        <v>#DIV/0!</v>
      </c>
    </row>
    <row r="44" spans="1:31">
      <c r="A44" s="251"/>
      <c r="B44" s="23" t="s">
        <v>24</v>
      </c>
      <c r="C44" s="8">
        <f>COUNTIFS('Datos Bachillerato'!$E:$E,C$42,'Datos Bachillerato'!$H:$H,"&gt;=01/02/2023",'Datos Bachillerato'!$H:$H,"&lt;=28/02/2023")</f>
        <v>1</v>
      </c>
      <c r="D44" s="8">
        <f>COUNTIFS('Datos Bachillerato'!$E:$E,D$42,'Datos Bachillerato'!$H:$H,"&gt;=01/02/2023",'Datos Bachillerato'!$H:$H,"&lt;=28/02/2023")</f>
        <v>0</v>
      </c>
      <c r="E44" s="8">
        <f>COUNTIFS('Datos Bachillerato'!$E:$E,E$42,'Datos Bachillerato'!$H:$H,"&gt;=01/02/2023",'Datos Bachillerato'!$H:$H,"&lt;=28/02/2023")</f>
        <v>0</v>
      </c>
      <c r="F44" s="8">
        <f>COUNTIFS('Datos Bachillerato'!$E:$E,F$42,'Datos Bachillerato'!$H:$H,"&gt;=01/02/2023",'Datos Bachillerato'!$H:$H,"&lt;=28/02/2023")</f>
        <v>0</v>
      </c>
      <c r="G44" s="8">
        <f>COUNTIFS('Datos Bachillerato'!$E:$E,G$42,'Datos Bachillerato'!$H:$H,"&gt;=01/02/2023",'Datos Bachillerato'!$H:$H,"&lt;=28/02/2023")</f>
        <v>2</v>
      </c>
      <c r="H44" s="8">
        <f>COUNTIFS('Datos Bachillerato'!$E:$E,H$42,'Datos Bachillerato'!$H:$H,"&gt;=01/02/2023",'Datos Bachillerato'!$H:$H,"&lt;=28/02/2023")</f>
        <v>0</v>
      </c>
      <c r="I44" s="8">
        <f t="shared" ref="I44:I54" si="14">SUM(C44:H44)</f>
        <v>3</v>
      </c>
      <c r="K44" s="251"/>
      <c r="L44" s="23" t="s">
        <v>24</v>
      </c>
      <c r="M44" s="34">
        <f>SUM(C$43:C44)</f>
        <v>2</v>
      </c>
      <c r="N44" s="34">
        <f>SUM(D$43:D44)</f>
        <v>2</v>
      </c>
      <c r="O44" s="34">
        <f>SUM(E$43:E44)</f>
        <v>3</v>
      </c>
      <c r="P44" s="34">
        <f>SUM(F$43:F44)</f>
        <v>1</v>
      </c>
      <c r="Q44" s="34">
        <f>SUM(G$43:G44)</f>
        <v>3</v>
      </c>
      <c r="R44" s="34">
        <f>SUM(H$43:H44)</f>
        <v>2</v>
      </c>
      <c r="S44" s="8">
        <f t="shared" ref="S44:S54" si="15">SUM(M44:R44)</f>
        <v>13</v>
      </c>
      <c r="U44" s="251"/>
      <c r="V44" s="23" t="s">
        <v>24</v>
      </c>
      <c r="W44" s="34">
        <f>SUM(C$43:C44)</f>
        <v>2</v>
      </c>
      <c r="X44" s="34">
        <f>SUM(D$43:D44)</f>
        <v>2</v>
      </c>
      <c r="Y44" s="34">
        <f>SUM(E$43:E44)</f>
        <v>3</v>
      </c>
      <c r="Z44" s="34">
        <f>SUM(F$43:F44)</f>
        <v>1</v>
      </c>
      <c r="AA44" s="34">
        <f>SUM(G$43:G44)</f>
        <v>3</v>
      </c>
      <c r="AB44" s="34">
        <f>SUM(H$43:H44)</f>
        <v>2</v>
      </c>
      <c r="AC44" s="8">
        <f t="shared" ref="AC44:AC54" si="16">SUM(W44:AB44)</f>
        <v>13</v>
      </c>
      <c r="AD44" s="64">
        <f t="shared" si="13"/>
        <v>4.333333333333333</v>
      </c>
    </row>
    <row r="45" spans="1:31">
      <c r="A45" s="251"/>
      <c r="B45" s="23" t="s">
        <v>34</v>
      </c>
      <c r="C45" s="8">
        <f>COUNTIFS('Datos Bachillerato'!$E:$E,C$42,'Datos Bachillerato'!$H:$H,"&gt;=01/03/2023",'Datos Bachillerato'!$H:$H,"&lt;=31/03/2023")</f>
        <v>1</v>
      </c>
      <c r="D45" s="8">
        <f>COUNTIFS('Datos Bachillerato'!$E:$E,D$42,'Datos Bachillerato'!$H:$H,"&gt;=01/03/2023",'Datos Bachillerato'!$H:$H,"&lt;=31/03/2023")</f>
        <v>0</v>
      </c>
      <c r="E45" s="8">
        <f>COUNTIFS('Datos Bachillerato'!$E:$E,E$42,'Datos Bachillerato'!$H:$H,"&gt;=01/03/2023",'Datos Bachillerato'!$H:$H,"&lt;=31/03/2023")</f>
        <v>0</v>
      </c>
      <c r="F45" s="8">
        <f>COUNTIFS('Datos Bachillerato'!$E:$E,F$42,'Datos Bachillerato'!$H:$H,"&gt;=01/03/2023",'Datos Bachillerato'!$H:$H,"&lt;=31/03/2023")</f>
        <v>1</v>
      </c>
      <c r="G45" s="8">
        <f>COUNTIFS('Datos Bachillerato'!$E:$E,G$42,'Datos Bachillerato'!$H:$H,"&gt;=01/03/2023",'Datos Bachillerato'!$H:$H,"&lt;=31/03/2023")</f>
        <v>1</v>
      </c>
      <c r="H45" s="8">
        <f>COUNTIFS('Datos Bachillerato'!$E:$E,H$42,'Datos Bachillerato'!$H:$H,"&gt;=01/03/2023",'Datos Bachillerato'!$H:$H,"&lt;=31/03/2023")</f>
        <v>2</v>
      </c>
      <c r="I45" s="8">
        <f t="shared" si="14"/>
        <v>5</v>
      </c>
      <c r="K45" s="251"/>
      <c r="L45" s="23" t="s">
        <v>34</v>
      </c>
      <c r="M45" s="34">
        <f>SUM(C$43:C45)</f>
        <v>3</v>
      </c>
      <c r="N45" s="34">
        <f>SUM(D$43:D45)</f>
        <v>2</v>
      </c>
      <c r="O45" s="34">
        <f>SUM(E$43:E45)</f>
        <v>3</v>
      </c>
      <c r="P45" s="34">
        <f>SUM(F$43:F45)</f>
        <v>2</v>
      </c>
      <c r="Q45" s="34">
        <f>SUM(G$43:G45)</f>
        <v>4</v>
      </c>
      <c r="R45" s="34">
        <f>SUM(H$43:H45)</f>
        <v>4</v>
      </c>
      <c r="S45" s="8">
        <f t="shared" si="15"/>
        <v>18</v>
      </c>
      <c r="U45" s="251"/>
      <c r="V45" s="23" t="s">
        <v>34</v>
      </c>
      <c r="W45" s="34">
        <f>SUM(C$43:C45)</f>
        <v>3</v>
      </c>
      <c r="X45" s="34">
        <f>SUM(D$43:D45)</f>
        <v>2</v>
      </c>
      <c r="Y45" s="34">
        <f>SUM(E$43:E45)</f>
        <v>3</v>
      </c>
      <c r="Z45" s="34">
        <f>SUM(F$43:F45)</f>
        <v>2</v>
      </c>
      <c r="AA45" s="34">
        <f>SUM(G$43:G45)</f>
        <v>4</v>
      </c>
      <c r="AB45" s="34">
        <f>SUM(H$43:H45)</f>
        <v>4</v>
      </c>
      <c r="AC45" s="8">
        <f t="shared" si="16"/>
        <v>18</v>
      </c>
      <c r="AD45" s="64">
        <f t="shared" si="13"/>
        <v>3.6</v>
      </c>
    </row>
    <row r="46" spans="1:31">
      <c r="A46" s="251"/>
      <c r="B46" s="23" t="s">
        <v>38</v>
      </c>
      <c r="C46" s="8">
        <f>COUNTIFS('Datos Bachillerato'!$E:$E,C$42,'Datos Bachillerato'!$H:$H,"&gt;=01/04/2023",'Datos Bachillerato'!$H:$H,"&lt;=30/04/2023")</f>
        <v>0</v>
      </c>
      <c r="D46" s="8">
        <f>COUNTIFS('Datos Bachillerato'!$E:$E,D$42,'Datos Bachillerato'!$H:$H,"&gt;=01/04/2023",'Datos Bachillerato'!$H:$H,"&lt;=30/04/2023")</f>
        <v>1</v>
      </c>
      <c r="E46" s="8">
        <f>COUNTIFS('Datos Bachillerato'!$E:$E,E$42,'Datos Bachillerato'!$H:$H,"&gt;=01/04/2023",'Datos Bachillerato'!$H:$H,"&lt;=30/04/2023")</f>
        <v>1</v>
      </c>
      <c r="F46" s="8">
        <f>COUNTIFS('Datos Bachillerato'!$E:$E,F$42,'Datos Bachillerato'!$H:$H,"&gt;=01/04/2023",'Datos Bachillerato'!$H:$H,"&lt;=30/04/2023")</f>
        <v>0</v>
      </c>
      <c r="G46" s="8">
        <f>COUNTIFS('Datos Bachillerato'!$E:$E,G$42,'Datos Bachillerato'!$H:$H,"&gt;=01/04/2023",'Datos Bachillerato'!$H:$H,"&lt;=30/04/2023")</f>
        <v>1</v>
      </c>
      <c r="H46" s="8">
        <f>COUNTIFS('Datos Bachillerato'!$E:$E,H$42,'Datos Bachillerato'!$H:$H,"&gt;=01/04/2023",'Datos Bachillerato'!$H:$H,"&lt;=30/04/2023")</f>
        <v>1</v>
      </c>
      <c r="I46" s="8">
        <f t="shared" si="14"/>
        <v>4</v>
      </c>
      <c r="K46" s="251"/>
      <c r="L46" s="23" t="s">
        <v>38</v>
      </c>
      <c r="M46" s="34">
        <f>SUM(C$43:C46)</f>
        <v>3</v>
      </c>
      <c r="N46" s="34">
        <f>SUM(D$43:D46)</f>
        <v>3</v>
      </c>
      <c r="O46" s="34">
        <f>SUM(E$43:E46)</f>
        <v>4</v>
      </c>
      <c r="P46" s="34">
        <f>SUM(F$43:F46)</f>
        <v>2</v>
      </c>
      <c r="Q46" s="34">
        <f>SUM(G$43:G46)</f>
        <v>5</v>
      </c>
      <c r="R46" s="34">
        <f>SUM(H$43:H46)</f>
        <v>5</v>
      </c>
      <c r="S46" s="8">
        <f t="shared" si="15"/>
        <v>22</v>
      </c>
      <c r="U46" s="251"/>
      <c r="V46" s="23" t="s">
        <v>38</v>
      </c>
      <c r="W46" s="34">
        <f>SUM(C$43:C46)</f>
        <v>3</v>
      </c>
      <c r="X46" s="34">
        <f>SUM(D$43:D46)</f>
        <v>3</v>
      </c>
      <c r="Y46" s="34">
        <f>SUM(E$43:E46)</f>
        <v>4</v>
      </c>
      <c r="Z46" s="34">
        <f>SUM(F$43:F46)</f>
        <v>2</v>
      </c>
      <c r="AA46" s="34">
        <f>SUM(G$43:G46)</f>
        <v>5</v>
      </c>
      <c r="AB46" s="34">
        <f>SUM(H$43:H46)</f>
        <v>5</v>
      </c>
      <c r="AC46" s="8">
        <f t="shared" si="16"/>
        <v>22</v>
      </c>
      <c r="AD46" s="64">
        <f t="shared" si="13"/>
        <v>3.6666666666666665</v>
      </c>
    </row>
    <row r="47" spans="1:31">
      <c r="A47" s="251"/>
      <c r="B47" s="23" t="s">
        <v>47</v>
      </c>
      <c r="C47" s="8">
        <f>COUNTIFS('Datos Bachillerato'!$E:$E,C$42,'Datos Bachillerato'!$H:$H,"&gt;=01/05/2023",'Datos Bachillerato'!$H:$H,"&lt;=31/05/2023")</f>
        <v>0</v>
      </c>
      <c r="D47" s="8">
        <f>COUNTIFS('Datos Bachillerato'!$E:$E,D$42,'Datos Bachillerato'!$H:$H,"&gt;=01/05/2023",'Datos Bachillerato'!$H:$H,"&lt;=31/05/2023")</f>
        <v>2</v>
      </c>
      <c r="E47" s="8">
        <f>COUNTIFS('Datos Bachillerato'!$E:$E,E$42,'Datos Bachillerato'!$H:$H,"&gt;=01/05/2023",'Datos Bachillerato'!$H:$H,"&lt;=31/05/2023")</f>
        <v>2</v>
      </c>
      <c r="F47" s="8">
        <f>COUNTIFS('Datos Bachillerato'!$E:$E,F$42,'Datos Bachillerato'!$H:$H,"&gt;=01/05/2023",'Datos Bachillerato'!$H:$H,"&lt;=31/05/2023")</f>
        <v>0</v>
      </c>
      <c r="G47" s="8">
        <f>COUNTIFS('Datos Bachillerato'!$E:$E,G$42,'Datos Bachillerato'!$H:$H,"&gt;=01/05/2023",'Datos Bachillerato'!$H:$H,"&lt;=31/05/2023")</f>
        <v>0</v>
      </c>
      <c r="H47" s="8">
        <f>COUNTIFS('Datos Bachillerato'!$E:$E,H$42,'Datos Bachillerato'!$H:$H,"&gt;=01/05/2023",'Datos Bachillerato'!$H:$H,"&lt;=31/05/2023")</f>
        <v>1</v>
      </c>
      <c r="I47" s="8">
        <f t="shared" si="14"/>
        <v>5</v>
      </c>
      <c r="K47" s="251"/>
      <c r="L47" s="23" t="s">
        <v>47</v>
      </c>
      <c r="M47" s="34">
        <f>SUM(C$43:C47)</f>
        <v>3</v>
      </c>
      <c r="N47" s="34">
        <f>SUM(D$43:D47)</f>
        <v>5</v>
      </c>
      <c r="O47" s="34">
        <f>SUM(E$43:E47)</f>
        <v>6</v>
      </c>
      <c r="P47" s="34">
        <f>SUM(F$43:F47)</f>
        <v>2</v>
      </c>
      <c r="Q47" s="34">
        <f>SUM(G$43:G47)</f>
        <v>5</v>
      </c>
      <c r="R47" s="34">
        <f>SUM(H$43:H47)</f>
        <v>6</v>
      </c>
      <c r="S47" s="8">
        <f t="shared" si="15"/>
        <v>27</v>
      </c>
      <c r="U47" s="251"/>
      <c r="V47" s="23" t="s">
        <v>47</v>
      </c>
      <c r="W47" s="34">
        <f>SUM(C$43:C47)</f>
        <v>3</v>
      </c>
      <c r="X47" s="34">
        <f>SUM(D$43:D47)</f>
        <v>5</v>
      </c>
      <c r="Y47" s="34">
        <f>SUM(E$43:E47)</f>
        <v>6</v>
      </c>
      <c r="Z47" s="34">
        <f>SUM(F$43:F47)</f>
        <v>2</v>
      </c>
      <c r="AA47" s="34">
        <f>SUM(G$43:G47)</f>
        <v>5</v>
      </c>
      <c r="AB47" s="34">
        <f>SUM(H$43:H47)</f>
        <v>6</v>
      </c>
      <c r="AC47" s="8">
        <f t="shared" si="16"/>
        <v>27</v>
      </c>
      <c r="AD47" s="64">
        <f t="shared" si="13"/>
        <v>3.375</v>
      </c>
    </row>
    <row r="48" spans="1:31">
      <c r="A48" s="251"/>
      <c r="B48" s="23" t="s">
        <v>57</v>
      </c>
      <c r="C48" s="8">
        <f>COUNTIFS('Datos Bachillerato'!$E:$E,C$42,'Datos Bachillerato'!$H:$H,"&gt;=01/06/2023",'Datos Bachillerato'!$H:$H,"&lt;=30/06/2023")</f>
        <v>1</v>
      </c>
      <c r="D48" s="8">
        <f>COUNTIFS('Datos Bachillerato'!$E:$E,D$42,'Datos Bachillerato'!$H:$H,"&gt;=01/06/2023",'Datos Bachillerato'!$H:$H,"&lt;=30/06/2023")</f>
        <v>1</v>
      </c>
      <c r="E48" s="8">
        <f>COUNTIFS('Datos Bachillerato'!$E:$E,E$42,'Datos Bachillerato'!$H:$H,"&gt;=01/06/2023",'Datos Bachillerato'!$H:$H,"&lt;=30/06/2023")</f>
        <v>1</v>
      </c>
      <c r="F48" s="8">
        <f>COUNTIFS('Datos Bachillerato'!$E:$E,F$42,'Datos Bachillerato'!$H:$H,"&gt;=01/06/2023",'Datos Bachillerato'!$H:$H,"&lt;=30/06/2023")</f>
        <v>0</v>
      </c>
      <c r="G48" s="8">
        <f>COUNTIFS('Datos Bachillerato'!$E:$E,G$42,'Datos Bachillerato'!$H:$H,"&gt;=01/06/2023",'Datos Bachillerato'!$H:$H,"&lt;=30/06/2023")</f>
        <v>0</v>
      </c>
      <c r="H48" s="8">
        <f>COUNTIFS('Datos Bachillerato'!$E:$E,H$42,'Datos Bachillerato'!$H:$H,"&gt;=01/06/2023",'Datos Bachillerato'!$H:$H,"&lt;=30/06/2023")</f>
        <v>0</v>
      </c>
      <c r="I48" s="8">
        <f t="shared" si="14"/>
        <v>3</v>
      </c>
      <c r="K48" s="251"/>
      <c r="L48" s="23" t="s">
        <v>57</v>
      </c>
      <c r="M48" s="34">
        <f>SUM(C$43:C48)</f>
        <v>4</v>
      </c>
      <c r="N48" s="34">
        <f>SUM(D$43:D48)</f>
        <v>6</v>
      </c>
      <c r="O48" s="34">
        <f>SUM(E$43:E48)</f>
        <v>7</v>
      </c>
      <c r="P48" s="34">
        <f>SUM(F$43:F48)</f>
        <v>2</v>
      </c>
      <c r="Q48" s="34">
        <f>SUM(G$43:G48)</f>
        <v>5</v>
      </c>
      <c r="R48" s="34">
        <f>SUM(H$43:H48)</f>
        <v>6</v>
      </c>
      <c r="S48" s="8">
        <f t="shared" si="15"/>
        <v>30</v>
      </c>
      <c r="U48" s="251"/>
      <c r="V48" s="23" t="s">
        <v>57</v>
      </c>
      <c r="W48" s="34">
        <f>SUM(C$43:C48)</f>
        <v>4</v>
      </c>
      <c r="X48" s="34">
        <f>SUM(D$43:D48)</f>
        <v>6</v>
      </c>
      <c r="Y48" s="34">
        <f>SUM(E$43:E48)</f>
        <v>7</v>
      </c>
      <c r="Z48" s="34">
        <f>SUM(F$43:F48)</f>
        <v>2</v>
      </c>
      <c r="AA48" s="34">
        <f>SUM(G$43:G48)</f>
        <v>5</v>
      </c>
      <c r="AB48" s="34">
        <f>SUM(H$43:H48)</f>
        <v>6</v>
      </c>
      <c r="AC48" s="8">
        <f t="shared" si="16"/>
        <v>30</v>
      </c>
      <c r="AD48" s="64">
        <f t="shared" si="13"/>
        <v>3.3333333333333335</v>
      </c>
    </row>
    <row r="49" spans="1:30">
      <c r="A49" s="251"/>
      <c r="B49" s="23" t="s">
        <v>62</v>
      </c>
      <c r="C49" s="8">
        <f>COUNTIFS('Datos Bachillerato'!$E:$E,C$42,'Datos Bachillerato'!$H:$H,"&gt;=01/07/2023",'Datos Bachillerato'!$H:$H,"&lt;=31/07/2023")</f>
        <v>1</v>
      </c>
      <c r="D49" s="8">
        <f>COUNTIFS('Datos Bachillerato'!$E:$E,D$42,'Datos Bachillerato'!$H:$H,"&gt;=01/07/2023",'Datos Bachillerato'!$H:$H,"&lt;=31/07/2023")</f>
        <v>1</v>
      </c>
      <c r="E49" s="8">
        <f>COUNTIFS('Datos Bachillerato'!$E:$E,E$42,'Datos Bachillerato'!$H:$H,"&gt;=01/07/2023",'Datos Bachillerato'!$H:$H,"&lt;=31/07/2023")</f>
        <v>1</v>
      </c>
      <c r="F49" s="8">
        <f>COUNTIFS('Datos Bachillerato'!$E:$E,F$42,'Datos Bachillerato'!$H:$H,"&gt;=01/07/2023",'Datos Bachillerato'!$H:$H,"&lt;=31/07/2023")</f>
        <v>3</v>
      </c>
      <c r="G49" s="8">
        <f>COUNTIFS('Datos Bachillerato'!$E:$E,G$42,'Datos Bachillerato'!$H:$H,"&gt;=01/07/2023",'Datos Bachillerato'!$H:$H,"&lt;=31/07/2023")</f>
        <v>0</v>
      </c>
      <c r="H49" s="8">
        <f>COUNTIFS('Datos Bachillerato'!$E:$E,H$42,'Datos Bachillerato'!$H:$H,"&gt;=01/07/2023",'Datos Bachillerato'!$H:$H,"&lt;=31/07/2023")</f>
        <v>0</v>
      </c>
      <c r="I49" s="8">
        <f t="shared" si="14"/>
        <v>6</v>
      </c>
      <c r="K49" s="251"/>
      <c r="L49" s="23" t="s">
        <v>62</v>
      </c>
      <c r="M49" s="34">
        <f>SUM(C$43:C49)</f>
        <v>5</v>
      </c>
      <c r="N49" s="34">
        <f>SUM(D$43:D49)</f>
        <v>7</v>
      </c>
      <c r="O49" s="34">
        <f>SUM(E$43:E49)</f>
        <v>8</v>
      </c>
      <c r="P49" s="34">
        <f>SUM(F$43:F49)</f>
        <v>5</v>
      </c>
      <c r="Q49" s="34">
        <f>SUM(G$43:G49)</f>
        <v>5</v>
      </c>
      <c r="R49" s="34">
        <f>SUM(H$43:H49)</f>
        <v>6</v>
      </c>
      <c r="S49" s="8">
        <f t="shared" si="15"/>
        <v>36</v>
      </c>
      <c r="U49" s="251"/>
      <c r="V49" s="23" t="s">
        <v>62</v>
      </c>
      <c r="W49" s="34">
        <f>SUM(C$43:C49)</f>
        <v>5</v>
      </c>
      <c r="X49" s="34">
        <f>SUM(D$43:D49)</f>
        <v>7</v>
      </c>
      <c r="Y49" s="34">
        <f>SUM(E$43:E49)</f>
        <v>8</v>
      </c>
      <c r="Z49" s="34">
        <f>SUM(F$43:F49)</f>
        <v>5</v>
      </c>
      <c r="AA49" s="34">
        <f>SUM(G$43:G49)</f>
        <v>5</v>
      </c>
      <c r="AB49" s="34">
        <f>SUM(H$43:H49)</f>
        <v>6</v>
      </c>
      <c r="AC49" s="8">
        <f t="shared" si="16"/>
        <v>36</v>
      </c>
      <c r="AD49" s="64">
        <f t="shared" si="13"/>
        <v>3</v>
      </c>
    </row>
    <row r="50" spans="1:30">
      <c r="A50" s="251"/>
      <c r="B50" s="23" t="s">
        <v>68</v>
      </c>
      <c r="C50" s="8">
        <f>COUNTIFS('Datos Bachillerato'!$E:$E,C$42,'Datos Bachillerato'!$H:$H,"&gt;=01/08/2023",'Datos Bachillerato'!$H:$H,"&lt;=31/08/2023")</f>
        <v>0</v>
      </c>
      <c r="D50" s="8">
        <f>COUNTIFS('Datos Bachillerato'!$E:$E,D$42,'Datos Bachillerato'!$H:$H,"&gt;=01/08/2023",'Datos Bachillerato'!$H:$H,"&lt;=31/08/2023")</f>
        <v>1</v>
      </c>
      <c r="E50" s="8">
        <f>COUNTIFS('Datos Bachillerato'!$E:$E,E$42,'Datos Bachillerato'!$H:$H,"&gt;=01/08/2023",'Datos Bachillerato'!$H:$H,"&lt;=31/08/2023")</f>
        <v>5</v>
      </c>
      <c r="F50" s="8">
        <f>COUNTIFS('Datos Bachillerato'!$E:$E,F$42,'Datos Bachillerato'!$H:$H,"&gt;=01/08/2023",'Datos Bachillerato'!$H:$H,"&lt;=31/08/2023")</f>
        <v>2</v>
      </c>
      <c r="G50" s="8">
        <f>COUNTIFS('Datos Bachillerato'!$E:$E,G$42,'Datos Bachillerato'!$H:$H,"&gt;=01/08/2023",'Datos Bachillerato'!$H:$H,"&lt;=31/08/2023")</f>
        <v>1</v>
      </c>
      <c r="H50" s="8">
        <f>COUNTIFS('Datos Bachillerato'!$E:$E,H$42,'Datos Bachillerato'!$H:$H,"&gt;=01/08/2023",'Datos Bachillerato'!$H:$H,"&lt;=31/08/2023")</f>
        <v>1</v>
      </c>
      <c r="I50" s="8">
        <f t="shared" si="14"/>
        <v>10</v>
      </c>
      <c r="K50" s="251"/>
      <c r="L50" s="23" t="s">
        <v>68</v>
      </c>
      <c r="M50" s="34">
        <f>SUM(C$43:C50)</f>
        <v>5</v>
      </c>
      <c r="N50" s="34">
        <f>SUM(D$43:D50)</f>
        <v>8</v>
      </c>
      <c r="O50" s="34">
        <f>SUM(E$43:E50)</f>
        <v>13</v>
      </c>
      <c r="P50" s="34">
        <f>SUM(F$43:F50)</f>
        <v>7</v>
      </c>
      <c r="Q50" s="34">
        <f>SUM(G$43:G50)</f>
        <v>6</v>
      </c>
      <c r="R50" s="34">
        <f>SUM(H$43:H50)</f>
        <v>7</v>
      </c>
      <c r="S50" s="8">
        <f t="shared" si="15"/>
        <v>46</v>
      </c>
      <c r="U50" s="251"/>
      <c r="V50" s="23" t="s">
        <v>68</v>
      </c>
      <c r="W50" s="34">
        <f>SUM(C$43:C50)</f>
        <v>5</v>
      </c>
      <c r="X50" s="34">
        <f>SUM(D$43:D50)</f>
        <v>8</v>
      </c>
      <c r="Y50" s="34">
        <f>SUM(E$43:E50)</f>
        <v>13</v>
      </c>
      <c r="Z50" s="34">
        <f>SUM(F$43:F50)</f>
        <v>7</v>
      </c>
      <c r="AA50" s="34">
        <f>SUM(G$43:G50)</f>
        <v>6</v>
      </c>
      <c r="AB50" s="34">
        <f>SUM(H$43:H50)</f>
        <v>7</v>
      </c>
      <c r="AC50" s="8">
        <f t="shared" si="16"/>
        <v>46</v>
      </c>
      <c r="AD50" s="64">
        <f t="shared" si="13"/>
        <v>2.5555555555555554</v>
      </c>
    </row>
    <row r="51" spans="1:30">
      <c r="A51" s="251"/>
      <c r="B51" s="23" t="s">
        <v>77</v>
      </c>
      <c r="C51" s="8">
        <f>COUNTIFS('Datos Bachillerato'!$E:$E,C$42,'Datos Bachillerato'!$H:$H,"&gt;=01/09/2023",'Datos Bachillerato'!$H:$H,"&lt;=30/09/2023")</f>
        <v>2</v>
      </c>
      <c r="D51" s="8">
        <f>COUNTIFS('Datos Bachillerato'!$E:$E,D$42,'Datos Bachillerato'!$H:$H,"&gt;=01/09/2023",'Datos Bachillerato'!$H:$H,"&lt;=30/09/2023")</f>
        <v>1</v>
      </c>
      <c r="E51" s="8">
        <f>COUNTIFS('Datos Bachillerato'!$E:$E,E$42,'Datos Bachillerato'!$H:$H,"&gt;=01/09/2023",'Datos Bachillerato'!$H:$H,"&lt;=30/09/2023")</f>
        <v>1</v>
      </c>
      <c r="F51" s="8">
        <f>COUNTIFS('Datos Bachillerato'!$E:$E,F$42,'Datos Bachillerato'!$H:$H,"&gt;=01/09/2023",'Datos Bachillerato'!$H:$H,"&lt;=30/09/2023")</f>
        <v>2</v>
      </c>
      <c r="G51" s="8">
        <f>COUNTIFS('Datos Bachillerato'!$E:$E,G$42,'Datos Bachillerato'!$H:$H,"&gt;=01/09/2023",'Datos Bachillerato'!$H:$H,"&lt;=30/09/2023")</f>
        <v>4</v>
      </c>
      <c r="H51" s="8">
        <f>COUNTIFS('Datos Bachillerato'!$E:$E,H$42,'Datos Bachillerato'!$H:$H,"&gt;=01/09/2023",'Datos Bachillerato'!$H:$H,"&lt;=30/09/2023")</f>
        <v>1</v>
      </c>
      <c r="I51" s="8">
        <f t="shared" si="14"/>
        <v>11</v>
      </c>
      <c r="K51" s="251"/>
      <c r="L51" s="23" t="s">
        <v>77</v>
      </c>
      <c r="M51" s="34">
        <f>SUM(C$43:C51)</f>
        <v>7</v>
      </c>
      <c r="N51" s="34">
        <f>SUM(D$43:D51)</f>
        <v>9</v>
      </c>
      <c r="O51" s="34">
        <f>SUM(E$43:E51)</f>
        <v>14</v>
      </c>
      <c r="P51" s="34">
        <f>SUM(F$43:F51)</f>
        <v>9</v>
      </c>
      <c r="Q51" s="34">
        <f>SUM(G$43:G51)</f>
        <v>10</v>
      </c>
      <c r="R51" s="34">
        <f>SUM(H$43:H51)</f>
        <v>8</v>
      </c>
      <c r="S51" s="8">
        <f t="shared" si="15"/>
        <v>57</v>
      </c>
      <c r="U51" s="251"/>
      <c r="V51" s="23" t="s">
        <v>77</v>
      </c>
      <c r="W51" s="34">
        <f>SUM(C$43:C51)</f>
        <v>7</v>
      </c>
      <c r="X51" s="34">
        <f>SUM(D$43:D51)</f>
        <v>9</v>
      </c>
      <c r="Y51" s="34">
        <f>SUM(E$43:E51)</f>
        <v>14</v>
      </c>
      <c r="Z51" s="34">
        <f>SUM(F$43:F51)</f>
        <v>9</v>
      </c>
      <c r="AA51" s="34">
        <f>SUM(G$43:G51)</f>
        <v>10</v>
      </c>
      <c r="AB51" s="34">
        <f>SUM(H$43:H51)</f>
        <v>8</v>
      </c>
      <c r="AC51" s="8">
        <f t="shared" si="16"/>
        <v>57</v>
      </c>
      <c r="AD51" s="64">
        <f t="shared" si="13"/>
        <v>2.7142857142857144</v>
      </c>
    </row>
    <row r="52" spans="1:30">
      <c r="A52" s="251"/>
      <c r="B52" s="23" t="s">
        <v>84</v>
      </c>
      <c r="C52" s="8">
        <f>COUNTIFS('Datos Bachillerato'!$E:$E,C$42,'Datos Bachillerato'!$H:$H,"&gt;=01/10/2023",'Datos Bachillerato'!$H:$H,"&lt;=31/10/2023")</f>
        <v>2</v>
      </c>
      <c r="D52" s="8">
        <f>COUNTIFS('Datos Bachillerato'!$E:$E,D$42,'Datos Bachillerato'!$H:$H,"&gt;=01/10/2023",'Datos Bachillerato'!$H:$H,"&lt;=31/10/2023")</f>
        <v>0</v>
      </c>
      <c r="E52" s="8">
        <f>COUNTIFS('Datos Bachillerato'!$E:$E,E$42,'Datos Bachillerato'!$H:$H,"&gt;=01/10/2023",'Datos Bachillerato'!$H:$H,"&lt;=31/10/2023")</f>
        <v>2</v>
      </c>
      <c r="F52" s="8">
        <f>COUNTIFS('Datos Bachillerato'!$E:$E,F$42,'Datos Bachillerato'!$H:$H,"&gt;=01/10/2023",'Datos Bachillerato'!$H:$H,"&lt;=31/10/2023")</f>
        <v>2</v>
      </c>
      <c r="G52" s="8">
        <f>COUNTIFS('Datos Bachillerato'!$E:$E,G$42,'Datos Bachillerato'!$H:$H,"&gt;=01/10/2023",'Datos Bachillerato'!$H:$H,"&lt;=31/10/2023")</f>
        <v>2</v>
      </c>
      <c r="H52" s="8">
        <f>COUNTIFS('Datos Bachillerato'!$E:$E,H$42,'Datos Bachillerato'!$H:$H,"&gt;=01/10/2023",'Datos Bachillerato'!$H:$H,"&lt;=31/10/2023")</f>
        <v>2</v>
      </c>
      <c r="I52" s="8">
        <f t="shared" si="14"/>
        <v>10</v>
      </c>
      <c r="K52" s="251"/>
      <c r="L52" s="23" t="s">
        <v>84</v>
      </c>
      <c r="M52" s="34">
        <f>SUM(C$43:C52)</f>
        <v>9</v>
      </c>
      <c r="N52" s="34">
        <f>SUM(D$43:D52)</f>
        <v>9</v>
      </c>
      <c r="O52" s="34">
        <f>SUM(E$43:E52)</f>
        <v>16</v>
      </c>
      <c r="P52" s="34">
        <f>SUM(F$43:F52)</f>
        <v>11</v>
      </c>
      <c r="Q52" s="34">
        <f>SUM(G$43:G52)</f>
        <v>12</v>
      </c>
      <c r="R52" s="34">
        <f>SUM(H$43:H52)</f>
        <v>10</v>
      </c>
      <c r="S52" s="8">
        <f t="shared" si="15"/>
        <v>67</v>
      </c>
      <c r="U52" s="251"/>
      <c r="V52" s="23" t="s">
        <v>84</v>
      </c>
      <c r="W52" s="34">
        <f>SUM(C$43:C52)</f>
        <v>9</v>
      </c>
      <c r="X52" s="34">
        <f>SUM(D$43:D52)</f>
        <v>9</v>
      </c>
      <c r="Y52" s="34">
        <f>SUM(E$43:E52)</f>
        <v>16</v>
      </c>
      <c r="Z52" s="34">
        <f>SUM(F$43:F52)</f>
        <v>11</v>
      </c>
      <c r="AA52" s="34">
        <f>SUM(G$43:G52)</f>
        <v>12</v>
      </c>
      <c r="AB52" s="34">
        <f>SUM(H$43:H52)</f>
        <v>10</v>
      </c>
      <c r="AC52" s="8">
        <f t="shared" si="16"/>
        <v>67</v>
      </c>
      <c r="AD52" s="64">
        <f t="shared" si="13"/>
        <v>2.9130434782608696</v>
      </c>
    </row>
    <row r="53" spans="1:30">
      <c r="A53" s="251"/>
      <c r="B53" s="23" t="s">
        <v>87</v>
      </c>
      <c r="C53" s="8">
        <f>COUNTIFS('Datos Bachillerato'!$E:$E,C$42,'Datos Bachillerato'!$H:$H,"&gt;=01/11/2023",'Datos Bachillerato'!$H:$H,"&lt;=30/11/2023")</f>
        <v>0</v>
      </c>
      <c r="D53" s="8">
        <f>COUNTIFS('Datos Bachillerato'!$E:$E,D$42,'Datos Bachillerato'!$H:$H,"&gt;=01/11/2023",'Datos Bachillerato'!$H:$H,"&lt;=30/11/2023")</f>
        <v>0</v>
      </c>
      <c r="E53" s="8">
        <f>COUNTIFS('Datos Bachillerato'!$E:$E,E$42,'Datos Bachillerato'!$H:$H,"&gt;=01/11/2023",'Datos Bachillerato'!$H:$H,"&lt;=30/11/2023")</f>
        <v>0</v>
      </c>
      <c r="F53" s="8">
        <f>COUNTIFS('Datos Bachillerato'!$E:$E,F$42,'Datos Bachillerato'!$H:$H,"&gt;=01/11/2023",'Datos Bachillerato'!$H:$H,"&lt;=30/11/2023")</f>
        <v>2</v>
      </c>
      <c r="G53" s="8">
        <f>COUNTIFS('Datos Bachillerato'!$E:$E,G$42,'Datos Bachillerato'!$H:$H,"&gt;=01/11/2023",'Datos Bachillerato'!$H:$H,"&lt;=30/11/2023")</f>
        <v>3</v>
      </c>
      <c r="H53" s="8">
        <f>COUNTIFS('Datos Bachillerato'!$E:$E,H$42,'Datos Bachillerato'!$H:$H,"&gt;=01/11/2023",'Datos Bachillerato'!$H:$H,"&lt;=30/11/2023")</f>
        <v>0</v>
      </c>
      <c r="I53" s="8">
        <f t="shared" si="14"/>
        <v>5</v>
      </c>
      <c r="K53" s="251"/>
      <c r="L53" s="23" t="s">
        <v>87</v>
      </c>
      <c r="M53" s="34">
        <f>SUM(C$43:C53)</f>
        <v>9</v>
      </c>
      <c r="N53" s="34">
        <f>SUM(D$43:D53)</f>
        <v>9</v>
      </c>
      <c r="O53" s="34">
        <f>SUM(E$43:E53)</f>
        <v>16</v>
      </c>
      <c r="P53" s="34">
        <f>SUM(F$43:F53)</f>
        <v>13</v>
      </c>
      <c r="Q53" s="34">
        <f>SUM(G$43:G53)</f>
        <v>15</v>
      </c>
      <c r="R53" s="34">
        <f>SUM(H$43:H53)</f>
        <v>10</v>
      </c>
      <c r="S53" s="8">
        <f t="shared" si="15"/>
        <v>72</v>
      </c>
      <c r="U53" s="251"/>
      <c r="V53" s="23" t="s">
        <v>87</v>
      </c>
      <c r="W53" s="34">
        <f>SUM(C$43:C53)</f>
        <v>9</v>
      </c>
      <c r="X53" s="34">
        <f>SUM(D$43:D53)</f>
        <v>9</v>
      </c>
      <c r="Y53" s="34">
        <f>SUM(E$43:E53)</f>
        <v>16</v>
      </c>
      <c r="Z53" s="34">
        <f>SUM(F$43:F53)</f>
        <v>13</v>
      </c>
      <c r="AA53" s="34">
        <f>SUM(G$43:G53)</f>
        <v>15</v>
      </c>
      <c r="AB53" s="34">
        <f>SUM(H$43:H53)</f>
        <v>10</v>
      </c>
      <c r="AC53" s="8">
        <f t="shared" si="16"/>
        <v>72</v>
      </c>
      <c r="AD53" s="64">
        <f t="shared" si="13"/>
        <v>2.7692307692307692</v>
      </c>
    </row>
    <row r="54" spans="1:30">
      <c r="A54" s="251"/>
      <c r="B54" s="23" t="s">
        <v>173</v>
      </c>
      <c r="C54" s="8">
        <f>COUNTIFS('Datos Bachillerato'!$E:$E,C$42,'Datos Bachillerato'!$H:$H,"&gt;=01/12/2023",'Datos Bachillerato'!$H:$H,"&lt;=31/12/2023")</f>
        <v>1</v>
      </c>
      <c r="D54" s="8">
        <f>COUNTIFS('Datos Bachillerato'!$E:$E,D$42,'Datos Bachillerato'!$H:$H,"&gt;=01/12/2023",'Datos Bachillerato'!$H:$H,"&lt;=31/12/2023")</f>
        <v>0</v>
      </c>
      <c r="E54" s="8">
        <f>COUNTIFS('Datos Bachillerato'!$E:$E,E$42,'Datos Bachillerato'!$H:$H,"&gt;=01/12/2023",'Datos Bachillerato'!$H:$H,"&lt;=31/12/2023")</f>
        <v>2</v>
      </c>
      <c r="F54" s="8">
        <f>COUNTIFS('Datos Bachillerato'!$E:$E,F$42,'Datos Bachillerato'!$H:$H,"&gt;=01/12/2023",'Datos Bachillerato'!$H:$H,"&lt;=31/12/2023")</f>
        <v>1</v>
      </c>
      <c r="G54" s="8">
        <f>COUNTIFS('Datos Bachillerato'!$E:$E,G$42,'Datos Bachillerato'!$H:$H,"&gt;=01/12/2023",'Datos Bachillerato'!$H:$H,"&lt;=31/12/2023")</f>
        <v>1</v>
      </c>
      <c r="H54" s="8">
        <f>COUNTIFS('Datos Bachillerato'!$E:$E,H$42,'Datos Bachillerato'!$H:$H,"&gt;=01/12/2023",'Datos Bachillerato'!$H:$H,"&lt;=31/12/2023")</f>
        <v>0</v>
      </c>
      <c r="I54" s="8">
        <f t="shared" si="14"/>
        <v>5</v>
      </c>
      <c r="K54" s="251"/>
      <c r="L54" s="23" t="s">
        <v>173</v>
      </c>
      <c r="M54" s="34">
        <f>SUM(C$43:C54)</f>
        <v>10</v>
      </c>
      <c r="N54" s="34">
        <f>SUM(D$43:D54)</f>
        <v>9</v>
      </c>
      <c r="O54" s="34">
        <f>SUM(E$43:E54)</f>
        <v>18</v>
      </c>
      <c r="P54" s="34">
        <f>SUM(F$43:F54)</f>
        <v>14</v>
      </c>
      <c r="Q54" s="34">
        <f>SUM(G$43:G54)</f>
        <v>16</v>
      </c>
      <c r="R54" s="34">
        <f>SUM(H$43:H54)</f>
        <v>10</v>
      </c>
      <c r="S54" s="8">
        <f t="shared" si="15"/>
        <v>77</v>
      </c>
      <c r="U54" s="251"/>
      <c r="V54" s="23" t="s">
        <v>173</v>
      </c>
      <c r="W54" s="34">
        <f>SUM(C$43:C54)</f>
        <v>10</v>
      </c>
      <c r="X54" s="34">
        <f>SUM(D$43:D54)</f>
        <v>9</v>
      </c>
      <c r="Y54" s="34">
        <f>SUM(E$43:E54)</f>
        <v>18</v>
      </c>
      <c r="Z54" s="34">
        <f>SUM(F$43:F54)</f>
        <v>14</v>
      </c>
      <c r="AA54" s="34">
        <f>SUM(G$43:G54)</f>
        <v>16</v>
      </c>
      <c r="AB54" s="34">
        <f>SUM(H$43:H54)</f>
        <v>10</v>
      </c>
      <c r="AC54" s="8">
        <f t="shared" si="16"/>
        <v>77</v>
      </c>
      <c r="AD54" s="64">
        <f t="shared" si="13"/>
        <v>2.8518518518518516</v>
      </c>
    </row>
    <row r="55" spans="1:30" ht="14.45" customHeight="1">
      <c r="A55" s="251">
        <f>A15</f>
        <v>2024</v>
      </c>
      <c r="B55" s="23" t="s">
        <v>13</v>
      </c>
      <c r="C55" s="8">
        <f>COUNTIFS('Datos Bachillerato'!$E:$E,C$42,'Datos Bachillerato'!$H:$H,"&gt;=01/01/2024",'Datos Bachillerato'!$H:$H,"&lt;=31/01/2024")</f>
        <v>0</v>
      </c>
      <c r="D55" s="8">
        <f>COUNTIFS('Datos Bachillerato'!$E:$E,D$42,'Datos Bachillerato'!$H:$H,"&gt;=01/01/2024",'Datos Bachillerato'!$H:$H,"&lt;=31/01/2024")</f>
        <v>1</v>
      </c>
      <c r="E55" s="8">
        <f>COUNTIFS('Datos Bachillerato'!$E:$E,E$42,'Datos Bachillerato'!$H:$H,"&gt;=01/01/2024",'Datos Bachillerato'!$H:$H,"&lt;=31/01/2024")</f>
        <v>3</v>
      </c>
      <c r="F55" s="8">
        <f>COUNTIFS('Datos Bachillerato'!$E:$E,F$42,'Datos Bachillerato'!$H:$H,"&gt;=01/01/2024",'Datos Bachillerato'!$H:$H,"&lt;=31/01/2024")</f>
        <v>0</v>
      </c>
      <c r="G55" s="8">
        <f>COUNTIFS('Datos Bachillerato'!$E:$E,G$42,'Datos Bachillerato'!$H:$H,"&gt;=01/01/2024",'Datos Bachillerato'!$H:$H,"&lt;=31/01/2024")</f>
        <v>1</v>
      </c>
      <c r="H55" s="8">
        <f>COUNTIFS('Datos Bachillerato'!$E:$E,H$42,'Datos Bachillerato'!$H:$H,"&gt;=01/01/2024",'Datos Bachillerato'!$H:$H,"&lt;=31/01/2024")</f>
        <v>0</v>
      </c>
      <c r="I55" s="8">
        <f>SUM(C55:H55)</f>
        <v>5</v>
      </c>
      <c r="K55" s="251">
        <f>A55</f>
        <v>2024</v>
      </c>
      <c r="L55" s="23" t="s">
        <v>13</v>
      </c>
      <c r="M55" s="34">
        <f>SUM(C$55:C55)</f>
        <v>0</v>
      </c>
      <c r="N55" s="34">
        <f>SUM(D$55:D55)</f>
        <v>1</v>
      </c>
      <c r="O55" s="34">
        <f>SUM(E$55:E55)</f>
        <v>3</v>
      </c>
      <c r="P55" s="34">
        <f>SUM(F$55:F55)</f>
        <v>0</v>
      </c>
      <c r="Q55" s="34">
        <f>SUM(G$55:G55)</f>
        <v>1</v>
      </c>
      <c r="R55" s="34">
        <f>SUM(H$55:H55)</f>
        <v>0</v>
      </c>
      <c r="S55" s="8">
        <f>SUM(M55:R55)</f>
        <v>5</v>
      </c>
      <c r="U55" s="251">
        <f>A55</f>
        <v>2024</v>
      </c>
      <c r="V55" s="23" t="s">
        <v>13</v>
      </c>
      <c r="W55" s="34">
        <f>SUM(C$43:C55)</f>
        <v>10</v>
      </c>
      <c r="X55" s="34">
        <f>SUM(D$43:D55)</f>
        <v>10</v>
      </c>
      <c r="Y55" s="34">
        <f>SUM(E$43:E55)</f>
        <v>21</v>
      </c>
      <c r="Z55" s="34">
        <f>SUM(F$43:F55)</f>
        <v>14</v>
      </c>
      <c r="AA55" s="34">
        <f>SUM(G$43:G55)</f>
        <v>17</v>
      </c>
      <c r="AB55" s="34">
        <f>SUM(H$43:H55)</f>
        <v>10</v>
      </c>
      <c r="AC55" s="8">
        <f>SUM(W55:AB55)</f>
        <v>82</v>
      </c>
      <c r="AD55" s="64">
        <f t="shared" si="13"/>
        <v>2.6451612903225805</v>
      </c>
    </row>
    <row r="56" spans="1:30">
      <c r="A56" s="251"/>
      <c r="B56" s="23" t="s">
        <v>24</v>
      </c>
      <c r="C56" s="8">
        <f>COUNTIFS('Datos Bachillerato'!$E:$E,C$42,'Datos Bachillerato'!$H:$H,"&gt;=01/02/2024",'Datos Bachillerato'!$H:$H,"&lt;=29/02/2024")</f>
        <v>0</v>
      </c>
      <c r="D56" s="8">
        <f>COUNTIFS('Datos Bachillerato'!$E:$E,D$42,'Datos Bachillerato'!$H:$H,"&gt;=01/02/2024",'Datos Bachillerato'!$H:$H,"&lt;=29/02/2024")</f>
        <v>2</v>
      </c>
      <c r="E56" s="8">
        <f>COUNTIFS('Datos Bachillerato'!$E:$E,E$42,'Datos Bachillerato'!$H:$H,"&gt;=01/02/2024",'Datos Bachillerato'!$H:$H,"&lt;=29/02/2024")</f>
        <v>1</v>
      </c>
      <c r="F56" s="8">
        <f>COUNTIFS('Datos Bachillerato'!$E:$E,F$42,'Datos Bachillerato'!$H:$H,"&gt;=01/02/2024",'Datos Bachillerato'!$H:$H,"&lt;=29/02/2024")</f>
        <v>0</v>
      </c>
      <c r="G56" s="8">
        <f>COUNTIFS('Datos Bachillerato'!$E:$E,G$42,'Datos Bachillerato'!$H:$H,"&gt;=01/02/2024",'Datos Bachillerato'!$H:$H,"&lt;=29/02/2024")</f>
        <v>2</v>
      </c>
      <c r="H56" s="8">
        <f>COUNTIFS('Datos Bachillerato'!$E:$E,H$42,'Datos Bachillerato'!$H:$H,"&gt;=01/02/2024",'Datos Bachillerato'!$H:$H,"&lt;=29/02/2024")</f>
        <v>1</v>
      </c>
      <c r="I56" s="8">
        <f t="shared" ref="I56:I66" si="17">SUM(C56:H56)</f>
        <v>6</v>
      </c>
      <c r="K56" s="251"/>
      <c r="L56" s="23" t="s">
        <v>24</v>
      </c>
      <c r="M56" s="34">
        <f>SUM(C$55:C56)</f>
        <v>0</v>
      </c>
      <c r="N56" s="34">
        <f>SUM(D$55:D56)</f>
        <v>3</v>
      </c>
      <c r="O56" s="34">
        <f>SUM(E$55:E56)</f>
        <v>4</v>
      </c>
      <c r="P56" s="34">
        <f>SUM(F$55:F56)</f>
        <v>0</v>
      </c>
      <c r="Q56" s="34">
        <f>SUM(G$55:G56)</f>
        <v>3</v>
      </c>
      <c r="R56" s="34">
        <f>SUM(H$55:H56)</f>
        <v>1</v>
      </c>
      <c r="S56" s="8">
        <f t="shared" ref="S56:S66" si="18">SUM(M56:R56)</f>
        <v>11</v>
      </c>
      <c r="U56" s="251"/>
      <c r="V56" s="23" t="s">
        <v>24</v>
      </c>
      <c r="W56" s="34">
        <f>SUM(C$43:C56)</f>
        <v>10</v>
      </c>
      <c r="X56" s="34">
        <f>SUM(D$43:D56)</f>
        <v>12</v>
      </c>
      <c r="Y56" s="34">
        <f>SUM(E$43:E56)</f>
        <v>22</v>
      </c>
      <c r="Z56" s="34">
        <f>SUM(F$43:F56)</f>
        <v>14</v>
      </c>
      <c r="AA56" s="34">
        <f>SUM(G$43:G56)</f>
        <v>19</v>
      </c>
      <c r="AB56" s="34">
        <f>SUM(H$43:H56)</f>
        <v>11</v>
      </c>
      <c r="AC56" s="8">
        <f t="shared" ref="AC56:AC66" si="19">SUM(W56:AB56)</f>
        <v>88</v>
      </c>
      <c r="AD56" s="64">
        <f t="shared" si="13"/>
        <v>2.3157894736842106</v>
      </c>
    </row>
    <row r="57" spans="1:30">
      <c r="A57" s="251"/>
      <c r="B57" s="23" t="s">
        <v>34</v>
      </c>
      <c r="C57" s="8">
        <f>COUNTIFS('Datos Bachillerato'!$E:$E,C$42,'Datos Bachillerato'!$H:$H,"&gt;=01/03/2024",'Datos Bachillerato'!$H:$H,"&lt;=31/03/2024")</f>
        <v>0</v>
      </c>
      <c r="D57" s="8">
        <f>COUNTIFS('Datos Bachillerato'!$E:$E,D$42,'Datos Bachillerato'!$H:$H,"&gt;=01/03/2024",'Datos Bachillerato'!$H:$H,"&lt;=31/03/2024")</f>
        <v>0</v>
      </c>
      <c r="E57" s="8">
        <f>COUNTIFS('Datos Bachillerato'!$E:$E,E$42,'Datos Bachillerato'!$H:$H,"&gt;=01/03/2024",'Datos Bachillerato'!$H:$H,"&lt;=31/03/2024")</f>
        <v>0</v>
      </c>
      <c r="F57" s="8">
        <f>COUNTIFS('Datos Bachillerato'!$E:$E,F$42,'Datos Bachillerato'!$H:$H,"&gt;=01/03/2024",'Datos Bachillerato'!$H:$H,"&lt;=31/03/2024")</f>
        <v>1</v>
      </c>
      <c r="G57" s="8">
        <f>COUNTIFS('Datos Bachillerato'!$E:$E,G$42,'Datos Bachillerato'!$H:$H,"&gt;=01/03/2024",'Datos Bachillerato'!$H:$H,"&lt;=31/03/2024")</f>
        <v>1</v>
      </c>
      <c r="H57" s="8">
        <f>COUNTIFS('Datos Bachillerato'!$E:$E,H$42,'Datos Bachillerato'!$H:$H,"&gt;=01/03/2024",'Datos Bachillerato'!$H:$H,"&lt;=31/03/2024")</f>
        <v>0</v>
      </c>
      <c r="I57" s="8">
        <f t="shared" si="17"/>
        <v>2</v>
      </c>
      <c r="K57" s="251"/>
      <c r="L57" s="23" t="s">
        <v>34</v>
      </c>
      <c r="M57" s="34">
        <f>SUM(C$55:C57)</f>
        <v>0</v>
      </c>
      <c r="N57" s="34">
        <f>SUM(D$55:D57)</f>
        <v>3</v>
      </c>
      <c r="O57" s="34">
        <f>SUM(E$55:E57)</f>
        <v>4</v>
      </c>
      <c r="P57" s="34">
        <f>SUM(F$55:F57)</f>
        <v>1</v>
      </c>
      <c r="Q57" s="34">
        <f>SUM(G$55:G57)</f>
        <v>4</v>
      </c>
      <c r="R57" s="34">
        <f>SUM(H$55:H57)</f>
        <v>1</v>
      </c>
      <c r="S57" s="8">
        <f t="shared" si="18"/>
        <v>13</v>
      </c>
      <c r="U57" s="251"/>
      <c r="V57" s="23" t="s">
        <v>34</v>
      </c>
      <c r="W57" s="34">
        <f>SUM(C$43:C57)</f>
        <v>10</v>
      </c>
      <c r="X57" s="34">
        <f>SUM(D$43:D57)</f>
        <v>12</v>
      </c>
      <c r="Y57" s="34">
        <f>SUM(E$43:E57)</f>
        <v>22</v>
      </c>
      <c r="Z57" s="34">
        <f>SUM(F$43:F57)</f>
        <v>15</v>
      </c>
      <c r="AA57" s="34">
        <f>SUM(G$43:G57)</f>
        <v>20</v>
      </c>
      <c r="AB57" s="34">
        <f>SUM(H$43:H57)</f>
        <v>11</v>
      </c>
      <c r="AC57" s="8">
        <f t="shared" si="19"/>
        <v>90</v>
      </c>
      <c r="AD57" s="64">
        <f t="shared" si="13"/>
        <v>2.25</v>
      </c>
    </row>
    <row r="58" spans="1:30">
      <c r="A58" s="251"/>
      <c r="B58" s="23" t="s">
        <v>38</v>
      </c>
      <c r="C58" s="8">
        <f>COUNTIFS('Datos Bachillerato'!$E:$E,C$42,'Datos Bachillerato'!$H:$H,"&gt;=01/04/2024",'Datos Bachillerato'!$H:$H,"&lt;=30/04/2024")</f>
        <v>1</v>
      </c>
      <c r="D58" s="8">
        <f>COUNTIFS('Datos Bachillerato'!$E:$E,D$42,'Datos Bachillerato'!$H:$H,"&gt;=01/04/2024",'Datos Bachillerato'!$H:$H,"&lt;=30/04/2024")</f>
        <v>0</v>
      </c>
      <c r="E58" s="8">
        <f>COUNTIFS('Datos Bachillerato'!$E:$E,E$42,'Datos Bachillerato'!$H:$H,"&gt;=01/04/2024",'Datos Bachillerato'!$H:$H,"&lt;=30/04/2024")</f>
        <v>2</v>
      </c>
      <c r="F58" s="8">
        <f>COUNTIFS('Datos Bachillerato'!$E:$E,F$42,'Datos Bachillerato'!$H:$H,"&gt;=01/04/2024",'Datos Bachillerato'!$H:$H,"&lt;=30/04/2024")</f>
        <v>1</v>
      </c>
      <c r="G58" s="8">
        <f>COUNTIFS('Datos Bachillerato'!$E:$E,G$42,'Datos Bachillerato'!$H:$H,"&gt;=01/04/2024",'Datos Bachillerato'!$H:$H,"&lt;=30/04/2024")</f>
        <v>2</v>
      </c>
      <c r="H58" s="8">
        <f>COUNTIFS('Datos Bachillerato'!$E:$E,H$42,'Datos Bachillerato'!$H:$H,"&gt;=01/04/2024",'Datos Bachillerato'!$H:$H,"&lt;=30/04/2024")</f>
        <v>1</v>
      </c>
      <c r="I58" s="8">
        <f t="shared" si="17"/>
        <v>7</v>
      </c>
      <c r="K58" s="251"/>
      <c r="L58" s="23" t="s">
        <v>38</v>
      </c>
      <c r="M58" s="34">
        <f>SUM(C$55:C58)</f>
        <v>1</v>
      </c>
      <c r="N58" s="34">
        <f>SUM(D$55:D58)</f>
        <v>3</v>
      </c>
      <c r="O58" s="34">
        <f>SUM(E$55:E58)</f>
        <v>6</v>
      </c>
      <c r="P58" s="34">
        <f>SUM(F$55:F58)</f>
        <v>2</v>
      </c>
      <c r="Q58" s="34">
        <f>SUM(G$55:G58)</f>
        <v>6</v>
      </c>
      <c r="R58" s="34">
        <f>SUM(H$55:H58)</f>
        <v>2</v>
      </c>
      <c r="S58" s="8">
        <f t="shared" si="18"/>
        <v>20</v>
      </c>
      <c r="U58" s="251"/>
      <c r="V58" s="23" t="s">
        <v>38</v>
      </c>
      <c r="W58" s="34">
        <f>SUM(C$43:C58)</f>
        <v>11</v>
      </c>
      <c r="X58" s="34">
        <f>SUM(D$43:D58)</f>
        <v>12</v>
      </c>
      <c r="Y58" s="34">
        <f>SUM(E$43:E58)</f>
        <v>24</v>
      </c>
      <c r="Z58" s="34">
        <f>SUM(F$43:F58)</f>
        <v>16</v>
      </c>
      <c r="AA58" s="34">
        <f>SUM(G$43:G58)</f>
        <v>22</v>
      </c>
      <c r="AB58" s="34">
        <f>SUM(H$43:H58)</f>
        <v>12</v>
      </c>
      <c r="AC58" s="8">
        <f t="shared" si="19"/>
        <v>97</v>
      </c>
      <c r="AD58" s="64">
        <f t="shared" si="13"/>
        <v>2.4249999999999998</v>
      </c>
    </row>
    <row r="59" spans="1:30">
      <c r="A59" s="251"/>
      <c r="B59" s="23" t="s">
        <v>47</v>
      </c>
      <c r="C59" s="8">
        <f>COUNTIFS('Datos Bachillerato'!$E:$E,C$42,'Datos Bachillerato'!$H:$H,"&gt;=01/05/2024",'Datos Bachillerato'!$H:$H,"&lt;=31/05/2024")</f>
        <v>0</v>
      </c>
      <c r="D59" s="8">
        <f>COUNTIFS('Datos Bachillerato'!$E:$E,D$42,'Datos Bachillerato'!$H:$H,"&gt;=01/05/2024",'Datos Bachillerato'!$H:$H,"&lt;=31/05/2024")</f>
        <v>0</v>
      </c>
      <c r="E59" s="8">
        <f>COUNTIFS('Datos Bachillerato'!$E:$E,E$42,'Datos Bachillerato'!$H:$H,"&gt;=01/05/2024",'Datos Bachillerato'!$H:$H,"&lt;=31/05/2024")</f>
        <v>1</v>
      </c>
      <c r="F59" s="8">
        <f>COUNTIFS('Datos Bachillerato'!$E:$E,F$42,'Datos Bachillerato'!$H:$H,"&gt;=01/05/2024",'Datos Bachillerato'!$H:$H,"&lt;=31/05/2024")</f>
        <v>0</v>
      </c>
      <c r="G59" s="8">
        <f>COUNTIFS('Datos Bachillerato'!$E:$E,G$42,'Datos Bachillerato'!$H:$H,"&gt;=01/05/2024",'Datos Bachillerato'!$H:$H,"&lt;=31/05/2024")</f>
        <v>2</v>
      </c>
      <c r="H59" s="8">
        <f>COUNTIFS('Datos Bachillerato'!$E:$E,H$42,'Datos Bachillerato'!$H:$H,"&gt;=01/05/2024",'Datos Bachillerato'!$H:$H,"&lt;=31/05/2024")</f>
        <v>0</v>
      </c>
      <c r="I59" s="8">
        <f t="shared" si="17"/>
        <v>3</v>
      </c>
      <c r="K59" s="251"/>
      <c r="L59" s="23" t="s">
        <v>47</v>
      </c>
      <c r="M59" s="34">
        <f>SUM(C$55:C59)</f>
        <v>1</v>
      </c>
      <c r="N59" s="34">
        <f>SUM(D$55:D59)</f>
        <v>3</v>
      </c>
      <c r="O59" s="34">
        <f>SUM(E$55:E59)</f>
        <v>7</v>
      </c>
      <c r="P59" s="34">
        <f>SUM(F$55:F59)</f>
        <v>2</v>
      </c>
      <c r="Q59" s="34">
        <f>SUM(G$55:G59)</f>
        <v>8</v>
      </c>
      <c r="R59" s="34">
        <f>SUM(H$55:H59)</f>
        <v>2</v>
      </c>
      <c r="S59" s="8">
        <f t="shared" si="18"/>
        <v>23</v>
      </c>
      <c r="U59" s="251"/>
      <c r="V59" s="23" t="s">
        <v>47</v>
      </c>
      <c r="W59" s="34">
        <f>SUM(C$43:C59)</f>
        <v>11</v>
      </c>
      <c r="X59" s="34">
        <f>SUM(D$43:D59)</f>
        <v>12</v>
      </c>
      <c r="Y59" s="34">
        <f>SUM(E$43:E59)</f>
        <v>25</v>
      </c>
      <c r="Z59" s="34">
        <f>SUM(F$43:F59)</f>
        <v>16</v>
      </c>
      <c r="AA59" s="34">
        <f>SUM(G$43:G59)</f>
        <v>24</v>
      </c>
      <c r="AB59" s="34">
        <f>SUM(H$43:H59)</f>
        <v>12</v>
      </c>
      <c r="AC59" s="8">
        <f t="shared" si="19"/>
        <v>100</v>
      </c>
      <c r="AD59" s="64">
        <f t="shared" si="13"/>
        <v>2.4390243902439024</v>
      </c>
    </row>
    <row r="60" spans="1:30">
      <c r="A60" s="251"/>
      <c r="B60" s="23" t="s">
        <v>57</v>
      </c>
      <c r="C60" s="8">
        <f>COUNTIFS('Datos Bachillerato'!$E:$E,C$42,'Datos Bachillerato'!$H:$H,"&gt;=01/06/2024",'Datos Bachillerato'!$H:$H,"&lt;=30/06/2024")</f>
        <v>0</v>
      </c>
      <c r="D60" s="8">
        <f>COUNTIFS('Datos Bachillerato'!$E:$E,D$42,'Datos Bachillerato'!$H:$H,"&gt;=01/06/2024",'Datos Bachillerato'!$H:$H,"&lt;=30/06/2024")</f>
        <v>0</v>
      </c>
      <c r="E60" s="8">
        <f>COUNTIFS('Datos Bachillerato'!$E:$E,E$42,'Datos Bachillerato'!$H:$H,"&gt;=01/06/2024",'Datos Bachillerato'!$H:$H,"&lt;=30/06/2024")</f>
        <v>1</v>
      </c>
      <c r="F60" s="8">
        <f>COUNTIFS('Datos Bachillerato'!$E:$E,F$42,'Datos Bachillerato'!$H:$H,"&gt;=01/06/2024",'Datos Bachillerato'!$H:$H,"&lt;=30/06/2024")</f>
        <v>0</v>
      </c>
      <c r="G60" s="8">
        <f>COUNTIFS('Datos Bachillerato'!$E:$E,G$42,'Datos Bachillerato'!$H:$H,"&gt;=01/06/2024",'Datos Bachillerato'!$H:$H,"&lt;=30/06/2024")</f>
        <v>0</v>
      </c>
      <c r="H60" s="8">
        <f>COUNTIFS('Datos Bachillerato'!$E:$E,H$42,'Datos Bachillerato'!$H:$H,"&gt;=01/06/2024",'Datos Bachillerato'!$H:$H,"&lt;=30/06/2024")</f>
        <v>0</v>
      </c>
      <c r="I60" s="8">
        <f t="shared" si="17"/>
        <v>1</v>
      </c>
      <c r="K60" s="251"/>
      <c r="L60" s="23" t="s">
        <v>57</v>
      </c>
      <c r="M60" s="34">
        <f>SUM(C$55:C60)</f>
        <v>1</v>
      </c>
      <c r="N60" s="34">
        <f>SUM(D$55:D60)</f>
        <v>3</v>
      </c>
      <c r="O60" s="34">
        <f>SUM(E$55:E60)</f>
        <v>8</v>
      </c>
      <c r="P60" s="34">
        <f>SUM(F$55:F60)</f>
        <v>2</v>
      </c>
      <c r="Q60" s="34">
        <f>SUM(G$55:G60)</f>
        <v>8</v>
      </c>
      <c r="R60" s="34">
        <f>SUM(H$55:H60)</f>
        <v>2</v>
      </c>
      <c r="S60" s="8">
        <f t="shared" si="18"/>
        <v>24</v>
      </c>
      <c r="U60" s="251"/>
      <c r="V60" s="23" t="s">
        <v>57</v>
      </c>
      <c r="W60" s="34">
        <f>SUM(C$43:C60)</f>
        <v>11</v>
      </c>
      <c r="X60" s="34">
        <f>SUM(D$43:D60)</f>
        <v>12</v>
      </c>
      <c r="Y60" s="34">
        <f>SUM(E$43:E60)</f>
        <v>26</v>
      </c>
      <c r="Z60" s="34">
        <f>SUM(F$43:F60)</f>
        <v>16</v>
      </c>
      <c r="AA60" s="34">
        <f>SUM(G$43:G60)</f>
        <v>24</v>
      </c>
      <c r="AB60" s="34">
        <f>SUM(H$43:H60)</f>
        <v>12</v>
      </c>
      <c r="AC60" s="8">
        <f t="shared" si="19"/>
        <v>101</v>
      </c>
      <c r="AD60" s="64">
        <f t="shared" si="13"/>
        <v>2.4634146341463414</v>
      </c>
    </row>
    <row r="61" spans="1:30">
      <c r="A61" s="251"/>
      <c r="B61" s="23" t="s">
        <v>62</v>
      </c>
      <c r="C61" s="8">
        <f>COUNTIFS('Datos Bachillerato'!$E:$E,C$42,'Datos Bachillerato'!$H:$H,"&gt;=01/07/2024",'Datos Bachillerato'!$H:$H,"&lt;=31/07/2024")</f>
        <v>1</v>
      </c>
      <c r="D61" s="8">
        <f>COUNTIFS('Datos Bachillerato'!$E:$E,D$42,'Datos Bachillerato'!$H:$H,"&gt;=01/07/2024",'Datos Bachillerato'!$H:$H,"&lt;=31/07/2024")</f>
        <v>1</v>
      </c>
      <c r="E61" s="8">
        <f>COUNTIFS('Datos Bachillerato'!$E:$E,E$42,'Datos Bachillerato'!$H:$H,"&gt;=01/07/2024",'Datos Bachillerato'!$H:$H,"&lt;=31/07/2024")</f>
        <v>4</v>
      </c>
      <c r="F61" s="8">
        <f>COUNTIFS('Datos Bachillerato'!$E:$E,F$42,'Datos Bachillerato'!$H:$H,"&gt;=01/07/2024",'Datos Bachillerato'!$H:$H,"&lt;=31/07/2024")</f>
        <v>1</v>
      </c>
      <c r="G61" s="8">
        <f>COUNTIFS('Datos Bachillerato'!$E:$E,G$42,'Datos Bachillerato'!$H:$H,"&gt;=01/07/2024",'Datos Bachillerato'!$H:$H,"&lt;=31/07/2024")</f>
        <v>0</v>
      </c>
      <c r="H61" s="8">
        <f>COUNTIFS('Datos Bachillerato'!$E:$E,H$42,'Datos Bachillerato'!$H:$H,"&gt;=01/07/2024",'Datos Bachillerato'!$H:$H,"&lt;=31/07/2024")</f>
        <v>0</v>
      </c>
      <c r="I61" s="8">
        <f t="shared" si="17"/>
        <v>7</v>
      </c>
      <c r="K61" s="251"/>
      <c r="L61" s="23" t="s">
        <v>62</v>
      </c>
      <c r="M61" s="34">
        <f>SUM(C$55:C61)</f>
        <v>2</v>
      </c>
      <c r="N61" s="34">
        <f>SUM(D$55:D61)</f>
        <v>4</v>
      </c>
      <c r="O61" s="34">
        <f>SUM(E$55:E61)</f>
        <v>12</v>
      </c>
      <c r="P61" s="34">
        <f>SUM(F$55:F61)</f>
        <v>3</v>
      </c>
      <c r="Q61" s="34">
        <f>SUM(G$55:G61)</f>
        <v>8</v>
      </c>
      <c r="R61" s="34">
        <f>SUM(H$55:H61)</f>
        <v>2</v>
      </c>
      <c r="S61" s="8">
        <f t="shared" si="18"/>
        <v>31</v>
      </c>
      <c r="U61" s="251"/>
      <c r="V61" s="23" t="s">
        <v>62</v>
      </c>
      <c r="W61" s="34">
        <f>SUM(C$43:C61)</f>
        <v>12</v>
      </c>
      <c r="X61" s="34">
        <f>SUM(D$43:D61)</f>
        <v>13</v>
      </c>
      <c r="Y61" s="34">
        <f>SUM(E$43:E61)</f>
        <v>30</v>
      </c>
      <c r="Z61" s="34">
        <f>SUM(F$43:F61)</f>
        <v>17</v>
      </c>
      <c r="AA61" s="34">
        <f>SUM(G$43:G61)</f>
        <v>24</v>
      </c>
      <c r="AB61" s="34">
        <f>SUM(H$43:H61)</f>
        <v>12</v>
      </c>
      <c r="AC61" s="8">
        <f t="shared" si="19"/>
        <v>108</v>
      </c>
      <c r="AD61" s="65">
        <f t="shared" si="13"/>
        <v>2.5714285714285716</v>
      </c>
    </row>
    <row r="62" spans="1:30">
      <c r="A62" s="251"/>
      <c r="B62" s="23" t="s">
        <v>68</v>
      </c>
      <c r="C62" s="8">
        <f>COUNTIFS('Datos Bachillerato'!$E:$E,C$42,'Datos Bachillerato'!$H:$H,"&gt;=01/08/2024",'Datos Bachillerato'!$H:$H,"&lt;=31/08/2024")</f>
        <v>1</v>
      </c>
      <c r="D62" s="8">
        <f>COUNTIFS('Datos Bachillerato'!$E:$E,D$42,'Datos Bachillerato'!$H:$H,"&gt;=01/08/2024",'Datos Bachillerato'!$H:$H,"&lt;=31/08/2024")</f>
        <v>1</v>
      </c>
      <c r="E62" s="8">
        <f>COUNTIFS('Datos Bachillerato'!$E:$E,E$42,'Datos Bachillerato'!$H:$H,"&gt;=01/08/2024",'Datos Bachillerato'!$H:$H,"&lt;=31/08/2024")</f>
        <v>1</v>
      </c>
      <c r="F62" s="8">
        <f>COUNTIFS('Datos Bachillerato'!$E:$E,F$42,'Datos Bachillerato'!$H:$H,"&gt;=01/08/2024",'Datos Bachillerato'!$H:$H,"&lt;=31/08/2024")</f>
        <v>4</v>
      </c>
      <c r="G62" s="8">
        <f>COUNTIFS('Datos Bachillerato'!$E:$E,G$42,'Datos Bachillerato'!$H:$H,"&gt;=01/08/2024",'Datos Bachillerato'!$H:$H,"&lt;=31/08/2024")</f>
        <v>2</v>
      </c>
      <c r="H62" s="8">
        <f>COUNTIFS('Datos Bachillerato'!$E:$E,H$42,'Datos Bachillerato'!$H:$H,"&gt;=01/08/2024",'Datos Bachillerato'!$H:$H,"&lt;=31/08/2024")</f>
        <v>1</v>
      </c>
      <c r="I62" s="8">
        <f t="shared" si="17"/>
        <v>10</v>
      </c>
      <c r="K62" s="251"/>
      <c r="L62" s="23" t="s">
        <v>68</v>
      </c>
      <c r="M62" s="34">
        <f>SUM(C$55:C62)</f>
        <v>3</v>
      </c>
      <c r="N62" s="34">
        <f>SUM(D$55:D62)</f>
        <v>5</v>
      </c>
      <c r="O62" s="34">
        <f>SUM(E$55:E62)</f>
        <v>13</v>
      </c>
      <c r="P62" s="34">
        <f>SUM(F$55:F62)</f>
        <v>7</v>
      </c>
      <c r="Q62" s="34">
        <f>SUM(G$55:G62)</f>
        <v>10</v>
      </c>
      <c r="R62" s="34">
        <f>SUM(H$55:H62)</f>
        <v>3</v>
      </c>
      <c r="S62" s="8">
        <f t="shared" si="18"/>
        <v>41</v>
      </c>
      <c r="U62" s="251"/>
      <c r="V62" s="23" t="s">
        <v>68</v>
      </c>
      <c r="W62" s="34">
        <f>SUM(C$43:C62)</f>
        <v>13</v>
      </c>
      <c r="X62" s="34">
        <f>SUM(D$43:D62)</f>
        <v>14</v>
      </c>
      <c r="Y62" s="34">
        <f>SUM(E$43:E62)</f>
        <v>31</v>
      </c>
      <c r="Z62" s="34">
        <f>SUM(F$43:F62)</f>
        <v>21</v>
      </c>
      <c r="AA62" s="34">
        <f>SUM(G$43:G62)</f>
        <v>26</v>
      </c>
      <c r="AB62" s="34">
        <f>SUM(H$43:H62)</f>
        <v>13</v>
      </c>
      <c r="AC62" s="8">
        <f t="shared" si="19"/>
        <v>118</v>
      </c>
      <c r="AD62" s="64">
        <f t="shared" si="13"/>
        <v>2.8095238095238093</v>
      </c>
    </row>
    <row r="63" spans="1:30">
      <c r="A63" s="251"/>
      <c r="B63" s="23" t="s">
        <v>77</v>
      </c>
      <c r="C63" s="8">
        <f>COUNTIFS('Datos Bachillerato'!$E:$E,C$42,'Datos Bachillerato'!$H:$H,"&gt;=01/09/2024",'Datos Bachillerato'!$H:$H,"&lt;=30/09/2024")</f>
        <v>0</v>
      </c>
      <c r="D63" s="8">
        <f>COUNTIFS('Datos Bachillerato'!$E:$E,D$42,'Datos Bachillerato'!$H:$H,"&gt;=01/09/2024",'Datos Bachillerato'!$H:$H,"&lt;=30/09/2024")</f>
        <v>0</v>
      </c>
      <c r="E63" s="8">
        <f>COUNTIFS('Datos Bachillerato'!$E:$E,E$42,'Datos Bachillerato'!$H:$H,"&gt;=01/09/2024",'Datos Bachillerato'!$H:$H,"&lt;=30/09/2024")</f>
        <v>1</v>
      </c>
      <c r="F63" s="8">
        <f>COUNTIFS('Datos Bachillerato'!$E:$E,F$42,'Datos Bachillerato'!$H:$H,"&gt;=01/09/2024",'Datos Bachillerato'!$H:$H,"&lt;=30/09/2024")</f>
        <v>0</v>
      </c>
      <c r="G63" s="8">
        <f>COUNTIFS('Datos Bachillerato'!$E:$E,G$42,'Datos Bachillerato'!$H:$H,"&gt;=01/09/2024",'Datos Bachillerato'!$H:$H,"&lt;=30/09/2024")</f>
        <v>1</v>
      </c>
      <c r="H63" s="8">
        <f>COUNTIFS('Datos Bachillerato'!$E:$E,H$42,'Datos Bachillerato'!$H:$H,"&gt;=01/09/2024",'Datos Bachillerato'!$H:$H,"&lt;=30/09/2024")</f>
        <v>0</v>
      </c>
      <c r="I63" s="8">
        <f t="shared" si="17"/>
        <v>2</v>
      </c>
      <c r="K63" s="251"/>
      <c r="L63" s="23" t="s">
        <v>77</v>
      </c>
      <c r="M63" s="34">
        <f>SUM(C$55:C63)</f>
        <v>3</v>
      </c>
      <c r="N63" s="34">
        <f>SUM(D$55:D63)</f>
        <v>5</v>
      </c>
      <c r="O63" s="34">
        <f>SUM(E$55:E63)</f>
        <v>14</v>
      </c>
      <c r="P63" s="34">
        <f>SUM(F$55:F63)</f>
        <v>7</v>
      </c>
      <c r="Q63" s="34">
        <f>SUM(G$55:G63)</f>
        <v>11</v>
      </c>
      <c r="R63" s="34">
        <f>SUM(H$55:H63)</f>
        <v>3</v>
      </c>
      <c r="S63" s="8">
        <f t="shared" si="18"/>
        <v>43</v>
      </c>
      <c r="U63" s="251"/>
      <c r="V63" s="23" t="s">
        <v>77</v>
      </c>
      <c r="W63" s="34">
        <f>SUM(C$43:C63)</f>
        <v>13</v>
      </c>
      <c r="X63" s="34">
        <f>SUM(D$43:D63)</f>
        <v>14</v>
      </c>
      <c r="Y63" s="34">
        <f>SUM(E$43:E63)</f>
        <v>32</v>
      </c>
      <c r="Z63" s="34">
        <f>SUM(F$43:F63)</f>
        <v>21</v>
      </c>
      <c r="AA63" s="34">
        <f>SUM(G$43:G63)</f>
        <v>27</v>
      </c>
      <c r="AB63" s="34">
        <f>SUM(H$43:H63)</f>
        <v>13</v>
      </c>
      <c r="AC63" s="8">
        <f t="shared" si="19"/>
        <v>120</v>
      </c>
      <c r="AD63" s="64">
        <f t="shared" si="13"/>
        <v>2.6666666666666665</v>
      </c>
    </row>
    <row r="64" spans="1:30">
      <c r="A64" s="251"/>
      <c r="B64" s="23" t="s">
        <v>84</v>
      </c>
      <c r="C64" s="8">
        <f>COUNTIFS('Datos Bachillerato'!$E:$E,C$42,'Datos Bachillerato'!$H:$H,"&gt;=01/10/2024",'Datos Bachillerato'!$H:$H,"&lt;=31/10/2024")</f>
        <v>1</v>
      </c>
      <c r="D64" s="8">
        <f>COUNTIFS('Datos Bachillerato'!$E:$E,D$42,'Datos Bachillerato'!$H:$H,"&gt;=01/10/2024",'Datos Bachillerato'!$H:$H,"&lt;=31/10/2024")</f>
        <v>1</v>
      </c>
      <c r="E64" s="8">
        <f>COUNTIFS('Datos Bachillerato'!$E:$E,E$42,'Datos Bachillerato'!$H:$H,"&gt;=01/10/2024",'Datos Bachillerato'!$H:$H,"&lt;=31/10/2024")</f>
        <v>3</v>
      </c>
      <c r="F64" s="8">
        <f>COUNTIFS('Datos Bachillerato'!$E:$E,F$42,'Datos Bachillerato'!$H:$H,"&gt;=01/10/2024",'Datos Bachillerato'!$H:$H,"&lt;=31/10/2024")</f>
        <v>2</v>
      </c>
      <c r="G64" s="8">
        <f>COUNTIFS('Datos Bachillerato'!$E:$E,G$42,'Datos Bachillerato'!$H:$H,"&gt;=01/10/2024",'Datos Bachillerato'!$H:$H,"&lt;=31/10/2024")</f>
        <v>0</v>
      </c>
      <c r="H64" s="8">
        <f>COUNTIFS('Datos Bachillerato'!$E:$E,H$42,'Datos Bachillerato'!$H:$H,"&gt;=01/10/2024",'Datos Bachillerato'!$H:$H,"&lt;=31/10/2024")</f>
        <v>0</v>
      </c>
      <c r="I64" s="8">
        <f t="shared" si="17"/>
        <v>7</v>
      </c>
      <c r="K64" s="251"/>
      <c r="L64" s="23" t="s">
        <v>84</v>
      </c>
      <c r="M64" s="34">
        <f>SUM(C$55:C64)</f>
        <v>4</v>
      </c>
      <c r="N64" s="34">
        <f>SUM(D$55:D64)</f>
        <v>6</v>
      </c>
      <c r="O64" s="34">
        <f>SUM(E$55:E64)</f>
        <v>17</v>
      </c>
      <c r="P64" s="34">
        <f>SUM(F$55:F64)</f>
        <v>9</v>
      </c>
      <c r="Q64" s="34">
        <f>SUM(G$55:G64)</f>
        <v>11</v>
      </c>
      <c r="R64" s="34">
        <f>SUM(H$55:H64)</f>
        <v>3</v>
      </c>
      <c r="S64" s="8">
        <f t="shared" si="18"/>
        <v>50</v>
      </c>
      <c r="U64" s="251"/>
      <c r="V64" s="23" t="s">
        <v>84</v>
      </c>
      <c r="W64" s="34">
        <f>SUM(C$43:C64)</f>
        <v>14</v>
      </c>
      <c r="X64" s="34">
        <f>SUM(D$43:D64)</f>
        <v>15</v>
      </c>
      <c r="Y64" s="34">
        <f>SUM(E$43:E64)</f>
        <v>35</v>
      </c>
      <c r="Z64" s="34">
        <f>SUM(F$43:F64)</f>
        <v>23</v>
      </c>
      <c r="AA64" s="34">
        <f>SUM(G$43:G64)</f>
        <v>27</v>
      </c>
      <c r="AB64" s="34">
        <f>SUM(H$43:H64)</f>
        <v>13</v>
      </c>
      <c r="AC64" s="8">
        <f t="shared" si="19"/>
        <v>127</v>
      </c>
      <c r="AD64" s="64">
        <f t="shared" si="13"/>
        <v>2.7608695652173911</v>
      </c>
    </row>
    <row r="65" spans="1:30">
      <c r="A65" s="251"/>
      <c r="B65" s="23" t="s">
        <v>87</v>
      </c>
      <c r="C65" s="8">
        <f>COUNTIFS('Datos Bachillerato'!$E:$E,C$42,'Datos Bachillerato'!$H:$H,"&gt;=01/11/2024",'Datos Bachillerato'!$H:$H,"&lt;=30/11/2024")</f>
        <v>0</v>
      </c>
      <c r="D65" s="8">
        <f>COUNTIFS('Datos Bachillerato'!$E:$E,D$42,'Datos Bachillerato'!$H:$H,"&gt;=01/11/2024",'Datos Bachillerato'!$H:$H,"&lt;=30/11/2024")</f>
        <v>1</v>
      </c>
      <c r="E65" s="8">
        <f>COUNTIFS('Datos Bachillerato'!$E:$E,E$42,'Datos Bachillerato'!$H:$H,"&gt;=01/11/2024",'Datos Bachillerato'!$H:$H,"&lt;=30/11/2024")</f>
        <v>3</v>
      </c>
      <c r="F65" s="8">
        <f>COUNTIFS('Datos Bachillerato'!$E:$E,F$42,'Datos Bachillerato'!$H:$H,"&gt;=01/11/2024",'Datos Bachillerato'!$H:$H,"&lt;=30/11/2024")</f>
        <v>0</v>
      </c>
      <c r="G65" s="8">
        <f>COUNTIFS('Datos Bachillerato'!$E:$E,G$42,'Datos Bachillerato'!$H:$H,"&gt;=01/11/2024",'Datos Bachillerato'!$H:$H,"&lt;=30/11/2024")</f>
        <v>0</v>
      </c>
      <c r="H65" s="8">
        <f>COUNTIFS('Datos Bachillerato'!$E:$E,H$42,'Datos Bachillerato'!$H:$H,"&gt;=01/11/2024",'Datos Bachillerato'!$H:$H,"&lt;=30/11/2024")</f>
        <v>0</v>
      </c>
      <c r="I65" s="8">
        <f t="shared" si="17"/>
        <v>4</v>
      </c>
      <c r="K65" s="251"/>
      <c r="L65" s="23" t="s">
        <v>87</v>
      </c>
      <c r="M65" s="34">
        <f>SUM(C$55:C65)</f>
        <v>4</v>
      </c>
      <c r="N65" s="34">
        <f>SUM(D$55:D65)</f>
        <v>7</v>
      </c>
      <c r="O65" s="34">
        <f>SUM(E$55:E65)</f>
        <v>20</v>
      </c>
      <c r="P65" s="34">
        <f>SUM(F$55:F65)</f>
        <v>9</v>
      </c>
      <c r="Q65" s="34">
        <f>SUM(G$55:G65)</f>
        <v>11</v>
      </c>
      <c r="R65" s="34">
        <f>SUM(H$55:H65)</f>
        <v>3</v>
      </c>
      <c r="S65" s="8">
        <f t="shared" si="18"/>
        <v>54</v>
      </c>
      <c r="U65" s="251"/>
      <c r="V65" s="23" t="s">
        <v>87</v>
      </c>
      <c r="W65" s="34">
        <f>SUM(C$43:C65)</f>
        <v>14</v>
      </c>
      <c r="X65" s="34">
        <f>SUM(D$43:D65)</f>
        <v>16</v>
      </c>
      <c r="Y65" s="34">
        <f>SUM(E$43:E65)</f>
        <v>38</v>
      </c>
      <c r="Z65" s="34">
        <f>SUM(F$43:F65)</f>
        <v>23</v>
      </c>
      <c r="AA65" s="34">
        <f>SUM(G$43:G65)</f>
        <v>27</v>
      </c>
      <c r="AB65" s="34">
        <f>SUM(H$43:H65)</f>
        <v>13</v>
      </c>
      <c r="AC65" s="8">
        <f t="shared" si="19"/>
        <v>131</v>
      </c>
      <c r="AD65" s="64">
        <f t="shared" si="13"/>
        <v>2.7872340425531914</v>
      </c>
    </row>
    <row r="66" spans="1:30">
      <c r="A66" s="251"/>
      <c r="B66" s="23" t="s">
        <v>173</v>
      </c>
      <c r="C66" s="8">
        <f>COUNTIFS('Datos Bachillerato'!$E:$E,C$42,'Datos Bachillerato'!$H:$H,"&gt;=01/12/2024",'Datos Bachillerato'!$H:$H,"&lt;=31/12/2024")</f>
        <v>1</v>
      </c>
      <c r="D66" s="8">
        <f>COUNTIFS('Datos Bachillerato'!$E:$E,D$42,'Datos Bachillerato'!$H:$H,"&gt;=01/12/2024",'Datos Bachillerato'!$H:$H,"&lt;=31/12/2024")</f>
        <v>1</v>
      </c>
      <c r="E66" s="8">
        <f>COUNTIFS('Datos Bachillerato'!$E:$E,E$42,'Datos Bachillerato'!$H:$H,"&gt;=01/12/2024",'Datos Bachillerato'!$H:$H,"&lt;=31/12/2024")</f>
        <v>1</v>
      </c>
      <c r="F66" s="8">
        <f>COUNTIFS('Datos Bachillerato'!$E:$E,F$42,'Datos Bachillerato'!$H:$H,"&gt;=01/12/2024",'Datos Bachillerato'!$H:$H,"&lt;=31/12/2024")</f>
        <v>1</v>
      </c>
      <c r="G66" s="8">
        <f>COUNTIFS('Datos Bachillerato'!$E:$E,G$42,'Datos Bachillerato'!$H:$H,"&gt;=01/12/2024",'Datos Bachillerato'!$H:$H,"&lt;=31/12/2024")</f>
        <v>1</v>
      </c>
      <c r="H66" s="8">
        <f>COUNTIFS('Datos Bachillerato'!$E:$E,H$42,'Datos Bachillerato'!$H:$H,"&gt;=01/12/2024",'Datos Bachillerato'!$H:$H,"&lt;=31/12/2024")</f>
        <v>0</v>
      </c>
      <c r="I66" s="8">
        <f t="shared" si="17"/>
        <v>5</v>
      </c>
      <c r="K66" s="251"/>
      <c r="L66" s="23" t="s">
        <v>173</v>
      </c>
      <c r="M66" s="34">
        <f>SUM(C$55:C66)</f>
        <v>5</v>
      </c>
      <c r="N66" s="34">
        <f>SUM(D$55:D66)</f>
        <v>8</v>
      </c>
      <c r="O66" s="34">
        <f>SUM(E$55:E66)</f>
        <v>21</v>
      </c>
      <c r="P66" s="34">
        <f>SUM(F$55:F66)</f>
        <v>10</v>
      </c>
      <c r="Q66" s="34">
        <f>SUM(G$55:G66)</f>
        <v>12</v>
      </c>
      <c r="R66" s="34">
        <f>SUM(H$55:H66)</f>
        <v>3</v>
      </c>
      <c r="S66" s="8">
        <f t="shared" si="18"/>
        <v>59</v>
      </c>
      <c r="T66" s="103">
        <f>S66-S54</f>
        <v>-18</v>
      </c>
      <c r="U66" s="251"/>
      <c r="V66" s="23" t="s">
        <v>173</v>
      </c>
      <c r="W66" s="34">
        <f>SUM(C$43:C66)</f>
        <v>15</v>
      </c>
      <c r="X66" s="34">
        <f>SUM(D$43:D66)</f>
        <v>17</v>
      </c>
      <c r="Y66" s="34">
        <f>SUM(E$43:E66)</f>
        <v>39</v>
      </c>
      <c r="Z66" s="34">
        <f>SUM(F$43:F66)</f>
        <v>24</v>
      </c>
      <c r="AA66" s="34">
        <f>SUM(G$43:G66)</f>
        <v>28</v>
      </c>
      <c r="AB66" s="34">
        <f>SUM(H$43:H66)</f>
        <v>13</v>
      </c>
      <c r="AC66" s="8">
        <f t="shared" si="19"/>
        <v>136</v>
      </c>
      <c r="AD66" s="64">
        <f t="shared" si="13"/>
        <v>2.8936170212765959</v>
      </c>
    </row>
    <row r="67" spans="1:30" ht="14.45" customHeight="1">
      <c r="A67" s="251">
        <f>A27</f>
        <v>2025</v>
      </c>
      <c r="B67" s="23" t="s">
        <v>13</v>
      </c>
      <c r="C67" s="8">
        <f>COUNTIFS('Datos Bachillerato'!$E:$E,C$42,'Datos Bachillerato'!$H:$H,"&gt;=01/01/2025",'Datos Bachillerato'!$H:$H,"&lt;=31/01/2025")</f>
        <v>1</v>
      </c>
      <c r="D67" s="8">
        <f>COUNTIFS('Datos Bachillerato'!$E:$E,D$42,'Datos Bachillerato'!$H:$H,"&gt;=01/01/2025",'Datos Bachillerato'!$H:$H,"&lt;=31/01/2025")</f>
        <v>0</v>
      </c>
      <c r="E67" s="8">
        <f>COUNTIFS('Datos Bachillerato'!$E:$E,E$42,'Datos Bachillerato'!$H:$H,"&gt;=01/01/2025",'Datos Bachillerato'!$H:$H,"&lt;=31/01/2025")</f>
        <v>1</v>
      </c>
      <c r="F67" s="8">
        <f>COUNTIFS('Datos Bachillerato'!$E:$E,F$42,'Datos Bachillerato'!$H:$H,"&gt;=01/01/2025",'Datos Bachillerato'!$H:$H,"&lt;=31/01/2025")</f>
        <v>3</v>
      </c>
      <c r="G67" s="8">
        <f>COUNTIFS('Datos Bachillerato'!$E:$E,G$42,'Datos Bachillerato'!$H:$H,"&gt;=01/01/2025",'Datos Bachillerato'!$H:$H,"&lt;=31/01/2025")</f>
        <v>0</v>
      </c>
      <c r="H67" s="8">
        <f>COUNTIFS('Datos Bachillerato'!$E:$E,H$42,'Datos Bachillerato'!$H:$H,"&gt;=01/01/2025",'Datos Bachillerato'!$H:$H,"&lt;=31/01/2025")</f>
        <v>0</v>
      </c>
      <c r="I67" s="8">
        <f>SUM(C67:H67)</f>
        <v>5</v>
      </c>
      <c r="K67" s="251">
        <f>A67</f>
        <v>2025</v>
      </c>
      <c r="L67" s="23" t="s">
        <v>13</v>
      </c>
      <c r="M67" s="34">
        <f>SUM(C$67:C67)</f>
        <v>1</v>
      </c>
      <c r="N67" s="34">
        <f>SUM(D$67:D67)</f>
        <v>0</v>
      </c>
      <c r="O67" s="34">
        <f>SUM(E$67:E67)</f>
        <v>1</v>
      </c>
      <c r="P67" s="34">
        <f>SUM(F$67:F67)</f>
        <v>3</v>
      </c>
      <c r="Q67" s="34">
        <f>SUM(G$67:G67)</f>
        <v>0</v>
      </c>
      <c r="R67" s="34">
        <f>SUM(H$67:H67)</f>
        <v>0</v>
      </c>
      <c r="S67" s="8">
        <f>SUM(M67:R67)</f>
        <v>5</v>
      </c>
      <c r="U67" s="251">
        <f>A67</f>
        <v>2025</v>
      </c>
      <c r="V67" s="23" t="s">
        <v>13</v>
      </c>
      <c r="W67" s="34">
        <f>SUM(C$43:C67)</f>
        <v>16</v>
      </c>
      <c r="X67" s="34">
        <f>SUM(D$43:D67)</f>
        <v>17</v>
      </c>
      <c r="Y67" s="34">
        <f>SUM(E$43:E67)</f>
        <v>40</v>
      </c>
      <c r="Z67" s="34">
        <f>SUM(F$43:F67)</f>
        <v>27</v>
      </c>
      <c r="AA67" s="34">
        <f>SUM(G$43:G67)</f>
        <v>28</v>
      </c>
      <c r="AB67" s="34">
        <f>SUM(H$43:H67)</f>
        <v>13</v>
      </c>
      <c r="AC67" s="8">
        <f>SUM(W67:AB67)</f>
        <v>141</v>
      </c>
      <c r="AD67" s="64">
        <f t="shared" si="13"/>
        <v>2.7115384615384617</v>
      </c>
    </row>
    <row r="68" spans="1:30">
      <c r="A68" s="251"/>
      <c r="B68" s="23" t="s">
        <v>24</v>
      </c>
      <c r="C68" s="8">
        <f>COUNTIFS('Datos Bachillerato'!$E:$E,C$42,'Datos Bachillerato'!$H:$H,"&gt;=01/02/2025",'Datos Bachillerato'!$H:$H,"&lt;=28/02/2025")</f>
        <v>0</v>
      </c>
      <c r="D68" s="8">
        <f>COUNTIFS('Datos Bachillerato'!$E:$E,D$42,'Datos Bachillerato'!$H:$H,"&gt;=01/02/2025",'Datos Bachillerato'!$H:$H,"&lt;=28/02/2025")</f>
        <v>0</v>
      </c>
      <c r="E68" s="8">
        <f>COUNTIFS('Datos Bachillerato'!$E:$E,E$42,'Datos Bachillerato'!$H:$H,"&gt;=01/02/2025",'Datos Bachillerato'!$H:$H,"&lt;=28/02/2025")</f>
        <v>2</v>
      </c>
      <c r="F68" s="8">
        <f>COUNTIFS('Datos Bachillerato'!$E:$E,F$42,'Datos Bachillerato'!$H:$H,"&gt;=01/02/2025",'Datos Bachillerato'!$H:$H,"&lt;=28/02/2025")</f>
        <v>0</v>
      </c>
      <c r="G68" s="8">
        <f>COUNTIFS('Datos Bachillerato'!$E:$E,G$42,'Datos Bachillerato'!$H:$H,"&gt;=01/02/2025",'Datos Bachillerato'!$H:$H,"&lt;=28/02/2025")</f>
        <v>0</v>
      </c>
      <c r="H68" s="8">
        <f>COUNTIFS('Datos Bachillerato'!$E:$E,H$42,'Datos Bachillerato'!$H:$H,"&gt;=01/02/2025",'Datos Bachillerato'!$H:$H,"&lt;=28/02/2025")</f>
        <v>0</v>
      </c>
      <c r="I68" s="8">
        <f t="shared" ref="I68:I78" si="20">SUM(C68:H68)</f>
        <v>2</v>
      </c>
      <c r="K68" s="251"/>
      <c r="L68" s="23" t="s">
        <v>24</v>
      </c>
      <c r="M68" s="34">
        <f>SUM(C$67:C68)</f>
        <v>1</v>
      </c>
      <c r="N68" s="34">
        <f>SUM(D$67:D68)</f>
        <v>0</v>
      </c>
      <c r="O68" s="34">
        <f>SUM(E$67:E68)</f>
        <v>3</v>
      </c>
      <c r="P68" s="34">
        <f>SUM(F$67:F68)</f>
        <v>3</v>
      </c>
      <c r="Q68" s="34">
        <f>SUM(G$67:G68)</f>
        <v>0</v>
      </c>
      <c r="R68" s="34">
        <f>SUM(H$67:H68)</f>
        <v>0</v>
      </c>
      <c r="S68" s="8">
        <f t="shared" ref="S68:S78" si="21">SUM(M68:R68)</f>
        <v>7</v>
      </c>
      <c r="U68" s="251"/>
      <c r="V68" s="23" t="s">
        <v>24</v>
      </c>
      <c r="W68" s="34">
        <f>SUM(C$43:C68)</f>
        <v>16</v>
      </c>
      <c r="X68" s="34">
        <f>SUM(D$43:D68)</f>
        <v>17</v>
      </c>
      <c r="Y68" s="34">
        <f>SUM(E$43:E68)</f>
        <v>42</v>
      </c>
      <c r="Z68" s="34">
        <f>SUM(F$43:F68)</f>
        <v>27</v>
      </c>
      <c r="AA68" s="34">
        <f>SUM(G$43:G68)</f>
        <v>28</v>
      </c>
      <c r="AB68" s="34">
        <f>SUM(H$43:H68)</f>
        <v>13</v>
      </c>
      <c r="AC68" s="8">
        <f t="shared" ref="AC68:AC78" si="22">SUM(W68:AB68)</f>
        <v>143</v>
      </c>
      <c r="AD68" s="64">
        <f t="shared" si="13"/>
        <v>2.6</v>
      </c>
    </row>
    <row r="69" spans="1:30">
      <c r="A69" s="251"/>
      <c r="B69" s="23" t="s">
        <v>34</v>
      </c>
      <c r="C69" s="8">
        <f>COUNTIFS('Datos Bachillerato'!$E:$E,C$42,'Datos Bachillerato'!$H:$H,"&gt;=01/03/2025",'Datos Bachillerato'!$H:$H,"&lt;=31/03/2025")</f>
        <v>1</v>
      </c>
      <c r="D69" s="8">
        <f>COUNTIFS('Datos Bachillerato'!$E:$E,D$42,'Datos Bachillerato'!$H:$H,"&gt;=01/03/2025",'Datos Bachillerato'!$H:$H,"&lt;=31/03/2025")</f>
        <v>1</v>
      </c>
      <c r="E69" s="8">
        <f>COUNTIFS('Datos Bachillerato'!$E:$E,E$42,'Datos Bachillerato'!$H:$H,"&gt;=01/03/2025",'Datos Bachillerato'!$H:$H,"&lt;=31/03/2025")</f>
        <v>0</v>
      </c>
      <c r="F69" s="8">
        <f>COUNTIFS('Datos Bachillerato'!$E:$E,F$42,'Datos Bachillerato'!$H:$H,"&gt;=01/03/2025",'Datos Bachillerato'!$H:$H,"&lt;=31/03/2025")</f>
        <v>1</v>
      </c>
      <c r="G69" s="8">
        <f>COUNTIFS('Datos Bachillerato'!$E:$E,G$42,'Datos Bachillerato'!$H:$H,"&gt;=01/03/2025",'Datos Bachillerato'!$H:$H,"&lt;=31/03/2025")</f>
        <v>2</v>
      </c>
      <c r="H69" s="8">
        <f>COUNTIFS('Datos Bachillerato'!$E:$E,H$42,'Datos Bachillerato'!$H:$H,"&gt;=01/03/2025",'Datos Bachillerato'!$H:$H,"&lt;=31/03/2025")</f>
        <v>0</v>
      </c>
      <c r="I69" s="8">
        <f t="shared" si="20"/>
        <v>5</v>
      </c>
      <c r="K69" s="251"/>
      <c r="L69" s="23" t="s">
        <v>34</v>
      </c>
      <c r="M69" s="34">
        <f>SUM(C$67:C69)</f>
        <v>2</v>
      </c>
      <c r="N69" s="34">
        <f>SUM(D$67:D69)</f>
        <v>1</v>
      </c>
      <c r="O69" s="34">
        <f>SUM(E$67:E69)</f>
        <v>3</v>
      </c>
      <c r="P69" s="34">
        <f>SUM(F$67:F69)</f>
        <v>4</v>
      </c>
      <c r="Q69" s="34">
        <f>SUM(G$67:G69)</f>
        <v>2</v>
      </c>
      <c r="R69" s="34">
        <f>SUM(H$67:H69)</f>
        <v>0</v>
      </c>
      <c r="S69" s="8">
        <f t="shared" si="21"/>
        <v>12</v>
      </c>
      <c r="U69" s="251"/>
      <c r="V69" s="23" t="s">
        <v>34</v>
      </c>
      <c r="W69" s="34">
        <f>SUM(C$43:C69)</f>
        <v>17</v>
      </c>
      <c r="X69" s="34">
        <f>SUM(D$43:D69)</f>
        <v>18</v>
      </c>
      <c r="Y69" s="34">
        <f>SUM(E$43:E69)</f>
        <v>42</v>
      </c>
      <c r="Z69" s="34">
        <f>SUM(F$43:F69)</f>
        <v>28</v>
      </c>
      <c r="AA69" s="34">
        <f>SUM(G$43:G69)</f>
        <v>30</v>
      </c>
      <c r="AB69" s="34">
        <f>SUM(H$43:H69)</f>
        <v>13</v>
      </c>
      <c r="AC69" s="8">
        <f t="shared" si="22"/>
        <v>148</v>
      </c>
      <c r="AD69" s="64">
        <f t="shared" si="13"/>
        <v>2.5517241379310347</v>
      </c>
    </row>
    <row r="70" spans="1:30">
      <c r="A70" s="251"/>
      <c r="B70" s="23" t="s">
        <v>38</v>
      </c>
      <c r="C70" s="8">
        <f>COUNTIFS('Datos Bachillerato'!$E:$E,C$42,'Datos Bachillerato'!$H:$H,"&gt;=01/04/2025",'Datos Bachillerato'!$H:$H,"&lt;=30/04/2025")</f>
        <v>4</v>
      </c>
      <c r="D70" s="8">
        <f>COUNTIFS('Datos Bachillerato'!$E:$E,D$42,'Datos Bachillerato'!$H:$H,"&gt;=01/04/2025",'Datos Bachillerato'!$H:$H,"&lt;=30/04/2025")</f>
        <v>0</v>
      </c>
      <c r="E70" s="8">
        <f>COUNTIFS('Datos Bachillerato'!$E:$E,E$42,'Datos Bachillerato'!$H:$H,"&gt;=01/04/2025",'Datos Bachillerato'!$H:$H,"&lt;=30/04/2025")</f>
        <v>0</v>
      </c>
      <c r="F70" s="8">
        <f>COUNTIFS('Datos Bachillerato'!$E:$E,F$42,'Datos Bachillerato'!$H:$H,"&gt;=01/04/2025",'Datos Bachillerato'!$H:$H,"&lt;=30/04/2025")</f>
        <v>1</v>
      </c>
      <c r="G70" s="8">
        <f>COUNTIFS('Datos Bachillerato'!$E:$E,G$42,'Datos Bachillerato'!$H:$H,"&gt;=01/04/2025",'Datos Bachillerato'!$H:$H,"&lt;=30/04/2025")</f>
        <v>2</v>
      </c>
      <c r="H70" s="8">
        <f>COUNTIFS('Datos Bachillerato'!$E:$E,H$42,'Datos Bachillerato'!$H:$H,"&gt;=01/04/2025",'Datos Bachillerato'!$H:$H,"&lt;=30/04/2025")</f>
        <v>0</v>
      </c>
      <c r="I70" s="8">
        <f t="shared" si="20"/>
        <v>7</v>
      </c>
      <c r="K70" s="251"/>
      <c r="L70" s="23" t="s">
        <v>38</v>
      </c>
      <c r="M70" s="34">
        <f>SUM(C$67:C70)</f>
        <v>6</v>
      </c>
      <c r="N70" s="34">
        <f>SUM(D$67:D70)</f>
        <v>1</v>
      </c>
      <c r="O70" s="34">
        <f>SUM(E$67:E70)</f>
        <v>3</v>
      </c>
      <c r="P70" s="34">
        <f>SUM(F$67:F70)</f>
        <v>5</v>
      </c>
      <c r="Q70" s="34">
        <f>SUM(G$67:G70)</f>
        <v>4</v>
      </c>
      <c r="R70" s="34">
        <f>SUM(H$67:H70)</f>
        <v>0</v>
      </c>
      <c r="S70" s="8">
        <f t="shared" si="21"/>
        <v>19</v>
      </c>
      <c r="U70" s="251"/>
      <c r="V70" s="23" t="s">
        <v>38</v>
      </c>
      <c r="W70" s="34">
        <f>SUM(C$43:C70)</f>
        <v>21</v>
      </c>
      <c r="X70" s="34">
        <f>SUM(D$43:D70)</f>
        <v>18</v>
      </c>
      <c r="Y70" s="34">
        <f>SUM(E$43:E70)</f>
        <v>42</v>
      </c>
      <c r="Z70" s="34">
        <f>SUM(F$43:F70)</f>
        <v>29</v>
      </c>
      <c r="AA70" s="34">
        <f>SUM(G$43:G70)</f>
        <v>32</v>
      </c>
      <c r="AB70" s="34">
        <f>SUM(H$43:H70)</f>
        <v>13</v>
      </c>
      <c r="AC70" s="8">
        <f t="shared" si="22"/>
        <v>155</v>
      </c>
      <c r="AD70" s="64">
        <f t="shared" si="13"/>
        <v>2.5833333333333335</v>
      </c>
    </row>
    <row r="71" spans="1:30">
      <c r="A71" s="251"/>
      <c r="B71" s="23" t="s">
        <v>47</v>
      </c>
      <c r="C71" s="8">
        <f>COUNTIFS('Datos Bachillerato'!$E:$E,C$42,'Datos Bachillerato'!$H:$H,"&gt;=01/05/2025",'Datos Bachillerato'!$H:$H,"&lt;=31/05/2025")</f>
        <v>0</v>
      </c>
      <c r="D71" s="8">
        <f>COUNTIFS('Datos Bachillerato'!$E:$E,D$42,'Datos Bachillerato'!$H:$H,"&gt;=01/05/2025",'Datos Bachillerato'!$H:$H,"&lt;=31/05/2025")</f>
        <v>1</v>
      </c>
      <c r="E71" s="8">
        <f>COUNTIFS('Datos Bachillerato'!$E:$E,E$42,'Datos Bachillerato'!$H:$H,"&gt;=01/05/2025",'Datos Bachillerato'!$H:$H,"&lt;=31/05/2025")</f>
        <v>2</v>
      </c>
      <c r="F71" s="8">
        <f>COUNTIFS('Datos Bachillerato'!$E:$E,F$42,'Datos Bachillerato'!$H:$H,"&gt;=01/05/2025",'Datos Bachillerato'!$H:$H,"&lt;=31/05/2025")</f>
        <v>0</v>
      </c>
      <c r="G71" s="8">
        <f>COUNTIFS('Datos Bachillerato'!$E:$E,G$42,'Datos Bachillerato'!$H:$H,"&gt;=01/05/2025",'Datos Bachillerato'!$H:$H,"&lt;=31/05/2025")</f>
        <v>1</v>
      </c>
      <c r="H71" s="8">
        <f>COUNTIFS('Datos Bachillerato'!$E:$E,H$42,'Datos Bachillerato'!$H:$H,"&gt;=01/05/2025",'Datos Bachillerato'!$H:$H,"&lt;=31/05/2025")</f>
        <v>0</v>
      </c>
      <c r="I71" s="8">
        <f t="shared" si="20"/>
        <v>4</v>
      </c>
      <c r="K71" s="251"/>
      <c r="L71" s="23" t="s">
        <v>47</v>
      </c>
      <c r="M71" s="34">
        <f>SUM(C$67:C71)</f>
        <v>6</v>
      </c>
      <c r="N71" s="34">
        <f>SUM(D$67:D71)</f>
        <v>2</v>
      </c>
      <c r="O71" s="34">
        <f>SUM(E$67:E71)</f>
        <v>5</v>
      </c>
      <c r="P71" s="34">
        <f>SUM(F$67:F71)</f>
        <v>5</v>
      </c>
      <c r="Q71" s="34">
        <f>SUM(G$67:G71)</f>
        <v>5</v>
      </c>
      <c r="R71" s="34">
        <f>SUM(H$67:H71)</f>
        <v>0</v>
      </c>
      <c r="S71" s="8">
        <f t="shared" si="21"/>
        <v>23</v>
      </c>
      <c r="U71" s="251"/>
      <c r="V71" s="23" t="s">
        <v>47</v>
      </c>
      <c r="W71" s="34">
        <f>SUM(C$43:C71)</f>
        <v>21</v>
      </c>
      <c r="X71" s="34">
        <f>SUM(D$43:D71)</f>
        <v>19</v>
      </c>
      <c r="Y71" s="34">
        <f>SUM(E$43:E71)</f>
        <v>44</v>
      </c>
      <c r="Z71" s="34">
        <f>SUM(F$43:F71)</f>
        <v>29</v>
      </c>
      <c r="AA71" s="34">
        <f>SUM(G$43:G71)</f>
        <v>33</v>
      </c>
      <c r="AB71" s="34">
        <f>SUM(H$43:H71)</f>
        <v>13</v>
      </c>
      <c r="AC71" s="8">
        <f t="shared" si="22"/>
        <v>159</v>
      </c>
      <c r="AD71" s="64">
        <f t="shared" si="13"/>
        <v>2.6065573770491803</v>
      </c>
    </row>
    <row r="72" spans="1:30">
      <c r="A72" s="251"/>
      <c r="B72" s="23" t="s">
        <v>57</v>
      </c>
      <c r="C72" s="8">
        <f>COUNTIFS('Datos Bachillerato'!$E:$E,C$42,'Datos Bachillerato'!$H:$H,"&gt;=01/06/2025",'Datos Bachillerato'!$H:$H,"&lt;=30/06/2025")</f>
        <v>3</v>
      </c>
      <c r="D72" s="8">
        <f>COUNTIFS('Datos Bachillerato'!$E:$E,D$42,'Datos Bachillerato'!$H:$H,"&gt;=01/06/2025",'Datos Bachillerato'!$H:$H,"&lt;=30/06/2025")</f>
        <v>0</v>
      </c>
      <c r="E72" s="8">
        <f>COUNTIFS('Datos Bachillerato'!$E:$E,E$42,'Datos Bachillerato'!$H:$H,"&gt;=01/06/2025",'Datos Bachillerato'!$H:$H,"&lt;=30/06/2025")</f>
        <v>0</v>
      </c>
      <c r="F72" s="8">
        <f>COUNTIFS('Datos Bachillerato'!$E:$E,F$42,'Datos Bachillerato'!$H:$H,"&gt;=01/06/2025",'Datos Bachillerato'!$H:$H,"&lt;=30/06/2025")</f>
        <v>1</v>
      </c>
      <c r="G72" s="8">
        <f>COUNTIFS('Datos Bachillerato'!$E:$E,G$42,'Datos Bachillerato'!$H:$H,"&gt;=01/06/2025",'Datos Bachillerato'!$H:$H,"&lt;=30/06/2025")</f>
        <v>1</v>
      </c>
      <c r="H72" s="8">
        <f>COUNTIFS('Datos Bachillerato'!$E:$E,H$42,'Datos Bachillerato'!$H:$H,"&gt;=01/06/2025",'Datos Bachillerato'!$H:$H,"&lt;=30/06/2025")</f>
        <v>0</v>
      </c>
      <c r="I72" s="8">
        <f t="shared" si="20"/>
        <v>5</v>
      </c>
      <c r="K72" s="251"/>
      <c r="L72" s="23" t="s">
        <v>57</v>
      </c>
      <c r="M72" s="34">
        <f>SUM(C$67:C72)</f>
        <v>9</v>
      </c>
      <c r="N72" s="34">
        <f>SUM(D$67:D72)</f>
        <v>2</v>
      </c>
      <c r="O72" s="34">
        <f>SUM(E$67:E72)</f>
        <v>5</v>
      </c>
      <c r="P72" s="34">
        <f>SUM(F$67:F72)</f>
        <v>6</v>
      </c>
      <c r="Q72" s="34">
        <f>SUM(G$67:G72)</f>
        <v>6</v>
      </c>
      <c r="R72" s="34">
        <f>SUM(H$67:H72)</f>
        <v>0</v>
      </c>
      <c r="S72" s="8">
        <f t="shared" si="21"/>
        <v>28</v>
      </c>
      <c r="U72" s="251"/>
      <c r="V72" s="23" t="s">
        <v>57</v>
      </c>
      <c r="W72" s="34">
        <f>SUM(C$43:C72)</f>
        <v>24</v>
      </c>
      <c r="X72" s="34">
        <f>SUM(D$43:D72)</f>
        <v>19</v>
      </c>
      <c r="Y72" s="34">
        <f>SUM(E$43:E72)</f>
        <v>44</v>
      </c>
      <c r="Z72" s="34">
        <f>SUM(F$43:F72)</f>
        <v>30</v>
      </c>
      <c r="AA72" s="34">
        <f>SUM(G$43:G72)</f>
        <v>34</v>
      </c>
      <c r="AB72" s="34">
        <f>SUM(H$43:H72)</f>
        <v>13</v>
      </c>
      <c r="AC72" s="8">
        <f t="shared" si="22"/>
        <v>164</v>
      </c>
      <c r="AD72" s="64">
        <f t="shared" si="13"/>
        <v>2.6885245901639343</v>
      </c>
    </row>
    <row r="73" spans="1:30">
      <c r="A73" s="251"/>
      <c r="B73" s="23" t="s">
        <v>62</v>
      </c>
      <c r="C73" s="8">
        <f>COUNTIFS('Datos Bachillerato'!$E:$E,C$42,'Datos Bachillerato'!$H:$H,"&gt;=01/07/2025",'Datos Bachillerato'!$H:$H,"&lt;=31/07/2025")</f>
        <v>1</v>
      </c>
      <c r="D73" s="8">
        <f>COUNTIFS('Datos Bachillerato'!$E:$E,D$42,'Datos Bachillerato'!$H:$H,"&gt;=01/07/2025",'Datos Bachillerato'!$H:$H,"&lt;=31/07/2025")</f>
        <v>2</v>
      </c>
      <c r="E73" s="8">
        <f>COUNTIFS('Datos Bachillerato'!$E:$E,E$42,'Datos Bachillerato'!$H:$H,"&gt;=01/07/2025",'Datos Bachillerato'!$H:$H,"&lt;=31/07/2025")</f>
        <v>1</v>
      </c>
      <c r="F73" s="8">
        <f>COUNTIFS('Datos Bachillerato'!$E:$E,F$42,'Datos Bachillerato'!$H:$H,"&gt;=01/07/2025",'Datos Bachillerato'!$H:$H,"&lt;=31/07/2025")</f>
        <v>0</v>
      </c>
      <c r="G73" s="8">
        <f>COUNTIFS('Datos Bachillerato'!$E:$E,G$42,'Datos Bachillerato'!$H:$H,"&gt;=01/07/2025",'Datos Bachillerato'!$H:$H,"&lt;=31/07/2025")</f>
        <v>2</v>
      </c>
      <c r="H73" s="8">
        <f>COUNTIFS('Datos Bachillerato'!$E:$E,H$42,'Datos Bachillerato'!$H:$H,"&gt;=01/07/2025",'Datos Bachillerato'!$H:$H,"&lt;=31/07/2025")</f>
        <v>1</v>
      </c>
      <c r="I73" s="8">
        <f t="shared" si="20"/>
        <v>7</v>
      </c>
      <c r="K73" s="251"/>
      <c r="L73" s="23" t="s">
        <v>62</v>
      </c>
      <c r="M73" s="34">
        <f>SUM(C$67:C73)</f>
        <v>10</v>
      </c>
      <c r="N73" s="34">
        <f>SUM(D$67:D73)</f>
        <v>4</v>
      </c>
      <c r="O73" s="34">
        <f>SUM(E$67:E73)</f>
        <v>6</v>
      </c>
      <c r="P73" s="34">
        <f>SUM(F$67:F73)</f>
        <v>6</v>
      </c>
      <c r="Q73" s="34">
        <f>SUM(G$67:G73)</f>
        <v>8</v>
      </c>
      <c r="R73" s="34">
        <f>SUM(H$67:H73)</f>
        <v>1</v>
      </c>
      <c r="S73" s="8">
        <f t="shared" si="21"/>
        <v>35</v>
      </c>
      <c r="U73" s="251"/>
      <c r="V73" s="23" t="s">
        <v>62</v>
      </c>
      <c r="W73" s="34">
        <f>SUM(C$43:C73)</f>
        <v>25</v>
      </c>
      <c r="X73" s="34">
        <f>SUM(D$43:D73)</f>
        <v>21</v>
      </c>
      <c r="Y73" s="34">
        <f>SUM(E$43:E73)</f>
        <v>45</v>
      </c>
      <c r="Z73" s="34">
        <f>SUM(F$43:F73)</f>
        <v>30</v>
      </c>
      <c r="AA73" s="34">
        <f>SUM(G$43:G73)</f>
        <v>36</v>
      </c>
      <c r="AB73" s="34">
        <f>SUM(H$43:H73)</f>
        <v>14</v>
      </c>
      <c r="AC73" s="8">
        <f t="shared" si="22"/>
        <v>171</v>
      </c>
      <c r="AD73" s="65">
        <f t="shared" si="13"/>
        <v>2.5522388059701493</v>
      </c>
    </row>
    <row r="74" spans="1:30">
      <c r="A74" s="251"/>
      <c r="B74" s="23" t="s">
        <v>68</v>
      </c>
      <c r="C74" s="8">
        <f>COUNTIFS('Datos Bachillerato'!$E:$E,C$42,'Datos Bachillerato'!$H:$H,"&gt;=01/08/2025",'Datos Bachillerato'!$H:$H,"&lt;=31/08/2025")</f>
        <v>1</v>
      </c>
      <c r="D74" s="8">
        <f>COUNTIFS('Datos Bachillerato'!$E:$E,D$42,'Datos Bachillerato'!$H:$H,"&gt;=01/08/2025",'Datos Bachillerato'!$H:$H,"&lt;=31/08/2025")</f>
        <v>2</v>
      </c>
      <c r="E74" s="8">
        <f>COUNTIFS('Datos Bachillerato'!$E:$E,E$42,'Datos Bachillerato'!$H:$H,"&gt;=01/08/2025",'Datos Bachillerato'!$H:$H,"&lt;=31/08/2025")</f>
        <v>2</v>
      </c>
      <c r="F74" s="8">
        <f>COUNTIFS('Datos Bachillerato'!$E:$E,F$42,'Datos Bachillerato'!$H:$H,"&gt;=01/08/2025",'Datos Bachillerato'!$H:$H,"&lt;=31/08/2025")</f>
        <v>1</v>
      </c>
      <c r="G74" s="8">
        <f>COUNTIFS('Datos Bachillerato'!$E:$E,G$42,'Datos Bachillerato'!$H:$H,"&gt;=01/08/2025",'Datos Bachillerato'!$H:$H,"&lt;=31/08/2025")</f>
        <v>0</v>
      </c>
      <c r="H74" s="8">
        <f>COUNTIFS('Datos Bachillerato'!$E:$E,H$42,'Datos Bachillerato'!$H:$H,"&gt;=01/08/2025",'Datos Bachillerato'!$H:$H,"&lt;=31/08/2025")</f>
        <v>1</v>
      </c>
      <c r="I74" s="8">
        <f t="shared" si="20"/>
        <v>7</v>
      </c>
      <c r="K74" s="251"/>
      <c r="L74" s="23" t="s">
        <v>68</v>
      </c>
      <c r="M74" s="34">
        <f>SUM(C$67:C74)</f>
        <v>11</v>
      </c>
      <c r="N74" s="34">
        <f>SUM(D$67:D74)</f>
        <v>6</v>
      </c>
      <c r="O74" s="34">
        <f>SUM(E$67:E74)</f>
        <v>8</v>
      </c>
      <c r="P74" s="34">
        <f>SUM(F$67:F74)</f>
        <v>7</v>
      </c>
      <c r="Q74" s="34">
        <f>SUM(G$67:G74)</f>
        <v>8</v>
      </c>
      <c r="R74" s="34">
        <f>SUM(H$67:H74)</f>
        <v>2</v>
      </c>
      <c r="S74" s="8">
        <f t="shared" si="21"/>
        <v>42</v>
      </c>
      <c r="U74" s="251"/>
      <c r="V74" s="23" t="s">
        <v>68</v>
      </c>
      <c r="W74" s="34">
        <f>SUM(C$43:C74)</f>
        <v>26</v>
      </c>
      <c r="X74" s="34">
        <f>SUM(D$43:D74)</f>
        <v>23</v>
      </c>
      <c r="Y74" s="34">
        <f>SUM(E$43:E74)</f>
        <v>47</v>
      </c>
      <c r="Z74" s="34">
        <f>SUM(F$43:F74)</f>
        <v>31</v>
      </c>
      <c r="AA74" s="34">
        <f>SUM(G$43:G74)</f>
        <v>36</v>
      </c>
      <c r="AB74" s="34">
        <f>SUM(H$43:H74)</f>
        <v>15</v>
      </c>
      <c r="AC74" s="8">
        <f t="shared" si="22"/>
        <v>178</v>
      </c>
      <c r="AD74" s="64">
        <f t="shared" si="13"/>
        <v>2.507042253521127</v>
      </c>
    </row>
    <row r="75" spans="1:30">
      <c r="A75" s="251"/>
      <c r="B75" s="23" t="s">
        <v>77</v>
      </c>
      <c r="C75" s="8">
        <f>COUNTIFS('Datos Bachillerato'!$E:$E,C$42,'Datos Bachillerato'!$H:$H,"&gt;=01/09/2025",'Datos Bachillerato'!$H:$H,"&lt;=30/09/2025")</f>
        <v>2</v>
      </c>
      <c r="D75" s="8">
        <f>COUNTIFS('Datos Bachillerato'!$E:$E,D$42,'Datos Bachillerato'!$H:$H,"&gt;=01/09/2025",'Datos Bachillerato'!$H:$H,"&lt;=30/09/2025")</f>
        <v>3</v>
      </c>
      <c r="E75" s="8">
        <f>COUNTIFS('Datos Bachillerato'!$E:$E,E$42,'Datos Bachillerato'!$H:$H,"&gt;=01/09/2025",'Datos Bachillerato'!$H:$H,"&lt;=30/09/2025")</f>
        <v>0</v>
      </c>
      <c r="F75" s="8">
        <f>COUNTIFS('Datos Bachillerato'!$E:$E,F$42,'Datos Bachillerato'!$H:$H,"&gt;=01/09/2025",'Datos Bachillerato'!$H:$H,"&lt;=30/09/2025")</f>
        <v>1</v>
      </c>
      <c r="G75" s="8">
        <f>COUNTIFS('Datos Bachillerato'!$E:$E,G$42,'Datos Bachillerato'!$H:$H,"&gt;=01/09/2025",'Datos Bachillerato'!$H:$H,"&lt;=30/09/2025")</f>
        <v>1</v>
      </c>
      <c r="H75" s="8">
        <f>COUNTIFS('Datos Bachillerato'!$E:$E,H$42,'Datos Bachillerato'!$H:$H,"&gt;=01/09/2025",'Datos Bachillerato'!$H:$H,"&lt;=30/09/2025")</f>
        <v>1</v>
      </c>
      <c r="I75" s="8">
        <f t="shared" si="20"/>
        <v>8</v>
      </c>
      <c r="K75" s="251"/>
      <c r="L75" s="23" t="s">
        <v>77</v>
      </c>
      <c r="M75" s="34">
        <f>SUM(C$67:C75)</f>
        <v>13</v>
      </c>
      <c r="N75" s="34">
        <f>SUM(D$67:D75)</f>
        <v>9</v>
      </c>
      <c r="O75" s="34">
        <f>SUM(E$67:E75)</f>
        <v>8</v>
      </c>
      <c r="P75" s="34">
        <f>SUM(F$67:F75)</f>
        <v>8</v>
      </c>
      <c r="Q75" s="34">
        <f>SUM(G$67:G75)</f>
        <v>9</v>
      </c>
      <c r="R75" s="34">
        <f>SUM(H$67:H75)</f>
        <v>3</v>
      </c>
      <c r="S75" s="8">
        <f t="shared" si="21"/>
        <v>50</v>
      </c>
      <c r="U75" s="251"/>
      <c r="V75" s="23" t="s">
        <v>77</v>
      </c>
      <c r="W75" s="34">
        <f>SUM(C$43:C75)</f>
        <v>28</v>
      </c>
      <c r="X75" s="34">
        <f>SUM(D$43:D75)</f>
        <v>26</v>
      </c>
      <c r="Y75" s="34">
        <f>SUM(E$43:E75)</f>
        <v>47</v>
      </c>
      <c r="Z75" s="34">
        <f>SUM(F$43:F75)</f>
        <v>32</v>
      </c>
      <c r="AA75" s="34">
        <f>SUM(G$43:G75)</f>
        <v>37</v>
      </c>
      <c r="AB75" s="34">
        <f>SUM(H$43:H75)</f>
        <v>16</v>
      </c>
      <c r="AC75" s="8">
        <f t="shared" si="22"/>
        <v>186</v>
      </c>
      <c r="AD75" s="64">
        <f t="shared" si="13"/>
        <v>2.4473684210526314</v>
      </c>
    </row>
    <row r="76" spans="1:30">
      <c r="A76" s="251"/>
      <c r="B76" s="23" t="s">
        <v>84</v>
      </c>
      <c r="C76" s="8">
        <f>COUNTIFS('Datos Bachillerato'!$E:$E,C$42,'Datos Bachillerato'!$H:$H,"&gt;=01/10/2025",'Datos Bachillerato'!$H:$H,"&lt;=31/10/2025")</f>
        <v>1</v>
      </c>
      <c r="D76" s="8">
        <f>COUNTIFS('Datos Bachillerato'!$E:$E,D$42,'Datos Bachillerato'!$H:$H,"&gt;=01/10/2025",'Datos Bachillerato'!$H:$H,"&lt;=31/10/2025")</f>
        <v>0</v>
      </c>
      <c r="E76" s="8">
        <f>COUNTIFS('Datos Bachillerato'!$E:$E,E$42,'Datos Bachillerato'!$H:$H,"&gt;=01/10/2025",'Datos Bachillerato'!$H:$H,"&lt;=31/10/2025")</f>
        <v>0</v>
      </c>
      <c r="F76" s="8">
        <f>COUNTIFS('Datos Bachillerato'!$E:$E,F$42,'Datos Bachillerato'!$H:$H,"&gt;=01/10/2025",'Datos Bachillerato'!$H:$H,"&lt;=31/10/2025")</f>
        <v>1</v>
      </c>
      <c r="G76" s="8">
        <f>COUNTIFS('Datos Bachillerato'!$E:$E,G$42,'Datos Bachillerato'!$H:$H,"&gt;=01/10/2025",'Datos Bachillerato'!$H:$H,"&lt;=31/10/2025")</f>
        <v>3</v>
      </c>
      <c r="H76" s="8">
        <f>COUNTIFS('Datos Bachillerato'!$E:$E,H$42,'Datos Bachillerato'!$H:$H,"&gt;=01/10/2025",'Datos Bachillerato'!$H:$H,"&lt;=31/10/2025")</f>
        <v>0</v>
      </c>
      <c r="I76" s="8">
        <f t="shared" si="20"/>
        <v>5</v>
      </c>
      <c r="K76" s="251"/>
      <c r="L76" s="23" t="s">
        <v>84</v>
      </c>
      <c r="M76" s="34">
        <f>SUM(C$67:C76)</f>
        <v>14</v>
      </c>
      <c r="N76" s="34">
        <f>SUM(D$67:D76)</f>
        <v>9</v>
      </c>
      <c r="O76" s="34">
        <f>SUM(E$67:E76)</f>
        <v>8</v>
      </c>
      <c r="P76" s="34">
        <f>SUM(F$67:F76)</f>
        <v>9</v>
      </c>
      <c r="Q76" s="34">
        <f>SUM(G$67:G76)</f>
        <v>12</v>
      </c>
      <c r="R76" s="34">
        <f>SUM(H$67:H76)</f>
        <v>3</v>
      </c>
      <c r="S76" s="8">
        <f t="shared" si="21"/>
        <v>55</v>
      </c>
      <c r="U76" s="251"/>
      <c r="V76" s="23" t="s">
        <v>84</v>
      </c>
      <c r="W76" s="34">
        <f>SUM(C$43:C76)</f>
        <v>29</v>
      </c>
      <c r="X76" s="34">
        <f>SUM(D$43:D76)</f>
        <v>26</v>
      </c>
      <c r="Y76" s="34">
        <f>SUM(E$43:E76)</f>
        <v>47</v>
      </c>
      <c r="Z76" s="34">
        <f>SUM(F$43:F76)</f>
        <v>33</v>
      </c>
      <c r="AA76" s="34">
        <f>SUM(G$43:G76)</f>
        <v>40</v>
      </c>
      <c r="AB76" s="34">
        <f>SUM(H$43:H76)</f>
        <v>16</v>
      </c>
      <c r="AC76" s="8">
        <f t="shared" si="22"/>
        <v>191</v>
      </c>
      <c r="AD76" s="64">
        <f t="shared" si="13"/>
        <v>2.4805194805194803</v>
      </c>
    </row>
    <row r="77" spans="1:30">
      <c r="A77" s="251"/>
      <c r="B77" s="23" t="s">
        <v>87</v>
      </c>
      <c r="C77" s="8">
        <f>COUNTIFS('Datos Bachillerato'!$E:$E,C$42,'Datos Bachillerato'!$H:$H,"&gt;=01/11/2025",'Datos Bachillerato'!$H:$H,"&lt;=30/11/2025")</f>
        <v>0</v>
      </c>
      <c r="D77" s="8">
        <f>COUNTIFS('Datos Bachillerato'!$E:$E,D$42,'Datos Bachillerato'!$H:$H,"&gt;=01/11/2025",'Datos Bachillerato'!$H:$H,"&lt;=30/11/2025")</f>
        <v>3</v>
      </c>
      <c r="E77" s="8">
        <f>COUNTIFS('Datos Bachillerato'!$E:$E,E$42,'Datos Bachillerato'!$H:$H,"&gt;=01/11/2025",'Datos Bachillerato'!$H:$H,"&lt;=30/11/2025")</f>
        <v>1</v>
      </c>
      <c r="F77" s="8">
        <f>COUNTIFS('Datos Bachillerato'!$E:$E,F$42,'Datos Bachillerato'!$H:$H,"&gt;=01/11/2025",'Datos Bachillerato'!$H:$H,"&lt;=30/11/2025")</f>
        <v>3</v>
      </c>
      <c r="G77" s="8">
        <f>COUNTIFS('Datos Bachillerato'!$E:$E,G$42,'Datos Bachillerato'!$H:$H,"&gt;=01/11/2025",'Datos Bachillerato'!$H:$H,"&lt;=30/11/2025")</f>
        <v>0</v>
      </c>
      <c r="H77" s="8">
        <f>COUNTIFS('Datos Bachillerato'!$E:$E,H$42,'Datos Bachillerato'!$H:$H,"&gt;=01/11/2025",'Datos Bachillerato'!$H:$H,"&lt;=30/11/2025")</f>
        <v>0</v>
      </c>
      <c r="I77" s="8">
        <f t="shared" si="20"/>
        <v>7</v>
      </c>
      <c r="K77" s="251"/>
      <c r="L77" s="23" t="s">
        <v>87</v>
      </c>
      <c r="M77" s="34">
        <f>SUM(C$67:C77)</f>
        <v>14</v>
      </c>
      <c r="N77" s="34">
        <f>SUM(D$67:D77)</f>
        <v>12</v>
      </c>
      <c r="O77" s="34">
        <f>SUM(E$67:E77)</f>
        <v>9</v>
      </c>
      <c r="P77" s="34">
        <f>SUM(F$67:F77)</f>
        <v>12</v>
      </c>
      <c r="Q77" s="34">
        <f>SUM(G$67:G77)</f>
        <v>12</v>
      </c>
      <c r="R77" s="34">
        <f>SUM(H$67:H77)</f>
        <v>3</v>
      </c>
      <c r="S77" s="8">
        <f t="shared" si="21"/>
        <v>62</v>
      </c>
      <c r="U77" s="251"/>
      <c r="V77" s="23" t="s">
        <v>87</v>
      </c>
      <c r="W77" s="34">
        <f>SUM(C$43:C77)</f>
        <v>29</v>
      </c>
      <c r="X77" s="34">
        <f>SUM(D$43:D77)</f>
        <v>29</v>
      </c>
      <c r="Y77" s="34">
        <f>SUM(E$43:E77)</f>
        <v>48</v>
      </c>
      <c r="Z77" s="34">
        <f>SUM(F$43:F77)</f>
        <v>36</v>
      </c>
      <c r="AA77" s="34">
        <f>SUM(G$43:G77)</f>
        <v>40</v>
      </c>
      <c r="AB77" s="34">
        <f>SUM(H$43:H77)</f>
        <v>16</v>
      </c>
      <c r="AC77" s="8">
        <f t="shared" si="22"/>
        <v>198</v>
      </c>
      <c r="AD77" s="64">
        <f t="shared" si="13"/>
        <v>2.4750000000000001</v>
      </c>
    </row>
    <row r="78" spans="1:30">
      <c r="A78" s="251"/>
      <c r="B78" s="23" t="s">
        <v>173</v>
      </c>
      <c r="C78" s="8">
        <f>COUNTIFS('Datos Bachillerato'!$E:$E,C$42,'Datos Bachillerato'!$H:$H,"&gt;=01/12/2025",'Datos Bachillerato'!$H:$H,"&lt;=31/12/2025")</f>
        <v>1</v>
      </c>
      <c r="D78" s="8">
        <f>COUNTIFS('Datos Bachillerato'!$E:$E,D$42,'Datos Bachillerato'!$H:$H,"&gt;=01/12/2025",'Datos Bachillerato'!$H:$H,"&lt;=31/12/2025")</f>
        <v>1</v>
      </c>
      <c r="E78" s="8">
        <f>COUNTIFS('Datos Bachillerato'!$E:$E,E$42,'Datos Bachillerato'!$H:$H,"&gt;=01/12/2025",'Datos Bachillerato'!$H:$H,"&lt;=31/12/2025")</f>
        <v>1</v>
      </c>
      <c r="F78" s="8">
        <f>COUNTIFS('Datos Bachillerato'!$E:$E,F$42,'Datos Bachillerato'!$H:$H,"&gt;=01/12/2025",'Datos Bachillerato'!$H:$H,"&lt;=31/12/2025")</f>
        <v>1</v>
      </c>
      <c r="G78" s="8">
        <f>COUNTIFS('Datos Bachillerato'!$E:$E,G$42,'Datos Bachillerato'!$H:$H,"&gt;=01/12/2025",'Datos Bachillerato'!$H:$H,"&lt;=31/12/2025")</f>
        <v>2</v>
      </c>
      <c r="H78" s="8">
        <f>COUNTIFS('Datos Bachillerato'!$E:$E,H$42,'Datos Bachillerato'!$H:$H,"&gt;=01/12/2025",'Datos Bachillerato'!$H:$H,"&lt;=31/12/2025")</f>
        <v>0</v>
      </c>
      <c r="I78" s="8">
        <f t="shared" si="20"/>
        <v>6</v>
      </c>
      <c r="K78" s="251"/>
      <c r="L78" s="23" t="s">
        <v>173</v>
      </c>
      <c r="M78" s="34">
        <f>SUM(C$67:C78)</f>
        <v>15</v>
      </c>
      <c r="N78" s="34">
        <f>SUM(D$67:D78)</f>
        <v>13</v>
      </c>
      <c r="O78" s="34">
        <f>SUM(E$67:E78)</f>
        <v>10</v>
      </c>
      <c r="P78" s="34">
        <f>SUM(F$67:F78)</f>
        <v>13</v>
      </c>
      <c r="Q78" s="34">
        <f>SUM(G$67:G78)</f>
        <v>14</v>
      </c>
      <c r="R78" s="34">
        <f>SUM(H$67:H78)</f>
        <v>3</v>
      </c>
      <c r="S78" s="8">
        <f t="shared" si="21"/>
        <v>68</v>
      </c>
      <c r="U78" s="251"/>
      <c r="V78" s="23" t="s">
        <v>173</v>
      </c>
      <c r="W78" s="34">
        <f>SUM(C$43:C78)</f>
        <v>30</v>
      </c>
      <c r="X78" s="34">
        <f>SUM(D$43:D78)</f>
        <v>30</v>
      </c>
      <c r="Y78" s="34">
        <f>SUM(E$43:E78)</f>
        <v>49</v>
      </c>
      <c r="Z78" s="34">
        <f>SUM(F$43:F78)</f>
        <v>37</v>
      </c>
      <c r="AA78" s="34">
        <f>SUM(G$43:G78)</f>
        <v>42</v>
      </c>
      <c r="AB78" s="34">
        <f>SUM(H$43:H78)</f>
        <v>16</v>
      </c>
      <c r="AC78" s="8">
        <f t="shared" si="22"/>
        <v>204</v>
      </c>
      <c r="AD78" s="64">
        <f t="shared" si="13"/>
        <v>2.5499999999999998</v>
      </c>
    </row>
    <row r="79" spans="1:30">
      <c r="W79" s="39">
        <f>W66/W146</f>
        <v>2.1428571428571428</v>
      </c>
      <c r="X79" s="39">
        <f t="shared" ref="X79:AC79" si="23">X66/X146</f>
        <v>2.125</v>
      </c>
      <c r="Y79" s="39">
        <f t="shared" si="23"/>
        <v>3.9</v>
      </c>
      <c r="Z79" s="39">
        <f t="shared" si="23"/>
        <v>3.4285714285714284</v>
      </c>
      <c r="AA79" s="39">
        <f t="shared" si="23"/>
        <v>3.1111111111111112</v>
      </c>
      <c r="AB79" s="39">
        <f t="shared" si="23"/>
        <v>2.1666666666666665</v>
      </c>
      <c r="AC79" s="39">
        <f t="shared" si="23"/>
        <v>2.8936170212765959</v>
      </c>
    </row>
    <row r="81" spans="1:30">
      <c r="B81" s="260" t="s">
        <v>1432</v>
      </c>
      <c r="C81" s="260"/>
      <c r="D81" s="260"/>
      <c r="E81" s="260"/>
      <c r="F81" s="260"/>
      <c r="G81" s="260"/>
      <c r="H81" s="260"/>
      <c r="I81" s="260"/>
      <c r="L81" s="260" t="s">
        <v>1424</v>
      </c>
      <c r="M81" s="260"/>
      <c r="N81" s="260"/>
      <c r="O81" s="260"/>
      <c r="P81" s="260"/>
      <c r="Q81" s="260"/>
      <c r="R81" s="260"/>
      <c r="S81" s="260"/>
      <c r="V81" s="260" t="s">
        <v>1425</v>
      </c>
      <c r="W81" s="260"/>
      <c r="X81" s="260"/>
      <c r="Y81" s="260"/>
      <c r="Z81" s="260"/>
      <c r="AA81" s="260"/>
      <c r="AB81" s="260"/>
      <c r="AC81" s="260"/>
    </row>
    <row r="82" spans="1:30">
      <c r="B82" s="22" t="s">
        <v>1421</v>
      </c>
      <c r="C82" s="22" t="s">
        <v>760</v>
      </c>
      <c r="D82" s="22" t="s">
        <v>763</v>
      </c>
      <c r="E82" s="22" t="s">
        <v>753</v>
      </c>
      <c r="F82" s="22" t="s">
        <v>757</v>
      </c>
      <c r="G82" s="22" t="s">
        <v>771</v>
      </c>
      <c r="H82" s="22" t="s">
        <v>755</v>
      </c>
      <c r="I82" s="22" t="s">
        <v>1422</v>
      </c>
      <c r="L82" s="22" t="s">
        <v>1421</v>
      </c>
      <c r="M82" s="22" t="s">
        <v>760</v>
      </c>
      <c r="N82" s="22" t="s">
        <v>763</v>
      </c>
      <c r="O82" s="22" t="s">
        <v>753</v>
      </c>
      <c r="P82" s="22" t="s">
        <v>757</v>
      </c>
      <c r="Q82" s="22" t="s">
        <v>771</v>
      </c>
      <c r="R82" s="22" t="s">
        <v>755</v>
      </c>
      <c r="S82" s="22" t="s">
        <v>1422</v>
      </c>
      <c r="V82" s="22" t="s">
        <v>1421</v>
      </c>
      <c r="W82" s="22" t="s">
        <v>760</v>
      </c>
      <c r="X82" s="22" t="s">
        <v>763</v>
      </c>
      <c r="Y82" s="22" t="s">
        <v>753</v>
      </c>
      <c r="Z82" s="22" t="s">
        <v>757</v>
      </c>
      <c r="AA82" s="22" t="s">
        <v>771</v>
      </c>
      <c r="AB82" s="22" t="s">
        <v>755</v>
      </c>
      <c r="AC82" s="22" t="s">
        <v>1422</v>
      </c>
    </row>
    <row r="83" spans="1:30">
      <c r="A83" s="251">
        <f>A3</f>
        <v>2023</v>
      </c>
      <c r="B83" s="23" t="s">
        <v>13</v>
      </c>
      <c r="C83" s="8">
        <f>COUNTIFS('Datos Bachillerato'!$E:$E,C$82,'Datos Bachillerato'!$I:$I,"&gt;=01/01/2023",'Datos Bachillerato'!$I:$I,"&lt;=31/01/2023")</f>
        <v>1</v>
      </c>
      <c r="D83" s="8">
        <f>COUNTIFS('Datos Bachillerato'!$E:$E,D$82,'Datos Bachillerato'!$I:$I,"&gt;=01/01/2023",'Datos Bachillerato'!$I:$I,"&lt;=31/01/2023")</f>
        <v>0</v>
      </c>
      <c r="E83" s="8">
        <f>COUNTIFS('Datos Bachillerato'!$E:$E,E$82,'Datos Bachillerato'!$I:$I,"&gt;=01/01/2023",'Datos Bachillerato'!$I:$I,"&lt;=31/01/2023")</f>
        <v>0</v>
      </c>
      <c r="F83" s="8">
        <f>COUNTIFS('Datos Bachillerato'!$E:$E,F$82,'Datos Bachillerato'!$I:$I,"&gt;=01/01/2023",'Datos Bachillerato'!$I:$I,"&lt;=31/01/2023")</f>
        <v>1</v>
      </c>
      <c r="G83" s="8">
        <f>COUNTIFS('Datos Bachillerato'!$E:$E,G$82,'Datos Bachillerato'!$I:$I,"&gt;=01/01/2023",'Datos Bachillerato'!$I:$I,"&lt;=31/01/2023")</f>
        <v>0</v>
      </c>
      <c r="H83" s="8">
        <f>COUNTIFS('Datos Bachillerato'!$E:$E,H$82,'Datos Bachillerato'!$I:$I,"&gt;=01/01/2023",'Datos Bachillerato'!$I:$I,"&lt;=31/01/2023")</f>
        <v>2</v>
      </c>
      <c r="I83" s="8">
        <f>SUM(C83:H83)</f>
        <v>4</v>
      </c>
      <c r="K83" s="251">
        <f>A83</f>
        <v>2023</v>
      </c>
      <c r="L83" s="23" t="s">
        <v>13</v>
      </c>
      <c r="M83" s="34">
        <f>SUM(C$83:C83)</f>
        <v>1</v>
      </c>
      <c r="N83" s="34">
        <f>SUM(D$83:D83)</f>
        <v>0</v>
      </c>
      <c r="O83" s="34">
        <f>SUM(E$83:E83)</f>
        <v>0</v>
      </c>
      <c r="P83" s="34">
        <f>SUM(F$83:F83)</f>
        <v>1</v>
      </c>
      <c r="Q83" s="34">
        <f>SUM(G$83:G83)</f>
        <v>0</v>
      </c>
      <c r="R83" s="34">
        <f>SUM(H$83:H83)</f>
        <v>2</v>
      </c>
      <c r="S83" s="8">
        <f>SUM(M83:R83)</f>
        <v>4</v>
      </c>
      <c r="U83" s="251">
        <f>A83</f>
        <v>2023</v>
      </c>
      <c r="V83" s="23" t="s">
        <v>13</v>
      </c>
      <c r="W83" s="34">
        <f>SUM(C$83:C83)</f>
        <v>1</v>
      </c>
      <c r="X83" s="34">
        <f>SUM(D$83:D83)</f>
        <v>0</v>
      </c>
      <c r="Y83" s="34">
        <f>SUM(E$83:E83)</f>
        <v>0</v>
      </c>
      <c r="Z83" s="34">
        <f>SUM(F$83:F83)</f>
        <v>1</v>
      </c>
      <c r="AA83" s="34">
        <f>SUM(G$83:G83)</f>
        <v>0</v>
      </c>
      <c r="AB83" s="34">
        <f>SUM(H$83:H83)</f>
        <v>2</v>
      </c>
      <c r="AC83" s="8">
        <f>SUM(W83:AB83)</f>
        <v>4</v>
      </c>
      <c r="AD83" s="64" t="e">
        <f t="shared" ref="AD83:AD118" si="24">AC83/AC123</f>
        <v>#DIV/0!</v>
      </c>
    </row>
    <row r="84" spans="1:30">
      <c r="A84" s="251"/>
      <c r="B84" s="23" t="s">
        <v>24</v>
      </c>
      <c r="C84" s="8">
        <f>COUNTIFS('Datos Bachillerato'!$E:$E,C$82,'Datos Bachillerato'!$I:$I,"&gt;=01/02/2023",'Datos Bachillerato'!$I:$I,"&lt;=28/02/2023")</f>
        <v>0</v>
      </c>
      <c r="D84" s="8">
        <f>COUNTIFS('Datos Bachillerato'!$E:$E,D$82,'Datos Bachillerato'!$I:$I,"&gt;=01/02/2023",'Datos Bachillerato'!$I:$I,"&lt;=28/02/2023")</f>
        <v>2</v>
      </c>
      <c r="E84" s="8">
        <f>COUNTIFS('Datos Bachillerato'!$E:$E,E$82,'Datos Bachillerato'!$I:$I,"&gt;=01/02/2023",'Datos Bachillerato'!$I:$I,"&lt;=28/02/2023")</f>
        <v>2</v>
      </c>
      <c r="F84" s="8">
        <f>COUNTIFS('Datos Bachillerato'!$E:$E,F$82,'Datos Bachillerato'!$I:$I,"&gt;=01/02/2023",'Datos Bachillerato'!$I:$I,"&lt;=28/02/2023")</f>
        <v>0</v>
      </c>
      <c r="G84" s="8">
        <f>COUNTIFS('Datos Bachillerato'!$E:$E,G$82,'Datos Bachillerato'!$I:$I,"&gt;=01/02/2023",'Datos Bachillerato'!$I:$I,"&lt;=28/02/2023")</f>
        <v>0</v>
      </c>
      <c r="H84" s="8">
        <f>COUNTIFS('Datos Bachillerato'!$E:$E,H$82,'Datos Bachillerato'!$I:$I,"&gt;=01/02/2023",'Datos Bachillerato'!$I:$I,"&lt;=28/02/2023")</f>
        <v>0</v>
      </c>
      <c r="I84" s="8">
        <f t="shared" ref="I84:I94" si="25">SUM(C84:H84)</f>
        <v>4</v>
      </c>
      <c r="K84" s="251"/>
      <c r="L84" s="23" t="s">
        <v>24</v>
      </c>
      <c r="M84" s="34">
        <f>SUM(C$83:C84)</f>
        <v>1</v>
      </c>
      <c r="N84" s="34">
        <f>SUM(D$83:D84)</f>
        <v>2</v>
      </c>
      <c r="O84" s="34">
        <f>SUM(E$83:E84)</f>
        <v>2</v>
      </c>
      <c r="P84" s="34">
        <f>SUM(F$83:F84)</f>
        <v>1</v>
      </c>
      <c r="Q84" s="34">
        <f>SUM(G$83:G84)</f>
        <v>0</v>
      </c>
      <c r="R84" s="34">
        <f>SUM(H$83:H84)</f>
        <v>2</v>
      </c>
      <c r="S84" s="8">
        <f t="shared" ref="S84:S94" si="26">SUM(M84:R84)</f>
        <v>8</v>
      </c>
      <c r="U84" s="251"/>
      <c r="V84" s="23" t="s">
        <v>24</v>
      </c>
      <c r="W84" s="34">
        <f>SUM(C$83:C84)</f>
        <v>1</v>
      </c>
      <c r="X84" s="34">
        <f>SUM(D$83:D84)</f>
        <v>2</v>
      </c>
      <c r="Y84" s="34">
        <f>SUM(E$83:E84)</f>
        <v>2</v>
      </c>
      <c r="Z84" s="34">
        <f>SUM(F$83:F84)</f>
        <v>1</v>
      </c>
      <c r="AA84" s="34">
        <f>SUM(G$83:G84)</f>
        <v>0</v>
      </c>
      <c r="AB84" s="34">
        <f>SUM(H$83:H84)</f>
        <v>2</v>
      </c>
      <c r="AC84" s="8">
        <f t="shared" ref="AC84:AC94" si="27">SUM(W84:AB84)</f>
        <v>8</v>
      </c>
      <c r="AD84" s="64">
        <f t="shared" si="24"/>
        <v>2.6666666666666665</v>
      </c>
    </row>
    <row r="85" spans="1:30">
      <c r="A85" s="251"/>
      <c r="B85" s="23" t="s">
        <v>34</v>
      </c>
      <c r="C85" s="8">
        <f>COUNTIFS('Datos Bachillerato'!$E:$E,C$82,'Datos Bachillerato'!$I:$I,"&gt;=01/03/2023",'Datos Bachillerato'!$I:$I,"&lt;=31/03/2023")</f>
        <v>2</v>
      </c>
      <c r="D85" s="8">
        <f>COUNTIFS('Datos Bachillerato'!$E:$E,D$82,'Datos Bachillerato'!$I:$I,"&gt;=01/03/2023",'Datos Bachillerato'!$I:$I,"&lt;=31/03/2023")</f>
        <v>0</v>
      </c>
      <c r="E85" s="8">
        <f>COUNTIFS('Datos Bachillerato'!$E:$E,E$82,'Datos Bachillerato'!$I:$I,"&gt;=01/03/2023",'Datos Bachillerato'!$I:$I,"&lt;=31/03/2023")</f>
        <v>0</v>
      </c>
      <c r="F85" s="8">
        <f>COUNTIFS('Datos Bachillerato'!$E:$E,F$82,'Datos Bachillerato'!$I:$I,"&gt;=01/03/2023",'Datos Bachillerato'!$I:$I,"&lt;=31/03/2023")</f>
        <v>0</v>
      </c>
      <c r="G85" s="8">
        <f>COUNTIFS('Datos Bachillerato'!$E:$E,G$82,'Datos Bachillerato'!$I:$I,"&gt;=01/03/2023",'Datos Bachillerato'!$I:$I,"&lt;=31/03/2023")</f>
        <v>2</v>
      </c>
      <c r="H85" s="8">
        <f>COUNTIFS('Datos Bachillerato'!$E:$E,H$82,'Datos Bachillerato'!$I:$I,"&gt;=01/03/2023",'Datos Bachillerato'!$I:$I,"&lt;=31/03/2023")</f>
        <v>0</v>
      </c>
      <c r="I85" s="8">
        <f t="shared" si="25"/>
        <v>4</v>
      </c>
      <c r="K85" s="251"/>
      <c r="L85" s="23" t="s">
        <v>34</v>
      </c>
      <c r="M85" s="34">
        <f>SUM(C$83:C85)</f>
        <v>3</v>
      </c>
      <c r="N85" s="34">
        <f>SUM(D$83:D85)</f>
        <v>2</v>
      </c>
      <c r="O85" s="34">
        <f>SUM(E$83:E85)</f>
        <v>2</v>
      </c>
      <c r="P85" s="34">
        <f>SUM(F$83:F85)</f>
        <v>1</v>
      </c>
      <c r="Q85" s="34">
        <f>SUM(G$83:G85)</f>
        <v>2</v>
      </c>
      <c r="R85" s="34">
        <f>SUM(H$83:H85)</f>
        <v>2</v>
      </c>
      <c r="S85" s="8">
        <f t="shared" si="26"/>
        <v>12</v>
      </c>
      <c r="U85" s="251"/>
      <c r="V85" s="23" t="s">
        <v>34</v>
      </c>
      <c r="W85" s="34">
        <f>SUM(C$83:C85)</f>
        <v>3</v>
      </c>
      <c r="X85" s="34">
        <f>SUM(D$83:D85)</f>
        <v>2</v>
      </c>
      <c r="Y85" s="34">
        <f>SUM(E$83:E85)</f>
        <v>2</v>
      </c>
      <c r="Z85" s="34">
        <f>SUM(F$83:F85)</f>
        <v>1</v>
      </c>
      <c r="AA85" s="34">
        <f>SUM(G$83:G85)</f>
        <v>2</v>
      </c>
      <c r="AB85" s="34">
        <f>SUM(H$83:H85)</f>
        <v>2</v>
      </c>
      <c r="AC85" s="8">
        <f t="shared" si="27"/>
        <v>12</v>
      </c>
      <c r="AD85" s="64">
        <f t="shared" si="24"/>
        <v>2.4</v>
      </c>
    </row>
    <row r="86" spans="1:30">
      <c r="A86" s="251"/>
      <c r="B86" s="23" t="s">
        <v>38</v>
      </c>
      <c r="C86" s="8">
        <f>COUNTIFS('Datos Bachillerato'!$E:$E,C$82,'Datos Bachillerato'!$I:$I,"&gt;=01/04/2023",'Datos Bachillerato'!$I:$I,"&lt;=30/04/2023")</f>
        <v>0</v>
      </c>
      <c r="D86" s="8">
        <f>COUNTIFS('Datos Bachillerato'!$E:$E,D$82,'Datos Bachillerato'!$I:$I,"&gt;=01/04/2023",'Datos Bachillerato'!$I:$I,"&lt;=30/04/2023")</f>
        <v>0</v>
      </c>
      <c r="E86" s="8">
        <f>COUNTIFS('Datos Bachillerato'!$E:$E,E$82,'Datos Bachillerato'!$I:$I,"&gt;=01/04/2023",'Datos Bachillerato'!$I:$I,"&lt;=30/04/2023")</f>
        <v>0</v>
      </c>
      <c r="F86" s="8">
        <f>COUNTIFS('Datos Bachillerato'!$E:$E,F$82,'Datos Bachillerato'!$I:$I,"&gt;=01/04/2023",'Datos Bachillerato'!$I:$I,"&lt;=30/04/2023")</f>
        <v>0</v>
      </c>
      <c r="G86" s="8">
        <f>COUNTIFS('Datos Bachillerato'!$E:$E,G$82,'Datos Bachillerato'!$I:$I,"&gt;=01/04/2023",'Datos Bachillerato'!$I:$I,"&lt;=30/04/2023")</f>
        <v>1</v>
      </c>
      <c r="H86" s="8">
        <f>COUNTIFS('Datos Bachillerato'!$E:$E,H$82,'Datos Bachillerato'!$I:$I,"&gt;=01/04/2023",'Datos Bachillerato'!$I:$I,"&lt;=30/04/2023")</f>
        <v>0</v>
      </c>
      <c r="I86" s="8">
        <f t="shared" si="25"/>
        <v>1</v>
      </c>
      <c r="K86" s="251"/>
      <c r="L86" s="23" t="s">
        <v>38</v>
      </c>
      <c r="M86" s="34">
        <f>SUM(C$83:C86)</f>
        <v>3</v>
      </c>
      <c r="N86" s="34">
        <f>SUM(D$83:D86)</f>
        <v>2</v>
      </c>
      <c r="O86" s="34">
        <f>SUM(E$83:E86)</f>
        <v>2</v>
      </c>
      <c r="P86" s="34">
        <f>SUM(F$83:F86)</f>
        <v>1</v>
      </c>
      <c r="Q86" s="34">
        <f>SUM(G$83:G86)</f>
        <v>3</v>
      </c>
      <c r="R86" s="34">
        <f>SUM(H$83:H86)</f>
        <v>2</v>
      </c>
      <c r="S86" s="8">
        <f t="shared" si="26"/>
        <v>13</v>
      </c>
      <c r="U86" s="251"/>
      <c r="V86" s="23" t="s">
        <v>38</v>
      </c>
      <c r="W86" s="34">
        <f>SUM(C$83:C86)</f>
        <v>3</v>
      </c>
      <c r="X86" s="34">
        <f>SUM(D$83:D86)</f>
        <v>2</v>
      </c>
      <c r="Y86" s="34">
        <f>SUM(E$83:E86)</f>
        <v>2</v>
      </c>
      <c r="Z86" s="34">
        <f>SUM(F$83:F86)</f>
        <v>1</v>
      </c>
      <c r="AA86" s="34">
        <f>SUM(G$83:G86)</f>
        <v>3</v>
      </c>
      <c r="AB86" s="34">
        <f>SUM(H$83:H86)</f>
        <v>2</v>
      </c>
      <c r="AC86" s="8">
        <f t="shared" si="27"/>
        <v>13</v>
      </c>
      <c r="AD86" s="64">
        <f t="shared" si="24"/>
        <v>2.1666666666666665</v>
      </c>
    </row>
    <row r="87" spans="1:30">
      <c r="A87" s="251"/>
      <c r="B87" s="23" t="s">
        <v>47</v>
      </c>
      <c r="C87" s="8">
        <f>COUNTIFS('Datos Bachillerato'!$E:$E,C$82,'Datos Bachillerato'!$I:$I,"&gt;=01/05/2023",'Datos Bachillerato'!$I:$I,"&lt;=31/05/2023")</f>
        <v>0</v>
      </c>
      <c r="D87" s="8">
        <f>COUNTIFS('Datos Bachillerato'!$E:$E,D$82,'Datos Bachillerato'!$I:$I,"&gt;=01/05/2023",'Datos Bachillerato'!$I:$I,"&lt;=31/05/2023")</f>
        <v>1</v>
      </c>
      <c r="E87" s="8">
        <f>COUNTIFS('Datos Bachillerato'!$E:$E,E$82,'Datos Bachillerato'!$I:$I,"&gt;=01/05/2023",'Datos Bachillerato'!$I:$I,"&lt;=31/05/2023")</f>
        <v>1</v>
      </c>
      <c r="F87" s="8">
        <f>COUNTIFS('Datos Bachillerato'!$E:$E,F$82,'Datos Bachillerato'!$I:$I,"&gt;=01/05/2023",'Datos Bachillerato'!$I:$I,"&lt;=31/05/2023")</f>
        <v>0</v>
      </c>
      <c r="G87" s="8">
        <f>COUNTIFS('Datos Bachillerato'!$E:$E,G$82,'Datos Bachillerato'!$I:$I,"&gt;=01/05/2023",'Datos Bachillerato'!$I:$I,"&lt;=31/05/2023")</f>
        <v>0</v>
      </c>
      <c r="H87" s="8">
        <f>COUNTIFS('Datos Bachillerato'!$E:$E,H$82,'Datos Bachillerato'!$I:$I,"&gt;=01/05/2023",'Datos Bachillerato'!$I:$I,"&lt;=31/05/2023")</f>
        <v>2</v>
      </c>
      <c r="I87" s="8">
        <f t="shared" si="25"/>
        <v>4</v>
      </c>
      <c r="K87" s="251"/>
      <c r="L87" s="23" t="s">
        <v>47</v>
      </c>
      <c r="M87" s="34">
        <f>SUM(C$83:C87)</f>
        <v>3</v>
      </c>
      <c r="N87" s="34">
        <f>SUM(D$83:D87)</f>
        <v>3</v>
      </c>
      <c r="O87" s="34">
        <f>SUM(E$83:E87)</f>
        <v>3</v>
      </c>
      <c r="P87" s="34">
        <f>SUM(F$83:F87)</f>
        <v>1</v>
      </c>
      <c r="Q87" s="34">
        <f>SUM(G$83:G87)</f>
        <v>3</v>
      </c>
      <c r="R87" s="34">
        <f>SUM(H$83:H87)</f>
        <v>4</v>
      </c>
      <c r="S87" s="8">
        <f t="shared" si="26"/>
        <v>17</v>
      </c>
      <c r="U87" s="251"/>
      <c r="V87" s="23" t="s">
        <v>47</v>
      </c>
      <c r="W87" s="34">
        <f>SUM(C$83:C87)</f>
        <v>3</v>
      </c>
      <c r="X87" s="34">
        <f>SUM(D$83:D87)</f>
        <v>3</v>
      </c>
      <c r="Y87" s="34">
        <f>SUM(E$83:E87)</f>
        <v>3</v>
      </c>
      <c r="Z87" s="34">
        <f>SUM(F$83:F87)</f>
        <v>1</v>
      </c>
      <c r="AA87" s="34">
        <f>SUM(G$83:G87)</f>
        <v>3</v>
      </c>
      <c r="AB87" s="34">
        <f>SUM(H$83:H87)</f>
        <v>4</v>
      </c>
      <c r="AC87" s="8">
        <f t="shared" si="27"/>
        <v>17</v>
      </c>
      <c r="AD87" s="64">
        <f t="shared" si="24"/>
        <v>2.125</v>
      </c>
    </row>
    <row r="88" spans="1:30">
      <c r="A88" s="251"/>
      <c r="B88" s="23" t="s">
        <v>57</v>
      </c>
      <c r="C88" s="8">
        <f>COUNTIFS('Datos Bachillerato'!$E:$E,C$82,'Datos Bachillerato'!$I:$I,"&gt;=01/06/2023",'Datos Bachillerato'!$I:$I,"&lt;=30/06/2023")</f>
        <v>1</v>
      </c>
      <c r="D88" s="8">
        <f>COUNTIFS('Datos Bachillerato'!$E:$E,D$82,'Datos Bachillerato'!$I:$I,"&gt;=01/06/2023",'Datos Bachillerato'!$I:$I,"&lt;=30/06/2023")</f>
        <v>1</v>
      </c>
      <c r="E88" s="8">
        <f>COUNTIFS('Datos Bachillerato'!$E:$E,E$82,'Datos Bachillerato'!$I:$I,"&gt;=01/06/2023",'Datos Bachillerato'!$I:$I,"&lt;=30/06/2023")</f>
        <v>0</v>
      </c>
      <c r="F88" s="8">
        <f>COUNTIFS('Datos Bachillerato'!$E:$E,F$82,'Datos Bachillerato'!$I:$I,"&gt;=01/06/2023",'Datos Bachillerato'!$I:$I,"&lt;=30/06/2023")</f>
        <v>0</v>
      </c>
      <c r="G88" s="8">
        <f>COUNTIFS('Datos Bachillerato'!$E:$E,G$82,'Datos Bachillerato'!$I:$I,"&gt;=01/06/2023",'Datos Bachillerato'!$I:$I,"&lt;=30/06/2023")</f>
        <v>0</v>
      </c>
      <c r="H88" s="8">
        <f>COUNTIFS('Datos Bachillerato'!$E:$E,H$82,'Datos Bachillerato'!$I:$I,"&gt;=01/06/2023",'Datos Bachillerato'!$I:$I,"&lt;=30/06/2023")</f>
        <v>1</v>
      </c>
      <c r="I88" s="8">
        <f t="shared" si="25"/>
        <v>3</v>
      </c>
      <c r="K88" s="251"/>
      <c r="L88" s="23" t="s">
        <v>57</v>
      </c>
      <c r="M88" s="34">
        <f>SUM(C$83:C88)</f>
        <v>4</v>
      </c>
      <c r="N88" s="34">
        <f>SUM(D$83:D88)</f>
        <v>4</v>
      </c>
      <c r="O88" s="34">
        <f>SUM(E$83:E88)</f>
        <v>3</v>
      </c>
      <c r="P88" s="34">
        <f>SUM(F$83:F88)</f>
        <v>1</v>
      </c>
      <c r="Q88" s="34">
        <f>SUM(G$83:G88)</f>
        <v>3</v>
      </c>
      <c r="R88" s="34">
        <f>SUM(H$83:H88)</f>
        <v>5</v>
      </c>
      <c r="S88" s="8">
        <f t="shared" si="26"/>
        <v>20</v>
      </c>
      <c r="U88" s="251"/>
      <c r="V88" s="23" t="s">
        <v>57</v>
      </c>
      <c r="W88" s="34">
        <f>SUM(C$83:C88)</f>
        <v>4</v>
      </c>
      <c r="X88" s="34">
        <f>SUM(D$83:D88)</f>
        <v>4</v>
      </c>
      <c r="Y88" s="34">
        <f>SUM(E$83:E88)</f>
        <v>3</v>
      </c>
      <c r="Z88" s="34">
        <f>SUM(F$83:F88)</f>
        <v>1</v>
      </c>
      <c r="AA88" s="34">
        <f>SUM(G$83:G88)</f>
        <v>3</v>
      </c>
      <c r="AB88" s="34">
        <f>SUM(H$83:H88)</f>
        <v>5</v>
      </c>
      <c r="AC88" s="8">
        <f t="shared" si="27"/>
        <v>20</v>
      </c>
      <c r="AD88" s="64">
        <f t="shared" si="24"/>
        <v>2.2222222222222223</v>
      </c>
    </row>
    <row r="89" spans="1:30">
      <c r="A89" s="251"/>
      <c r="B89" s="23" t="s">
        <v>62</v>
      </c>
      <c r="C89" s="8">
        <f>COUNTIFS('Datos Bachillerato'!$E:$E,C$82,'Datos Bachillerato'!$I:$I,"&gt;=01/07/2023",'Datos Bachillerato'!$I:$I,"&lt;=31/07/2023")</f>
        <v>1</v>
      </c>
      <c r="D89" s="8">
        <f>COUNTIFS('Datos Bachillerato'!$E:$E,D$82,'Datos Bachillerato'!$I:$I,"&gt;=01/07/2023",'Datos Bachillerato'!$I:$I,"&lt;=31/07/2023")</f>
        <v>1</v>
      </c>
      <c r="E89" s="8">
        <f>COUNTIFS('Datos Bachillerato'!$E:$E,E$82,'Datos Bachillerato'!$I:$I,"&gt;=01/07/2023",'Datos Bachillerato'!$I:$I,"&lt;=31/07/2023")</f>
        <v>3</v>
      </c>
      <c r="F89" s="8">
        <f>COUNTIFS('Datos Bachillerato'!$E:$E,F$82,'Datos Bachillerato'!$I:$I,"&gt;=01/07/2023",'Datos Bachillerato'!$I:$I,"&lt;=31/07/2023")</f>
        <v>2</v>
      </c>
      <c r="G89" s="8">
        <f>COUNTIFS('Datos Bachillerato'!$E:$E,G$82,'Datos Bachillerato'!$I:$I,"&gt;=01/07/2023",'Datos Bachillerato'!$I:$I,"&lt;=31/07/2023")</f>
        <v>0</v>
      </c>
      <c r="H89" s="8">
        <f>COUNTIFS('Datos Bachillerato'!$E:$E,H$82,'Datos Bachillerato'!$I:$I,"&gt;=01/07/2023",'Datos Bachillerato'!$I:$I,"&lt;=31/07/2023")</f>
        <v>0</v>
      </c>
      <c r="I89" s="8">
        <f t="shared" si="25"/>
        <v>7</v>
      </c>
      <c r="K89" s="251"/>
      <c r="L89" s="23" t="s">
        <v>62</v>
      </c>
      <c r="M89" s="34">
        <f>SUM(C$83:C89)</f>
        <v>5</v>
      </c>
      <c r="N89" s="34">
        <f>SUM(D$83:D89)</f>
        <v>5</v>
      </c>
      <c r="O89" s="34">
        <f>SUM(E$83:E89)</f>
        <v>6</v>
      </c>
      <c r="P89" s="34">
        <f>SUM(F$83:F89)</f>
        <v>3</v>
      </c>
      <c r="Q89" s="34">
        <f>SUM(G$83:G89)</f>
        <v>3</v>
      </c>
      <c r="R89" s="34">
        <f>SUM(H$83:H89)</f>
        <v>5</v>
      </c>
      <c r="S89" s="8">
        <f t="shared" si="26"/>
        <v>27</v>
      </c>
      <c r="U89" s="251"/>
      <c r="V89" s="23" t="s">
        <v>62</v>
      </c>
      <c r="W89" s="34">
        <f>SUM(C$83:C89)</f>
        <v>5</v>
      </c>
      <c r="X89" s="34">
        <f>SUM(D$83:D89)</f>
        <v>5</v>
      </c>
      <c r="Y89" s="34">
        <f>SUM(E$83:E89)</f>
        <v>6</v>
      </c>
      <c r="Z89" s="34">
        <f>SUM(F$83:F89)</f>
        <v>3</v>
      </c>
      <c r="AA89" s="34">
        <f>SUM(G$83:G89)</f>
        <v>3</v>
      </c>
      <c r="AB89" s="34">
        <f>SUM(H$83:H89)</f>
        <v>5</v>
      </c>
      <c r="AC89" s="8">
        <f t="shared" si="27"/>
        <v>27</v>
      </c>
      <c r="AD89" s="64">
        <f t="shared" si="24"/>
        <v>2.25</v>
      </c>
    </row>
    <row r="90" spans="1:30">
      <c r="A90" s="251"/>
      <c r="B90" s="23" t="s">
        <v>68</v>
      </c>
      <c r="C90" s="8">
        <f>COUNTIFS('Datos Bachillerato'!$E:$E,C$82,'Datos Bachillerato'!$I:$I,"&gt;=01/08/2023",'Datos Bachillerato'!$I:$I,"&lt;=31/08/2023")</f>
        <v>0</v>
      </c>
      <c r="D90" s="8">
        <f>COUNTIFS('Datos Bachillerato'!$E:$E,D$82,'Datos Bachillerato'!$I:$I,"&gt;=01/08/2023",'Datos Bachillerato'!$I:$I,"&lt;=31/08/2023")</f>
        <v>1</v>
      </c>
      <c r="E90" s="8">
        <f>COUNTIFS('Datos Bachillerato'!$E:$E,E$82,'Datos Bachillerato'!$I:$I,"&gt;=01/08/2023",'Datos Bachillerato'!$I:$I,"&lt;=31/08/2023")</f>
        <v>2</v>
      </c>
      <c r="F90" s="8">
        <f>COUNTIFS('Datos Bachillerato'!$E:$E,F$82,'Datos Bachillerato'!$I:$I,"&gt;=01/08/2023",'Datos Bachillerato'!$I:$I,"&lt;=31/08/2023")</f>
        <v>1</v>
      </c>
      <c r="G90" s="8">
        <f>COUNTIFS('Datos Bachillerato'!$E:$E,G$82,'Datos Bachillerato'!$I:$I,"&gt;=01/08/2023",'Datos Bachillerato'!$I:$I,"&lt;=31/08/2023")</f>
        <v>1</v>
      </c>
      <c r="H90" s="8">
        <f>COUNTIFS('Datos Bachillerato'!$E:$E,H$82,'Datos Bachillerato'!$I:$I,"&gt;=01/08/2023",'Datos Bachillerato'!$I:$I,"&lt;=31/08/2023")</f>
        <v>0</v>
      </c>
      <c r="I90" s="8">
        <f t="shared" si="25"/>
        <v>5</v>
      </c>
      <c r="K90" s="251"/>
      <c r="L90" s="23" t="s">
        <v>68</v>
      </c>
      <c r="M90" s="34">
        <f>SUM(C$83:C90)</f>
        <v>5</v>
      </c>
      <c r="N90" s="34">
        <f>SUM(D$83:D90)</f>
        <v>6</v>
      </c>
      <c r="O90" s="34">
        <f>SUM(E$83:E90)</f>
        <v>8</v>
      </c>
      <c r="P90" s="34">
        <f>SUM(F$83:F90)</f>
        <v>4</v>
      </c>
      <c r="Q90" s="34">
        <f>SUM(G$83:G90)</f>
        <v>4</v>
      </c>
      <c r="R90" s="34">
        <f>SUM(H$83:H90)</f>
        <v>5</v>
      </c>
      <c r="S90" s="8">
        <f t="shared" si="26"/>
        <v>32</v>
      </c>
      <c r="U90" s="251"/>
      <c r="V90" s="23" t="s">
        <v>68</v>
      </c>
      <c r="W90" s="34">
        <f>SUM(C$83:C90)</f>
        <v>5</v>
      </c>
      <c r="X90" s="34">
        <f>SUM(D$83:D90)</f>
        <v>6</v>
      </c>
      <c r="Y90" s="34">
        <f>SUM(E$83:E90)</f>
        <v>8</v>
      </c>
      <c r="Z90" s="34">
        <f>SUM(F$83:F90)</f>
        <v>4</v>
      </c>
      <c r="AA90" s="34">
        <f>SUM(G$83:G90)</f>
        <v>4</v>
      </c>
      <c r="AB90" s="34">
        <f>SUM(H$83:H90)</f>
        <v>5</v>
      </c>
      <c r="AC90" s="8">
        <f t="shared" si="27"/>
        <v>32</v>
      </c>
      <c r="AD90" s="64">
        <f t="shared" si="24"/>
        <v>1.7777777777777777</v>
      </c>
    </row>
    <row r="91" spans="1:30">
      <c r="A91" s="251"/>
      <c r="B91" s="23" t="s">
        <v>77</v>
      </c>
      <c r="C91" s="8">
        <f>COUNTIFS('Datos Bachillerato'!$E:$E,C$82,'Datos Bachillerato'!$I:$I,"&gt;=01/09/2023",'Datos Bachillerato'!$I:$I,"&lt;=30/09/2023")</f>
        <v>1</v>
      </c>
      <c r="D91" s="8">
        <f>COUNTIFS('Datos Bachillerato'!$E:$E,D$82,'Datos Bachillerato'!$I:$I,"&gt;=01/09/2023",'Datos Bachillerato'!$I:$I,"&lt;=30/09/2023")</f>
        <v>0</v>
      </c>
      <c r="E91" s="8">
        <f>COUNTIFS('Datos Bachillerato'!$E:$E,E$82,'Datos Bachillerato'!$I:$I,"&gt;=01/09/2023",'Datos Bachillerato'!$I:$I,"&lt;=30/09/2023")</f>
        <v>1</v>
      </c>
      <c r="F91" s="8">
        <f>COUNTIFS('Datos Bachillerato'!$E:$E,F$82,'Datos Bachillerato'!$I:$I,"&gt;=01/09/2023",'Datos Bachillerato'!$I:$I,"&lt;=30/09/2023")</f>
        <v>1</v>
      </c>
      <c r="G91" s="8">
        <f>COUNTIFS('Datos Bachillerato'!$E:$E,G$82,'Datos Bachillerato'!$I:$I,"&gt;=01/09/2023",'Datos Bachillerato'!$I:$I,"&lt;=30/09/2023")</f>
        <v>3</v>
      </c>
      <c r="H91" s="8">
        <f>COUNTIFS('Datos Bachillerato'!$E:$E,H$82,'Datos Bachillerato'!$I:$I,"&gt;=01/09/2023",'Datos Bachillerato'!$I:$I,"&lt;=30/09/2023")</f>
        <v>0</v>
      </c>
      <c r="I91" s="8">
        <f t="shared" si="25"/>
        <v>6</v>
      </c>
      <c r="K91" s="251"/>
      <c r="L91" s="23" t="s">
        <v>77</v>
      </c>
      <c r="M91" s="34">
        <f>SUM(C$83:C91)</f>
        <v>6</v>
      </c>
      <c r="N91" s="34">
        <f>SUM(D$83:D91)</f>
        <v>6</v>
      </c>
      <c r="O91" s="34">
        <f>SUM(E$83:E91)</f>
        <v>9</v>
      </c>
      <c r="P91" s="34">
        <f>SUM(F$83:F91)</f>
        <v>5</v>
      </c>
      <c r="Q91" s="34">
        <f>SUM(G$83:G91)</f>
        <v>7</v>
      </c>
      <c r="R91" s="34">
        <f>SUM(H$83:H91)</f>
        <v>5</v>
      </c>
      <c r="S91" s="8">
        <f t="shared" si="26"/>
        <v>38</v>
      </c>
      <c r="U91" s="251"/>
      <c r="V91" s="23" t="s">
        <v>77</v>
      </c>
      <c r="W91" s="34">
        <f>SUM(C$83:C91)</f>
        <v>6</v>
      </c>
      <c r="X91" s="34">
        <f>SUM(D$83:D91)</f>
        <v>6</v>
      </c>
      <c r="Y91" s="34">
        <f>SUM(E$83:E91)</f>
        <v>9</v>
      </c>
      <c r="Z91" s="34">
        <f>SUM(F$83:F91)</f>
        <v>5</v>
      </c>
      <c r="AA91" s="34">
        <f>SUM(G$83:G91)</f>
        <v>7</v>
      </c>
      <c r="AB91" s="34">
        <f>SUM(H$83:H91)</f>
        <v>5</v>
      </c>
      <c r="AC91" s="8">
        <f t="shared" si="27"/>
        <v>38</v>
      </c>
      <c r="AD91" s="64">
        <f t="shared" si="24"/>
        <v>1.8095238095238095</v>
      </c>
    </row>
    <row r="92" spans="1:30">
      <c r="A92" s="251"/>
      <c r="B92" s="23" t="s">
        <v>84</v>
      </c>
      <c r="C92" s="8">
        <f>COUNTIFS('Datos Bachillerato'!$E:$E,C$82,'Datos Bachillerato'!$I:$I,"&gt;=01/10/2023",'Datos Bachillerato'!$I:$I,"&lt;=31/10/2023")</f>
        <v>0</v>
      </c>
      <c r="D92" s="8">
        <f>COUNTIFS('Datos Bachillerato'!$E:$E,D$82,'Datos Bachillerato'!$I:$I,"&gt;=01/10/2023",'Datos Bachillerato'!$I:$I,"&lt;=31/10/2023")</f>
        <v>1</v>
      </c>
      <c r="E92" s="8">
        <f>COUNTIFS('Datos Bachillerato'!$E:$E,E$82,'Datos Bachillerato'!$I:$I,"&gt;=01/10/2023",'Datos Bachillerato'!$I:$I,"&lt;=31/10/2023")</f>
        <v>0</v>
      </c>
      <c r="F92" s="8">
        <f>COUNTIFS('Datos Bachillerato'!$E:$E,F$82,'Datos Bachillerato'!$I:$I,"&gt;=01/10/2023",'Datos Bachillerato'!$I:$I,"&lt;=31/10/2023")</f>
        <v>1</v>
      </c>
      <c r="G92" s="8">
        <f>COUNTIFS('Datos Bachillerato'!$E:$E,G$82,'Datos Bachillerato'!$I:$I,"&gt;=01/10/2023",'Datos Bachillerato'!$I:$I,"&lt;=31/10/2023")</f>
        <v>1</v>
      </c>
      <c r="H92" s="8">
        <f>COUNTIFS('Datos Bachillerato'!$E:$E,H$82,'Datos Bachillerato'!$I:$I,"&gt;=01/10/2023",'Datos Bachillerato'!$I:$I,"&lt;=31/10/2023")</f>
        <v>0</v>
      </c>
      <c r="I92" s="8">
        <f t="shared" si="25"/>
        <v>3</v>
      </c>
      <c r="K92" s="251"/>
      <c r="L92" s="23" t="s">
        <v>84</v>
      </c>
      <c r="M92" s="34">
        <f>SUM(C$83:C92)</f>
        <v>6</v>
      </c>
      <c r="N92" s="34">
        <f>SUM(D$83:D92)</f>
        <v>7</v>
      </c>
      <c r="O92" s="34">
        <f>SUM(E$83:E92)</f>
        <v>9</v>
      </c>
      <c r="P92" s="34">
        <f>SUM(F$83:F92)</f>
        <v>6</v>
      </c>
      <c r="Q92" s="34">
        <f>SUM(G$83:G92)</f>
        <v>8</v>
      </c>
      <c r="R92" s="34">
        <f>SUM(H$83:H92)</f>
        <v>5</v>
      </c>
      <c r="S92" s="8">
        <f t="shared" si="26"/>
        <v>41</v>
      </c>
      <c r="U92" s="251"/>
      <c r="V92" s="23" t="s">
        <v>84</v>
      </c>
      <c r="W92" s="34">
        <f>SUM(C$83:C92)</f>
        <v>6</v>
      </c>
      <c r="X92" s="34">
        <f>SUM(D$83:D92)</f>
        <v>7</v>
      </c>
      <c r="Y92" s="34">
        <f>SUM(E$83:E92)</f>
        <v>9</v>
      </c>
      <c r="Z92" s="34">
        <f>SUM(F$83:F92)</f>
        <v>6</v>
      </c>
      <c r="AA92" s="34">
        <f>SUM(G$83:G92)</f>
        <v>8</v>
      </c>
      <c r="AB92" s="34">
        <f>SUM(H$83:H92)</f>
        <v>5</v>
      </c>
      <c r="AC92" s="8">
        <f t="shared" si="27"/>
        <v>41</v>
      </c>
      <c r="AD92" s="64">
        <f t="shared" si="24"/>
        <v>1.7826086956521738</v>
      </c>
    </row>
    <row r="93" spans="1:30">
      <c r="A93" s="251"/>
      <c r="B93" s="23" t="s">
        <v>87</v>
      </c>
      <c r="C93" s="8">
        <f>COUNTIFS('Datos Bachillerato'!$E:$E,C$82,'Datos Bachillerato'!$I:$I,"&gt;=01/11/2023",'Datos Bachillerato'!$I:$I,"&lt;=30/11/2023")</f>
        <v>2</v>
      </c>
      <c r="D93" s="8">
        <f>COUNTIFS('Datos Bachillerato'!$E:$E,D$82,'Datos Bachillerato'!$I:$I,"&gt;=01/11/2023",'Datos Bachillerato'!$I:$I,"&lt;=30/11/2023")</f>
        <v>1</v>
      </c>
      <c r="E93" s="8">
        <f>COUNTIFS('Datos Bachillerato'!$E:$E,E$82,'Datos Bachillerato'!$I:$I,"&gt;=01/11/2023",'Datos Bachillerato'!$I:$I,"&lt;=30/11/2023")</f>
        <v>1</v>
      </c>
      <c r="F93" s="8">
        <f>COUNTIFS('Datos Bachillerato'!$E:$E,F$82,'Datos Bachillerato'!$I:$I,"&gt;=01/11/2023",'Datos Bachillerato'!$I:$I,"&lt;=30/11/2023")</f>
        <v>2</v>
      </c>
      <c r="G93" s="8">
        <f>COUNTIFS('Datos Bachillerato'!$E:$E,G$82,'Datos Bachillerato'!$I:$I,"&gt;=01/11/2023",'Datos Bachillerato'!$I:$I,"&lt;=30/11/2023")</f>
        <v>1</v>
      </c>
      <c r="H93" s="8">
        <f>COUNTIFS('Datos Bachillerato'!$E:$E,H$82,'Datos Bachillerato'!$I:$I,"&gt;=01/11/2023",'Datos Bachillerato'!$I:$I,"&lt;=30/11/2023")</f>
        <v>2</v>
      </c>
      <c r="I93" s="8">
        <f t="shared" si="25"/>
        <v>9</v>
      </c>
      <c r="K93" s="251"/>
      <c r="L93" s="23" t="s">
        <v>87</v>
      </c>
      <c r="M93" s="34">
        <f>SUM(C$83:C93)</f>
        <v>8</v>
      </c>
      <c r="N93" s="34">
        <f>SUM(D$83:D93)</f>
        <v>8</v>
      </c>
      <c r="O93" s="34">
        <f>SUM(E$83:E93)</f>
        <v>10</v>
      </c>
      <c r="P93" s="34">
        <f>SUM(F$83:F93)</f>
        <v>8</v>
      </c>
      <c r="Q93" s="34">
        <f>SUM(G$83:G93)</f>
        <v>9</v>
      </c>
      <c r="R93" s="34">
        <f>SUM(H$83:H93)</f>
        <v>7</v>
      </c>
      <c r="S93" s="8">
        <f t="shared" si="26"/>
        <v>50</v>
      </c>
      <c r="U93" s="251"/>
      <c r="V93" s="23" t="s">
        <v>87</v>
      </c>
      <c r="W93" s="34">
        <f>SUM(C$83:C93)</f>
        <v>8</v>
      </c>
      <c r="X93" s="34">
        <f>SUM(D$83:D93)</f>
        <v>8</v>
      </c>
      <c r="Y93" s="34">
        <f>SUM(E$83:E93)</f>
        <v>10</v>
      </c>
      <c r="Z93" s="34">
        <f>SUM(F$83:F93)</f>
        <v>8</v>
      </c>
      <c r="AA93" s="34">
        <f>SUM(G$83:G93)</f>
        <v>9</v>
      </c>
      <c r="AB93" s="34">
        <f>SUM(H$83:H93)</f>
        <v>7</v>
      </c>
      <c r="AC93" s="8">
        <f t="shared" si="27"/>
        <v>50</v>
      </c>
      <c r="AD93" s="64">
        <f t="shared" si="24"/>
        <v>1.9230769230769231</v>
      </c>
    </row>
    <row r="94" spans="1:30">
      <c r="A94" s="251"/>
      <c r="B94" s="23" t="s">
        <v>173</v>
      </c>
      <c r="C94" s="8">
        <f>COUNTIFS('Datos Bachillerato'!$E:$E,C$82,'Datos Bachillerato'!$I:$I,"&gt;=01/12/2023",'Datos Bachillerato'!$I:$I,"&lt;=31/12/2023")</f>
        <v>0</v>
      </c>
      <c r="D94" s="8">
        <f>COUNTIFS('Datos Bachillerato'!$E:$E,D$82,'Datos Bachillerato'!$I:$I,"&gt;=01/12/2023",'Datos Bachillerato'!$I:$I,"&lt;=31/12/2023")</f>
        <v>0</v>
      </c>
      <c r="E94" s="8">
        <f>COUNTIFS('Datos Bachillerato'!$E:$E,E$82,'Datos Bachillerato'!$I:$I,"&gt;=01/12/2023",'Datos Bachillerato'!$I:$I,"&lt;=31/12/2023")</f>
        <v>0</v>
      </c>
      <c r="F94" s="8">
        <f>COUNTIFS('Datos Bachillerato'!$E:$E,F$82,'Datos Bachillerato'!$I:$I,"&gt;=01/12/2023",'Datos Bachillerato'!$I:$I,"&lt;=31/12/2023")</f>
        <v>0</v>
      </c>
      <c r="G94" s="8">
        <f>COUNTIFS('Datos Bachillerato'!$E:$E,G$82,'Datos Bachillerato'!$I:$I,"&gt;=01/12/2023",'Datos Bachillerato'!$I:$I,"&lt;=31/12/2023")</f>
        <v>0</v>
      </c>
      <c r="H94" s="8">
        <f>COUNTIFS('Datos Bachillerato'!$E:$E,H$82,'Datos Bachillerato'!$I:$I,"&gt;=01/12/2023",'Datos Bachillerato'!$I:$I,"&lt;=31/12/2023")</f>
        <v>0</v>
      </c>
      <c r="I94" s="8">
        <f t="shared" si="25"/>
        <v>0</v>
      </c>
      <c r="K94" s="251"/>
      <c r="L94" s="23" t="s">
        <v>173</v>
      </c>
      <c r="M94" s="34">
        <f>SUM(C$83:C94)</f>
        <v>8</v>
      </c>
      <c r="N94" s="34">
        <f>SUM(D$83:D94)</f>
        <v>8</v>
      </c>
      <c r="O94" s="34">
        <f>SUM(E$83:E94)</f>
        <v>10</v>
      </c>
      <c r="P94" s="34">
        <f>SUM(F$83:F94)</f>
        <v>8</v>
      </c>
      <c r="Q94" s="34">
        <f>SUM(G$83:G94)</f>
        <v>9</v>
      </c>
      <c r="R94" s="34">
        <f>SUM(H$83:H94)</f>
        <v>7</v>
      </c>
      <c r="S94" s="8">
        <f t="shared" si="26"/>
        <v>50</v>
      </c>
      <c r="U94" s="251"/>
      <c r="V94" s="23" t="s">
        <v>173</v>
      </c>
      <c r="W94" s="34">
        <f>SUM(C$83:C94)</f>
        <v>8</v>
      </c>
      <c r="X94" s="34">
        <f>SUM(D$83:D94)</f>
        <v>8</v>
      </c>
      <c r="Y94" s="34">
        <f>SUM(E$83:E94)</f>
        <v>10</v>
      </c>
      <c r="Z94" s="34">
        <f>SUM(F$83:F94)</f>
        <v>8</v>
      </c>
      <c r="AA94" s="34">
        <f>SUM(G$83:G94)</f>
        <v>9</v>
      </c>
      <c r="AB94" s="34">
        <f>SUM(H$83:H94)</f>
        <v>7</v>
      </c>
      <c r="AC94" s="8">
        <f t="shared" si="27"/>
        <v>50</v>
      </c>
      <c r="AD94" s="64">
        <f t="shared" si="24"/>
        <v>1.8518518518518519</v>
      </c>
    </row>
    <row r="95" spans="1:30" ht="14.45" customHeight="1">
      <c r="A95" s="251">
        <f>A15</f>
        <v>2024</v>
      </c>
      <c r="B95" s="23" t="s">
        <v>13</v>
      </c>
      <c r="C95" s="8">
        <f>COUNTIFS('Datos Bachillerato'!$E:$E,C$82,'Datos Bachillerato'!$I:$I,"&gt;=01/01/2024",'Datos Bachillerato'!$I:$I,"&lt;=31/01/2024")</f>
        <v>2</v>
      </c>
      <c r="D95" s="8">
        <f>COUNTIFS('Datos Bachillerato'!$E:$E,D$82,'Datos Bachillerato'!$I:$I,"&gt;=01/01/2024",'Datos Bachillerato'!$I:$I,"&lt;=31/01/2024")</f>
        <v>0</v>
      </c>
      <c r="E95" s="8">
        <f>COUNTIFS('Datos Bachillerato'!$E:$E,E$82,'Datos Bachillerato'!$I:$I,"&gt;=01/01/2024",'Datos Bachillerato'!$I:$I,"&lt;=31/01/2024")</f>
        <v>5</v>
      </c>
      <c r="F95" s="8">
        <f>COUNTIFS('Datos Bachillerato'!$E:$E,F$82,'Datos Bachillerato'!$I:$I,"&gt;=01/01/2024",'Datos Bachillerato'!$I:$I,"&lt;=31/01/2024")</f>
        <v>3</v>
      </c>
      <c r="G95" s="8">
        <f>COUNTIFS('Datos Bachillerato'!$E:$E,G$82,'Datos Bachillerato'!$I:$I,"&gt;=01/01/2024",'Datos Bachillerato'!$I:$I,"&lt;=31/01/2024")</f>
        <v>3</v>
      </c>
      <c r="H95" s="8">
        <f>COUNTIFS('Datos Bachillerato'!$E:$E,H$82,'Datos Bachillerato'!$I:$I,"&gt;=01/01/2024",'Datos Bachillerato'!$I:$I,"&lt;=31/01/2024")</f>
        <v>0</v>
      </c>
      <c r="I95" s="8">
        <f t="shared" ref="I95:I106" si="28">SUM(C95:H95)</f>
        <v>13</v>
      </c>
      <c r="K95" s="251">
        <f>A95</f>
        <v>2024</v>
      </c>
      <c r="L95" s="23" t="s">
        <v>13</v>
      </c>
      <c r="M95" s="34">
        <f>SUM(C$95:C95)</f>
        <v>2</v>
      </c>
      <c r="N95" s="34">
        <f>SUM(D$95:D95)</f>
        <v>0</v>
      </c>
      <c r="O95" s="34">
        <f>SUM(E$95:E95)</f>
        <v>5</v>
      </c>
      <c r="P95" s="34">
        <f>SUM(F$95:F95)</f>
        <v>3</v>
      </c>
      <c r="Q95" s="34">
        <f>SUM(G$95:G95)</f>
        <v>3</v>
      </c>
      <c r="R95" s="34">
        <f>SUM(H$95:H95)</f>
        <v>0</v>
      </c>
      <c r="S95" s="8">
        <f t="shared" ref="S95:S106" si="29">SUM(M95:R95)</f>
        <v>13</v>
      </c>
      <c r="U95" s="251">
        <f>A95</f>
        <v>2024</v>
      </c>
      <c r="V95" s="23" t="s">
        <v>13</v>
      </c>
      <c r="W95" s="34">
        <f>SUM(C$83:C95)</f>
        <v>10</v>
      </c>
      <c r="X95" s="34">
        <f>SUM(D$83:D95)</f>
        <v>8</v>
      </c>
      <c r="Y95" s="34">
        <f>SUM(E$83:E95)</f>
        <v>15</v>
      </c>
      <c r="Z95" s="34">
        <f>SUM(F$83:F95)</f>
        <v>11</v>
      </c>
      <c r="AA95" s="34">
        <f>SUM(G$83:G95)</f>
        <v>12</v>
      </c>
      <c r="AB95" s="34">
        <f>SUM(H$83:H95)</f>
        <v>7</v>
      </c>
      <c r="AC95" s="8">
        <f t="shared" ref="AC95:AC106" si="30">SUM(W95:AB95)</f>
        <v>63</v>
      </c>
      <c r="AD95" s="64">
        <f t="shared" si="24"/>
        <v>2.032258064516129</v>
      </c>
    </row>
    <row r="96" spans="1:30">
      <c r="A96" s="251"/>
      <c r="B96" s="23" t="s">
        <v>24</v>
      </c>
      <c r="C96" s="8">
        <f>COUNTIFS('Datos Bachillerato'!$E:$E,C$82,'Datos Bachillerato'!$I:$I,"&gt;=01/02/2024",'Datos Bachillerato'!$I:$I,"&lt;=29/02/2024")</f>
        <v>0</v>
      </c>
      <c r="D96" s="8">
        <f>COUNTIFS('Datos Bachillerato'!$E:$E,D$82,'Datos Bachillerato'!$I:$I,"&gt;=01/02/2024",'Datos Bachillerato'!$I:$I,"&lt;=29/02/2024")</f>
        <v>2</v>
      </c>
      <c r="E96" s="8">
        <f>COUNTIFS('Datos Bachillerato'!$E:$E,E$82,'Datos Bachillerato'!$I:$I,"&gt;=01/02/2024",'Datos Bachillerato'!$I:$I,"&lt;=29/02/2024")</f>
        <v>0</v>
      </c>
      <c r="F96" s="8">
        <f>COUNTIFS('Datos Bachillerato'!$E:$E,F$82,'Datos Bachillerato'!$I:$I,"&gt;=01/02/2024",'Datos Bachillerato'!$I:$I,"&lt;=29/02/2024")</f>
        <v>0</v>
      </c>
      <c r="G96" s="8">
        <f>COUNTIFS('Datos Bachillerato'!$E:$E,G$82,'Datos Bachillerato'!$I:$I,"&gt;=01/02/2024",'Datos Bachillerato'!$I:$I,"&lt;=29/02/2024")</f>
        <v>1</v>
      </c>
      <c r="H96" s="8">
        <f>COUNTIFS('Datos Bachillerato'!$E:$E,H$82,'Datos Bachillerato'!$I:$I,"&gt;=01/02/2024",'Datos Bachillerato'!$I:$I,"&lt;=29/02/2024")</f>
        <v>1</v>
      </c>
      <c r="I96" s="8">
        <f t="shared" si="28"/>
        <v>4</v>
      </c>
      <c r="K96" s="251"/>
      <c r="L96" s="23" t="s">
        <v>24</v>
      </c>
      <c r="M96" s="34">
        <f>SUM(C$95:C96)</f>
        <v>2</v>
      </c>
      <c r="N96" s="34">
        <f>SUM(D$95:D96)</f>
        <v>2</v>
      </c>
      <c r="O96" s="34">
        <f>SUM(E$95:E96)</f>
        <v>5</v>
      </c>
      <c r="P96" s="34">
        <f>SUM(F$95:F96)</f>
        <v>3</v>
      </c>
      <c r="Q96" s="34">
        <f>SUM(G$95:G96)</f>
        <v>4</v>
      </c>
      <c r="R96" s="34">
        <f>SUM(H$95:H96)</f>
        <v>1</v>
      </c>
      <c r="S96" s="8">
        <f t="shared" si="29"/>
        <v>17</v>
      </c>
      <c r="U96" s="251"/>
      <c r="V96" s="23" t="s">
        <v>24</v>
      </c>
      <c r="W96" s="34">
        <f>SUM(C$83:C96)</f>
        <v>10</v>
      </c>
      <c r="X96" s="34">
        <f>SUM(D$83:D96)</f>
        <v>10</v>
      </c>
      <c r="Y96" s="34">
        <f>SUM(E$83:E96)</f>
        <v>15</v>
      </c>
      <c r="Z96" s="34">
        <f>SUM(F$83:F96)</f>
        <v>11</v>
      </c>
      <c r="AA96" s="34">
        <f>SUM(G$83:G96)</f>
        <v>13</v>
      </c>
      <c r="AB96" s="34">
        <f>SUM(H$83:H96)</f>
        <v>8</v>
      </c>
      <c r="AC96" s="8">
        <f t="shared" si="30"/>
        <v>67</v>
      </c>
      <c r="AD96" s="64">
        <f t="shared" si="24"/>
        <v>1.763157894736842</v>
      </c>
    </row>
    <row r="97" spans="1:30">
      <c r="A97" s="251"/>
      <c r="B97" s="23" t="s">
        <v>34</v>
      </c>
      <c r="C97" s="8">
        <f>COUNTIFS('Datos Bachillerato'!$E:$E,C$82,'Datos Bachillerato'!$I:$I,"&gt;=01/03/2024",'Datos Bachillerato'!$I:$I,"&lt;=31/03/2024")</f>
        <v>0</v>
      </c>
      <c r="D97" s="8">
        <f>COUNTIFS('Datos Bachillerato'!$E:$E,D$82,'Datos Bachillerato'!$I:$I,"&gt;=01/03/2024",'Datos Bachillerato'!$I:$I,"&lt;=31/03/2024")</f>
        <v>0</v>
      </c>
      <c r="E97" s="8">
        <f>COUNTIFS('Datos Bachillerato'!$E:$E,E$82,'Datos Bachillerato'!$I:$I,"&gt;=01/03/2024",'Datos Bachillerato'!$I:$I,"&lt;=31/03/2024")</f>
        <v>1</v>
      </c>
      <c r="F97" s="8">
        <f>COUNTIFS('Datos Bachillerato'!$E:$E,F$82,'Datos Bachillerato'!$I:$I,"&gt;=01/03/2024",'Datos Bachillerato'!$I:$I,"&lt;=31/03/2024")</f>
        <v>0</v>
      </c>
      <c r="G97" s="8">
        <f>COUNTIFS('Datos Bachillerato'!$E:$E,G$82,'Datos Bachillerato'!$I:$I,"&gt;=01/03/2024",'Datos Bachillerato'!$I:$I,"&lt;=31/03/2024")</f>
        <v>0</v>
      </c>
      <c r="H97" s="8">
        <f>COUNTIFS('Datos Bachillerato'!$E:$E,H$82,'Datos Bachillerato'!$I:$I,"&gt;=01/03/2024",'Datos Bachillerato'!$I:$I,"&lt;=31/03/2024")</f>
        <v>0</v>
      </c>
      <c r="I97" s="8">
        <f t="shared" si="28"/>
        <v>1</v>
      </c>
      <c r="K97" s="251"/>
      <c r="L97" s="23" t="s">
        <v>34</v>
      </c>
      <c r="M97" s="34">
        <f>SUM(C$95:C97)</f>
        <v>2</v>
      </c>
      <c r="N97" s="34">
        <f>SUM(D$95:D97)</f>
        <v>2</v>
      </c>
      <c r="O97" s="34">
        <f>SUM(E$95:E97)</f>
        <v>6</v>
      </c>
      <c r="P97" s="34">
        <f>SUM(F$95:F97)</f>
        <v>3</v>
      </c>
      <c r="Q97" s="34">
        <f>SUM(G$95:G97)</f>
        <v>4</v>
      </c>
      <c r="R97" s="34">
        <f>SUM(H$95:H97)</f>
        <v>1</v>
      </c>
      <c r="S97" s="8">
        <f t="shared" si="29"/>
        <v>18</v>
      </c>
      <c r="U97" s="251"/>
      <c r="V97" s="23" t="s">
        <v>34</v>
      </c>
      <c r="W97" s="34">
        <f>SUM(C$83:C97)</f>
        <v>10</v>
      </c>
      <c r="X97" s="34">
        <f>SUM(D$83:D97)</f>
        <v>10</v>
      </c>
      <c r="Y97" s="34">
        <f>SUM(E$83:E97)</f>
        <v>16</v>
      </c>
      <c r="Z97" s="34">
        <f>SUM(F$83:F97)</f>
        <v>11</v>
      </c>
      <c r="AA97" s="34">
        <f>SUM(G$83:G97)</f>
        <v>13</v>
      </c>
      <c r="AB97" s="34">
        <f>SUM(H$83:H97)</f>
        <v>8</v>
      </c>
      <c r="AC97" s="8">
        <f t="shared" si="30"/>
        <v>68</v>
      </c>
      <c r="AD97" s="64">
        <f t="shared" si="24"/>
        <v>1.7</v>
      </c>
    </row>
    <row r="98" spans="1:30">
      <c r="A98" s="251"/>
      <c r="B98" s="23" t="s">
        <v>38</v>
      </c>
      <c r="C98" s="8">
        <f>COUNTIFS('Datos Bachillerato'!$E:$E,C$82,'Datos Bachillerato'!$I:$I,"&gt;=01/04/2024",'Datos Bachillerato'!$I:$I,"&lt;=30/04/2024")</f>
        <v>1</v>
      </c>
      <c r="D98" s="8">
        <f>COUNTIFS('Datos Bachillerato'!$E:$E,D$82,'Datos Bachillerato'!$I:$I,"&gt;=01/04/2024",'Datos Bachillerato'!$I:$I,"&lt;=30/04/2024")</f>
        <v>0</v>
      </c>
      <c r="E98" s="8">
        <f>COUNTIFS('Datos Bachillerato'!$E:$E,E$82,'Datos Bachillerato'!$I:$I,"&gt;=01/04/2024",'Datos Bachillerato'!$I:$I,"&lt;=30/04/2024")</f>
        <v>0</v>
      </c>
      <c r="F98" s="8">
        <f>COUNTIFS('Datos Bachillerato'!$E:$E,F$82,'Datos Bachillerato'!$I:$I,"&gt;=01/04/2024",'Datos Bachillerato'!$I:$I,"&lt;=30/04/2024")</f>
        <v>0</v>
      </c>
      <c r="G98" s="8">
        <f>COUNTIFS('Datos Bachillerato'!$E:$E,G$82,'Datos Bachillerato'!$I:$I,"&gt;=01/04/2024",'Datos Bachillerato'!$I:$I,"&lt;=30/04/2024")</f>
        <v>2</v>
      </c>
      <c r="H98" s="8">
        <f>COUNTIFS('Datos Bachillerato'!$E:$E,H$82,'Datos Bachillerato'!$I:$I,"&gt;=01/04/2024",'Datos Bachillerato'!$I:$I,"&lt;=30/04/2024")</f>
        <v>0</v>
      </c>
      <c r="I98" s="8">
        <f t="shared" si="28"/>
        <v>3</v>
      </c>
      <c r="K98" s="251"/>
      <c r="L98" s="23" t="s">
        <v>38</v>
      </c>
      <c r="M98" s="34">
        <f>SUM(C$95:C98)</f>
        <v>3</v>
      </c>
      <c r="N98" s="34">
        <f>SUM(D$95:D98)</f>
        <v>2</v>
      </c>
      <c r="O98" s="34">
        <f>SUM(E$95:E98)</f>
        <v>6</v>
      </c>
      <c r="P98" s="34">
        <f>SUM(F$95:F98)</f>
        <v>3</v>
      </c>
      <c r="Q98" s="34">
        <f>SUM(G$95:G98)</f>
        <v>6</v>
      </c>
      <c r="R98" s="34">
        <f>SUM(H$95:H98)</f>
        <v>1</v>
      </c>
      <c r="S98" s="8">
        <f t="shared" si="29"/>
        <v>21</v>
      </c>
      <c r="U98" s="251"/>
      <c r="V98" s="23" t="s">
        <v>38</v>
      </c>
      <c r="W98" s="34">
        <f>SUM(C$83:C98)</f>
        <v>11</v>
      </c>
      <c r="X98" s="34">
        <f>SUM(D$83:D98)</f>
        <v>10</v>
      </c>
      <c r="Y98" s="34">
        <f>SUM(E$83:E98)</f>
        <v>16</v>
      </c>
      <c r="Z98" s="34">
        <f>SUM(F$83:F98)</f>
        <v>11</v>
      </c>
      <c r="AA98" s="34">
        <f>SUM(G$83:G98)</f>
        <v>15</v>
      </c>
      <c r="AB98" s="34">
        <f>SUM(H$83:H98)</f>
        <v>8</v>
      </c>
      <c r="AC98" s="8">
        <f t="shared" si="30"/>
        <v>71</v>
      </c>
      <c r="AD98" s="64">
        <f t="shared" si="24"/>
        <v>1.7749999999999999</v>
      </c>
    </row>
    <row r="99" spans="1:30">
      <c r="A99" s="251"/>
      <c r="B99" s="23" t="s">
        <v>47</v>
      </c>
      <c r="C99" s="8">
        <f>COUNTIFS('Datos Bachillerato'!$E:$E,C$82,'Datos Bachillerato'!$I:$I,"&gt;=01/05/2024",'Datos Bachillerato'!$I:$I,"&lt;=31/05/2024")</f>
        <v>0</v>
      </c>
      <c r="D99" s="8">
        <f>COUNTIFS('Datos Bachillerato'!$E:$E,D$82,'Datos Bachillerato'!$I:$I,"&gt;=01/05/2024",'Datos Bachillerato'!$I:$I,"&lt;=31/05/2024")</f>
        <v>0</v>
      </c>
      <c r="E99" s="8">
        <f>COUNTIFS('Datos Bachillerato'!$E:$E,E$82,'Datos Bachillerato'!$I:$I,"&gt;=01/05/2024",'Datos Bachillerato'!$I:$I,"&lt;=31/05/2024")</f>
        <v>1</v>
      </c>
      <c r="F99" s="8">
        <f>COUNTIFS('Datos Bachillerato'!$E:$E,F$82,'Datos Bachillerato'!$I:$I,"&gt;=01/05/2024",'Datos Bachillerato'!$I:$I,"&lt;=31/05/2024")</f>
        <v>0</v>
      </c>
      <c r="G99" s="8">
        <f>COUNTIFS('Datos Bachillerato'!$E:$E,G$82,'Datos Bachillerato'!$I:$I,"&gt;=01/05/2024",'Datos Bachillerato'!$I:$I,"&lt;=31/05/2024")</f>
        <v>1</v>
      </c>
      <c r="H99" s="8">
        <f>COUNTIFS('Datos Bachillerato'!$E:$E,H$82,'Datos Bachillerato'!$I:$I,"&gt;=01/05/2024",'Datos Bachillerato'!$I:$I,"&lt;=31/05/2024")</f>
        <v>1</v>
      </c>
      <c r="I99" s="8">
        <f t="shared" si="28"/>
        <v>3</v>
      </c>
      <c r="K99" s="251"/>
      <c r="L99" s="23" t="s">
        <v>47</v>
      </c>
      <c r="M99" s="34">
        <f>SUM(C$95:C99)</f>
        <v>3</v>
      </c>
      <c r="N99" s="34">
        <f>SUM(D$95:D99)</f>
        <v>2</v>
      </c>
      <c r="O99" s="34">
        <f>SUM(E$95:E99)</f>
        <v>7</v>
      </c>
      <c r="P99" s="34">
        <f>SUM(F$95:F99)</f>
        <v>3</v>
      </c>
      <c r="Q99" s="34">
        <f>SUM(G$95:G99)</f>
        <v>7</v>
      </c>
      <c r="R99" s="34">
        <f>SUM(H$95:H99)</f>
        <v>2</v>
      </c>
      <c r="S99" s="8">
        <f t="shared" si="29"/>
        <v>24</v>
      </c>
      <c r="U99" s="251"/>
      <c r="V99" s="23" t="s">
        <v>47</v>
      </c>
      <c r="W99" s="34">
        <f>SUM(C$83:C99)</f>
        <v>11</v>
      </c>
      <c r="X99" s="34">
        <f>SUM(D$83:D99)</f>
        <v>10</v>
      </c>
      <c r="Y99" s="34">
        <f>SUM(E$83:E99)</f>
        <v>17</v>
      </c>
      <c r="Z99" s="34">
        <f>SUM(F$83:F99)</f>
        <v>11</v>
      </c>
      <c r="AA99" s="34">
        <f>SUM(G$83:G99)</f>
        <v>16</v>
      </c>
      <c r="AB99" s="34">
        <f>SUM(H$83:H99)</f>
        <v>9</v>
      </c>
      <c r="AC99" s="8">
        <f t="shared" si="30"/>
        <v>74</v>
      </c>
      <c r="AD99" s="64">
        <f t="shared" si="24"/>
        <v>1.8048780487804879</v>
      </c>
    </row>
    <row r="100" spans="1:30">
      <c r="A100" s="251"/>
      <c r="B100" s="23" t="s">
        <v>57</v>
      </c>
      <c r="C100" s="8">
        <f>COUNTIFS('Datos Bachillerato'!$E:$E,C$82,'Datos Bachillerato'!$I:$I,"&gt;=01/06/2024",'Datos Bachillerato'!$I:$I,"&lt;=30/06/2024")</f>
        <v>0</v>
      </c>
      <c r="D100" s="8">
        <f>COUNTIFS('Datos Bachillerato'!$E:$E,D$82,'Datos Bachillerato'!$I:$I,"&gt;=01/06/2024",'Datos Bachillerato'!$I:$I,"&lt;=30/06/2024")</f>
        <v>0</v>
      </c>
      <c r="E100" s="8">
        <f>COUNTIFS('Datos Bachillerato'!$E:$E,E$82,'Datos Bachillerato'!$I:$I,"&gt;=01/06/2024",'Datos Bachillerato'!$I:$I,"&lt;=30/06/2024")</f>
        <v>0</v>
      </c>
      <c r="F100" s="8">
        <f>COUNTIFS('Datos Bachillerato'!$E:$E,F$82,'Datos Bachillerato'!$I:$I,"&gt;=01/06/2024",'Datos Bachillerato'!$I:$I,"&lt;=30/06/2024")</f>
        <v>0</v>
      </c>
      <c r="G100" s="8">
        <f>COUNTIFS('Datos Bachillerato'!$E:$E,G$82,'Datos Bachillerato'!$I:$I,"&gt;=01/06/2024",'Datos Bachillerato'!$I:$I,"&lt;=30/06/2024")</f>
        <v>1</v>
      </c>
      <c r="H100" s="8">
        <f>COUNTIFS('Datos Bachillerato'!$E:$E,H$82,'Datos Bachillerato'!$I:$I,"&gt;=01/06/2024",'Datos Bachillerato'!$I:$I,"&lt;=30/06/2024")</f>
        <v>0</v>
      </c>
      <c r="I100" s="8">
        <f t="shared" si="28"/>
        <v>1</v>
      </c>
      <c r="K100" s="251"/>
      <c r="L100" s="23" t="s">
        <v>57</v>
      </c>
      <c r="M100" s="34">
        <f>SUM(C$95:C100)</f>
        <v>3</v>
      </c>
      <c r="N100" s="34">
        <f>SUM(D$95:D100)</f>
        <v>2</v>
      </c>
      <c r="O100" s="34">
        <f>SUM(E$95:E100)</f>
        <v>7</v>
      </c>
      <c r="P100" s="34">
        <f>SUM(F$95:F100)</f>
        <v>3</v>
      </c>
      <c r="Q100" s="34">
        <f>SUM(G$95:G100)</f>
        <v>8</v>
      </c>
      <c r="R100" s="34">
        <f>SUM(H$95:H100)</f>
        <v>2</v>
      </c>
      <c r="S100" s="8">
        <f t="shared" si="29"/>
        <v>25</v>
      </c>
      <c r="U100" s="251"/>
      <c r="V100" s="23" t="s">
        <v>57</v>
      </c>
      <c r="W100" s="34">
        <f>SUM(C$83:C100)</f>
        <v>11</v>
      </c>
      <c r="X100" s="34">
        <f>SUM(D$83:D100)</f>
        <v>10</v>
      </c>
      <c r="Y100" s="34">
        <f>SUM(E$83:E100)</f>
        <v>17</v>
      </c>
      <c r="Z100" s="34">
        <f>SUM(F$83:F100)</f>
        <v>11</v>
      </c>
      <c r="AA100" s="34">
        <f>SUM(G$83:G100)</f>
        <v>17</v>
      </c>
      <c r="AB100" s="34">
        <f>SUM(H$83:H100)</f>
        <v>9</v>
      </c>
      <c r="AC100" s="8">
        <f t="shared" si="30"/>
        <v>75</v>
      </c>
      <c r="AD100" s="64">
        <f t="shared" si="24"/>
        <v>1.8292682926829269</v>
      </c>
    </row>
    <row r="101" spans="1:30">
      <c r="A101" s="251"/>
      <c r="B101" s="23" t="s">
        <v>62</v>
      </c>
      <c r="C101" s="8">
        <f>COUNTIFS('Datos Bachillerato'!$E:$E,C$82,'Datos Bachillerato'!$I:$I,"&gt;=01/07/2024",'Datos Bachillerato'!$I:$I,"&lt;=31/07/2024")</f>
        <v>0</v>
      </c>
      <c r="D101" s="8">
        <f>COUNTIFS('Datos Bachillerato'!$E:$E,D$82,'Datos Bachillerato'!$I:$I,"&gt;=01/07/2024",'Datos Bachillerato'!$I:$I,"&lt;=31/07/2024")</f>
        <v>0</v>
      </c>
      <c r="E101" s="8">
        <f>COUNTIFS('Datos Bachillerato'!$E:$E,E$82,'Datos Bachillerato'!$I:$I,"&gt;=01/07/2024",'Datos Bachillerato'!$I:$I,"&lt;=31/07/2024")</f>
        <v>3</v>
      </c>
      <c r="F101" s="8">
        <f>COUNTIFS('Datos Bachillerato'!$E:$E,F$82,'Datos Bachillerato'!$I:$I,"&gt;=01/07/2024",'Datos Bachillerato'!$I:$I,"&lt;=31/07/2024")</f>
        <v>0</v>
      </c>
      <c r="G101" s="8">
        <f>COUNTIFS('Datos Bachillerato'!$E:$E,G$82,'Datos Bachillerato'!$I:$I,"&gt;=01/07/2024",'Datos Bachillerato'!$I:$I,"&lt;=31/07/2024")</f>
        <v>0</v>
      </c>
      <c r="H101" s="8">
        <f>COUNTIFS('Datos Bachillerato'!$E:$E,H$82,'Datos Bachillerato'!$I:$I,"&gt;=01/07/2024",'Datos Bachillerato'!$I:$I,"&lt;=31/07/2024")</f>
        <v>0</v>
      </c>
      <c r="I101" s="8">
        <f t="shared" si="28"/>
        <v>3</v>
      </c>
      <c r="K101" s="251"/>
      <c r="L101" s="23" t="s">
        <v>62</v>
      </c>
      <c r="M101" s="34">
        <f>SUM(C$95:C101)</f>
        <v>3</v>
      </c>
      <c r="N101" s="34">
        <f>SUM(D$95:D101)</f>
        <v>2</v>
      </c>
      <c r="O101" s="34">
        <f>SUM(E$95:E101)</f>
        <v>10</v>
      </c>
      <c r="P101" s="34">
        <f>SUM(F$95:F101)</f>
        <v>3</v>
      </c>
      <c r="Q101" s="34">
        <f>SUM(G$95:G101)</f>
        <v>8</v>
      </c>
      <c r="R101" s="34">
        <f>SUM(H$95:H101)</f>
        <v>2</v>
      </c>
      <c r="S101" s="8">
        <f t="shared" si="29"/>
        <v>28</v>
      </c>
      <c r="U101" s="251"/>
      <c r="V101" s="23" t="s">
        <v>62</v>
      </c>
      <c r="W101" s="34">
        <f>SUM(C$83:C101)</f>
        <v>11</v>
      </c>
      <c r="X101" s="34">
        <f>SUM(D$83:D101)</f>
        <v>10</v>
      </c>
      <c r="Y101" s="34">
        <f>SUM(E$83:E101)</f>
        <v>20</v>
      </c>
      <c r="Z101" s="34">
        <f>SUM(F$83:F101)</f>
        <v>11</v>
      </c>
      <c r="AA101" s="34">
        <f>SUM(G$83:G101)</f>
        <v>17</v>
      </c>
      <c r="AB101" s="34">
        <f>SUM(H$83:H101)</f>
        <v>9</v>
      </c>
      <c r="AC101" s="8">
        <f t="shared" si="30"/>
        <v>78</v>
      </c>
      <c r="AD101" s="65">
        <f t="shared" si="24"/>
        <v>1.8571428571428572</v>
      </c>
    </row>
    <row r="102" spans="1:30">
      <c r="A102" s="251"/>
      <c r="B102" s="23" t="s">
        <v>68</v>
      </c>
      <c r="C102" s="8">
        <f>COUNTIFS('Datos Bachillerato'!$E:$E,C$82,'Datos Bachillerato'!$I:$I,"&gt;=01/08/2024",'Datos Bachillerato'!$I:$I,"&lt;=31/08/2024")</f>
        <v>1</v>
      </c>
      <c r="D102" s="8">
        <f>COUNTIFS('Datos Bachillerato'!$E:$E,D$82,'Datos Bachillerato'!$I:$I,"&gt;=01/08/2024",'Datos Bachillerato'!$I:$I,"&lt;=31/08/2024")</f>
        <v>0</v>
      </c>
      <c r="E102" s="8">
        <f>COUNTIFS('Datos Bachillerato'!$E:$E,E$82,'Datos Bachillerato'!$I:$I,"&gt;=01/08/2024",'Datos Bachillerato'!$I:$I,"&lt;=31/08/2024")</f>
        <v>1</v>
      </c>
      <c r="F102" s="8">
        <f>COUNTIFS('Datos Bachillerato'!$E:$E,F$82,'Datos Bachillerato'!$I:$I,"&gt;=01/08/2024",'Datos Bachillerato'!$I:$I,"&lt;=31/08/2024")</f>
        <v>2</v>
      </c>
      <c r="G102" s="8">
        <f>COUNTIFS('Datos Bachillerato'!$E:$E,G$82,'Datos Bachillerato'!$I:$I,"&gt;=01/08/2024",'Datos Bachillerato'!$I:$I,"&lt;=31/08/2024")</f>
        <v>0</v>
      </c>
      <c r="H102" s="8">
        <f>COUNTIFS('Datos Bachillerato'!$E:$E,H$82,'Datos Bachillerato'!$I:$I,"&gt;=01/08/2024",'Datos Bachillerato'!$I:$I,"&lt;=31/08/2024")</f>
        <v>0</v>
      </c>
      <c r="I102" s="8">
        <f t="shared" si="28"/>
        <v>4</v>
      </c>
      <c r="K102" s="251"/>
      <c r="L102" s="23" t="s">
        <v>68</v>
      </c>
      <c r="M102" s="34">
        <f>SUM(C$95:C102)</f>
        <v>4</v>
      </c>
      <c r="N102" s="34">
        <f>SUM(D$95:D102)</f>
        <v>2</v>
      </c>
      <c r="O102" s="34">
        <f>SUM(E$95:E102)</f>
        <v>11</v>
      </c>
      <c r="P102" s="34">
        <f>SUM(F$95:F102)</f>
        <v>5</v>
      </c>
      <c r="Q102" s="34">
        <f>SUM(G$95:G102)</f>
        <v>8</v>
      </c>
      <c r="R102" s="34">
        <f>SUM(H$95:H102)</f>
        <v>2</v>
      </c>
      <c r="S102" s="8">
        <f t="shared" si="29"/>
        <v>32</v>
      </c>
      <c r="U102" s="251"/>
      <c r="V102" s="23" t="s">
        <v>68</v>
      </c>
      <c r="W102" s="34">
        <f>SUM(C$83:C102)</f>
        <v>12</v>
      </c>
      <c r="X102" s="34">
        <f>SUM(D$83:D102)</f>
        <v>10</v>
      </c>
      <c r="Y102" s="34">
        <f>SUM(E$83:E102)</f>
        <v>21</v>
      </c>
      <c r="Z102" s="34">
        <f>SUM(F$83:F102)</f>
        <v>13</v>
      </c>
      <c r="AA102" s="34">
        <f>SUM(G$83:G102)</f>
        <v>17</v>
      </c>
      <c r="AB102" s="34">
        <f>SUM(H$83:H102)</f>
        <v>9</v>
      </c>
      <c r="AC102" s="8">
        <f t="shared" si="30"/>
        <v>82</v>
      </c>
      <c r="AD102" s="64">
        <f t="shared" si="24"/>
        <v>1.9523809523809523</v>
      </c>
    </row>
    <row r="103" spans="1:30">
      <c r="A103" s="251"/>
      <c r="B103" s="23" t="s">
        <v>77</v>
      </c>
      <c r="C103" s="8">
        <f>COUNTIFS('Datos Bachillerato'!$E:$E,C$82,'Datos Bachillerato'!$I:$I,"&gt;=01/09/2024",'Datos Bachillerato'!$I:$I,"&lt;=30/09/2024")</f>
        <v>0</v>
      </c>
      <c r="D103" s="8">
        <f>COUNTIFS('Datos Bachillerato'!$E:$E,D$82,'Datos Bachillerato'!$I:$I,"&gt;=01/09/2024",'Datos Bachillerato'!$I:$I,"&lt;=30/09/2024")</f>
        <v>0</v>
      </c>
      <c r="E103" s="8">
        <f>COUNTIFS('Datos Bachillerato'!$E:$E,E$82,'Datos Bachillerato'!$I:$I,"&gt;=01/09/2024",'Datos Bachillerato'!$I:$I,"&lt;=30/09/2024")</f>
        <v>1</v>
      </c>
      <c r="F103" s="8">
        <f>COUNTIFS('Datos Bachillerato'!$E:$E,F$82,'Datos Bachillerato'!$I:$I,"&gt;=01/09/2024",'Datos Bachillerato'!$I:$I,"&lt;=30/09/2024")</f>
        <v>0</v>
      </c>
      <c r="G103" s="8">
        <f>COUNTIFS('Datos Bachillerato'!$E:$E,G$82,'Datos Bachillerato'!$I:$I,"&gt;=01/09/2024",'Datos Bachillerato'!$I:$I,"&lt;=30/09/2024")</f>
        <v>1</v>
      </c>
      <c r="H103" s="8">
        <f>COUNTIFS('Datos Bachillerato'!$E:$E,H$82,'Datos Bachillerato'!$I:$I,"&gt;=01/09/2024",'Datos Bachillerato'!$I:$I,"&lt;=30/09/2024")</f>
        <v>0</v>
      </c>
      <c r="I103" s="8">
        <f t="shared" si="28"/>
        <v>2</v>
      </c>
      <c r="K103" s="251"/>
      <c r="L103" s="23" t="s">
        <v>77</v>
      </c>
      <c r="M103" s="34">
        <f>SUM(C$95:C103)</f>
        <v>4</v>
      </c>
      <c r="N103" s="34">
        <f>SUM(D$95:D103)</f>
        <v>2</v>
      </c>
      <c r="O103" s="34">
        <f>SUM(E$95:E103)</f>
        <v>12</v>
      </c>
      <c r="P103" s="34">
        <f>SUM(F$95:F103)</f>
        <v>5</v>
      </c>
      <c r="Q103" s="34">
        <f>SUM(G$95:G103)</f>
        <v>9</v>
      </c>
      <c r="R103" s="34">
        <f>SUM(H$95:H103)</f>
        <v>2</v>
      </c>
      <c r="S103" s="8">
        <f t="shared" si="29"/>
        <v>34</v>
      </c>
      <c r="U103" s="251"/>
      <c r="V103" s="23" t="s">
        <v>77</v>
      </c>
      <c r="W103" s="34">
        <f>SUM(C$83:C103)</f>
        <v>12</v>
      </c>
      <c r="X103" s="34">
        <f>SUM(D$83:D103)</f>
        <v>10</v>
      </c>
      <c r="Y103" s="34">
        <f>SUM(E$83:E103)</f>
        <v>22</v>
      </c>
      <c r="Z103" s="34">
        <f>SUM(F$83:F103)</f>
        <v>13</v>
      </c>
      <c r="AA103" s="34">
        <f>SUM(G$83:G103)</f>
        <v>18</v>
      </c>
      <c r="AB103" s="34">
        <f>SUM(H$83:H103)</f>
        <v>9</v>
      </c>
      <c r="AC103" s="8">
        <f t="shared" si="30"/>
        <v>84</v>
      </c>
      <c r="AD103" s="64">
        <f t="shared" si="24"/>
        <v>1.8666666666666667</v>
      </c>
    </row>
    <row r="104" spans="1:30">
      <c r="A104" s="251"/>
      <c r="B104" s="23" t="s">
        <v>84</v>
      </c>
      <c r="C104" s="8">
        <f>COUNTIFS('Datos Bachillerato'!$E:$E,C$82,'Datos Bachillerato'!$I:$I,"&gt;=01/10/2024",'Datos Bachillerato'!$I:$I,"&lt;=31/10/2024")</f>
        <v>0</v>
      </c>
      <c r="D104" s="8">
        <f>COUNTIFS('Datos Bachillerato'!$E:$E,D$82,'Datos Bachillerato'!$I:$I,"&gt;=01/10/2024",'Datos Bachillerato'!$I:$I,"&lt;=31/10/2024")</f>
        <v>1</v>
      </c>
      <c r="E104" s="8">
        <f>COUNTIFS('Datos Bachillerato'!$E:$E,E$82,'Datos Bachillerato'!$I:$I,"&gt;=01/10/2024",'Datos Bachillerato'!$I:$I,"&lt;=31/10/2024")</f>
        <v>0</v>
      </c>
      <c r="F104" s="8">
        <f>COUNTIFS('Datos Bachillerato'!$E:$E,F$82,'Datos Bachillerato'!$I:$I,"&gt;=01/10/2024",'Datos Bachillerato'!$I:$I,"&lt;=31/10/2024")</f>
        <v>0</v>
      </c>
      <c r="G104" s="8">
        <f>COUNTIFS('Datos Bachillerato'!$E:$E,G$82,'Datos Bachillerato'!$I:$I,"&gt;=01/10/2024",'Datos Bachillerato'!$I:$I,"&lt;=31/10/2024")</f>
        <v>0</v>
      </c>
      <c r="H104" s="8">
        <f>COUNTIFS('Datos Bachillerato'!$E:$E,H$82,'Datos Bachillerato'!$I:$I,"&gt;=01/10/2024",'Datos Bachillerato'!$I:$I,"&lt;=31/10/2024")</f>
        <v>0</v>
      </c>
      <c r="I104" s="8">
        <f t="shared" si="28"/>
        <v>1</v>
      </c>
      <c r="K104" s="251"/>
      <c r="L104" s="23" t="s">
        <v>84</v>
      </c>
      <c r="M104" s="34">
        <f>SUM(C$95:C104)</f>
        <v>4</v>
      </c>
      <c r="N104" s="34">
        <f>SUM(D$95:D104)</f>
        <v>3</v>
      </c>
      <c r="O104" s="34">
        <f>SUM(E$95:E104)</f>
        <v>12</v>
      </c>
      <c r="P104" s="34">
        <f>SUM(F$95:F104)</f>
        <v>5</v>
      </c>
      <c r="Q104" s="34">
        <f>SUM(G$95:G104)</f>
        <v>9</v>
      </c>
      <c r="R104" s="34">
        <f>SUM(H$95:H104)</f>
        <v>2</v>
      </c>
      <c r="S104" s="8">
        <f t="shared" si="29"/>
        <v>35</v>
      </c>
      <c r="U104" s="251"/>
      <c r="V104" s="23" t="s">
        <v>84</v>
      </c>
      <c r="W104" s="34">
        <f>SUM(C$83:C104)</f>
        <v>12</v>
      </c>
      <c r="X104" s="34">
        <f>SUM(D$83:D104)</f>
        <v>11</v>
      </c>
      <c r="Y104" s="34">
        <f>SUM(E$83:E104)</f>
        <v>22</v>
      </c>
      <c r="Z104" s="34">
        <f>SUM(F$83:F104)</f>
        <v>13</v>
      </c>
      <c r="AA104" s="34">
        <f>SUM(G$83:G104)</f>
        <v>18</v>
      </c>
      <c r="AB104" s="34">
        <f>SUM(H$83:H104)</f>
        <v>9</v>
      </c>
      <c r="AC104" s="8">
        <f t="shared" si="30"/>
        <v>85</v>
      </c>
      <c r="AD104" s="64">
        <f t="shared" si="24"/>
        <v>1.8478260869565217</v>
      </c>
    </row>
    <row r="105" spans="1:30">
      <c r="A105" s="251"/>
      <c r="B105" s="23" t="s">
        <v>87</v>
      </c>
      <c r="C105" s="8">
        <f>COUNTIFS('Datos Bachillerato'!$E:$E,C$82,'Datos Bachillerato'!$I:$I,"&gt;=01/11/2024",'Datos Bachillerato'!$I:$I,"&lt;=30/11/2024")</f>
        <v>1</v>
      </c>
      <c r="D105" s="8">
        <f>COUNTIFS('Datos Bachillerato'!$E:$E,D$82,'Datos Bachillerato'!$I:$I,"&gt;=01/11/2024",'Datos Bachillerato'!$I:$I,"&lt;=30/11/2024")</f>
        <v>0</v>
      </c>
      <c r="E105" s="8">
        <f>COUNTIFS('Datos Bachillerato'!$E:$E,E$82,'Datos Bachillerato'!$I:$I,"&gt;=01/11/2024",'Datos Bachillerato'!$I:$I,"&lt;=30/11/2024")</f>
        <v>4</v>
      </c>
      <c r="F105" s="8">
        <f>COUNTIFS('Datos Bachillerato'!$E:$E,F$82,'Datos Bachillerato'!$I:$I,"&gt;=01/11/2024",'Datos Bachillerato'!$I:$I,"&lt;=30/11/2024")</f>
        <v>2</v>
      </c>
      <c r="G105" s="8">
        <f>COUNTIFS('Datos Bachillerato'!$E:$E,G$82,'Datos Bachillerato'!$I:$I,"&gt;=01/11/2024",'Datos Bachillerato'!$I:$I,"&lt;=30/11/2024")</f>
        <v>0</v>
      </c>
      <c r="H105" s="8">
        <f>COUNTIFS('Datos Bachillerato'!$E:$E,H$82,'Datos Bachillerato'!$I:$I,"&gt;=01/11/2024",'Datos Bachillerato'!$I:$I,"&lt;=30/11/2024")</f>
        <v>0</v>
      </c>
      <c r="I105" s="8">
        <f t="shared" si="28"/>
        <v>7</v>
      </c>
      <c r="K105" s="251"/>
      <c r="L105" s="23" t="s">
        <v>87</v>
      </c>
      <c r="M105" s="34">
        <f>SUM(C$95:C105)</f>
        <v>5</v>
      </c>
      <c r="N105" s="34">
        <f>SUM(D$95:D105)</f>
        <v>3</v>
      </c>
      <c r="O105" s="34">
        <f>SUM(E$95:E105)</f>
        <v>16</v>
      </c>
      <c r="P105" s="34">
        <f>SUM(F$95:F105)</f>
        <v>7</v>
      </c>
      <c r="Q105" s="34">
        <f>SUM(G$95:G105)</f>
        <v>9</v>
      </c>
      <c r="R105" s="34">
        <f>SUM(H$95:H105)</f>
        <v>2</v>
      </c>
      <c r="S105" s="8">
        <f t="shared" si="29"/>
        <v>42</v>
      </c>
      <c r="U105" s="251"/>
      <c r="V105" s="23" t="s">
        <v>87</v>
      </c>
      <c r="W105" s="34">
        <f>SUM(C$83:C105)</f>
        <v>13</v>
      </c>
      <c r="X105" s="34">
        <f>SUM(D$83:D105)</f>
        <v>11</v>
      </c>
      <c r="Y105" s="34">
        <f>SUM(E$83:E105)</f>
        <v>26</v>
      </c>
      <c r="Z105" s="34">
        <f>SUM(F$83:F105)</f>
        <v>15</v>
      </c>
      <c r="AA105" s="34">
        <f>SUM(G$83:G105)</f>
        <v>18</v>
      </c>
      <c r="AB105" s="34">
        <f>SUM(H$83:H105)</f>
        <v>9</v>
      </c>
      <c r="AC105" s="8">
        <f t="shared" si="30"/>
        <v>92</v>
      </c>
      <c r="AD105" s="64">
        <f t="shared" si="24"/>
        <v>1.9574468085106382</v>
      </c>
    </row>
    <row r="106" spans="1:30">
      <c r="A106" s="251"/>
      <c r="B106" s="23" t="s">
        <v>173</v>
      </c>
      <c r="C106" s="8">
        <f>COUNTIFS('Datos Bachillerato'!$E:$E,C$82,'Datos Bachillerato'!$I:$I,"&gt;=01/12/2024",'Datos Bachillerato'!$I:$I,"&lt;=31/12/2024")</f>
        <v>0</v>
      </c>
      <c r="D106" s="8">
        <f>COUNTIFS('Datos Bachillerato'!$E:$E,D$82,'Datos Bachillerato'!$I:$I,"&gt;=01/12/2024",'Datos Bachillerato'!$I:$I,"&lt;=31/12/2024")</f>
        <v>0</v>
      </c>
      <c r="E106" s="8">
        <f>COUNTIFS('Datos Bachillerato'!$E:$E,E$82,'Datos Bachillerato'!$I:$I,"&gt;=01/12/2024",'Datos Bachillerato'!$I:$I,"&lt;=31/12/2024")</f>
        <v>1</v>
      </c>
      <c r="F106" s="8">
        <f>COUNTIFS('Datos Bachillerato'!$E:$E,F$82,'Datos Bachillerato'!$I:$I,"&gt;=01/12/2024",'Datos Bachillerato'!$I:$I,"&lt;=31/12/2024")</f>
        <v>0</v>
      </c>
      <c r="G106" s="8">
        <f>COUNTIFS('Datos Bachillerato'!$E:$E,G$82,'Datos Bachillerato'!$I:$I,"&gt;=01/12/2024",'Datos Bachillerato'!$I:$I,"&lt;=31/12/2024")</f>
        <v>0</v>
      </c>
      <c r="H106" s="8">
        <f>COUNTIFS('Datos Bachillerato'!$E:$E,H$82,'Datos Bachillerato'!$I:$I,"&gt;=01/12/2024",'Datos Bachillerato'!$I:$I,"&lt;=31/12/2024")</f>
        <v>0</v>
      </c>
      <c r="I106" s="8">
        <f t="shared" si="28"/>
        <v>1</v>
      </c>
      <c r="K106" s="251"/>
      <c r="L106" s="23" t="s">
        <v>173</v>
      </c>
      <c r="M106" s="34">
        <f>SUM(C$95:C106)</f>
        <v>5</v>
      </c>
      <c r="N106" s="34">
        <f>SUM(D$95:D106)</f>
        <v>3</v>
      </c>
      <c r="O106" s="34">
        <f>SUM(E$95:E106)</f>
        <v>17</v>
      </c>
      <c r="P106" s="34">
        <f>SUM(F$95:F106)</f>
        <v>7</v>
      </c>
      <c r="Q106" s="34">
        <f>SUM(G$95:G106)</f>
        <v>9</v>
      </c>
      <c r="R106" s="34">
        <f>SUM(H$95:H106)</f>
        <v>2</v>
      </c>
      <c r="S106" s="8">
        <f t="shared" si="29"/>
        <v>43</v>
      </c>
      <c r="T106" s="103">
        <f>S106-S94</f>
        <v>-7</v>
      </c>
      <c r="U106" s="251"/>
      <c r="V106" s="23" t="s">
        <v>173</v>
      </c>
      <c r="W106" s="34">
        <f>SUM(C$83:C106)</f>
        <v>13</v>
      </c>
      <c r="X106" s="34">
        <f>SUM(D$83:D106)</f>
        <v>11</v>
      </c>
      <c r="Y106" s="34">
        <f>SUM(E$83:E106)</f>
        <v>27</v>
      </c>
      <c r="Z106" s="34">
        <f>SUM(F$83:F106)</f>
        <v>15</v>
      </c>
      <c r="AA106" s="34">
        <f>SUM(G$83:G106)</f>
        <v>18</v>
      </c>
      <c r="AB106" s="34">
        <f>SUM(H$83:H106)</f>
        <v>9</v>
      </c>
      <c r="AC106" s="8">
        <f t="shared" si="30"/>
        <v>93</v>
      </c>
      <c r="AD106" s="64">
        <f t="shared" si="24"/>
        <v>1.9787234042553192</v>
      </c>
    </row>
    <row r="107" spans="1:30" ht="14.45" customHeight="1">
      <c r="A107" s="251">
        <f>A27</f>
        <v>2025</v>
      </c>
      <c r="B107" s="23" t="s">
        <v>13</v>
      </c>
      <c r="C107" s="8">
        <f>COUNTIFS('Datos Bachillerato'!$E:$E,C$82,'Datos Bachillerato'!$I:$I,"&gt;=01/01/2025",'Datos Bachillerato'!$I:$I,"&lt;=31/01/2025")</f>
        <v>1</v>
      </c>
      <c r="D107" s="8">
        <f>COUNTIFS('Datos Bachillerato'!$E:$E,D$82,'Datos Bachillerato'!$I:$I,"&gt;=01/01/2025",'Datos Bachillerato'!$I:$I,"&lt;=31/01/2025")</f>
        <v>1</v>
      </c>
      <c r="E107" s="8">
        <f>COUNTIFS('Datos Bachillerato'!$E:$E,E$82,'Datos Bachillerato'!$I:$I,"&gt;=01/01/2025",'Datos Bachillerato'!$I:$I,"&lt;=31/01/2025")</f>
        <v>0</v>
      </c>
      <c r="F107" s="8">
        <f>COUNTIFS('Datos Bachillerato'!$E:$E,F$82,'Datos Bachillerato'!$I:$I,"&gt;=01/01/2025",'Datos Bachillerato'!$I:$I,"&lt;=31/01/2025")</f>
        <v>1</v>
      </c>
      <c r="G107" s="8">
        <f>COUNTIFS('Datos Bachillerato'!$E:$E,G$82,'Datos Bachillerato'!$I:$I,"&gt;=01/01/2025",'Datos Bachillerato'!$I:$I,"&lt;=31/01/2025")</f>
        <v>1</v>
      </c>
      <c r="H107" s="8">
        <f>COUNTIFS('Datos Bachillerato'!$E:$E,H$82,'Datos Bachillerato'!$I:$I,"&gt;=01/01/2025",'Datos Bachillerato'!$I:$I,"&lt;=31/01/2025")</f>
        <v>0</v>
      </c>
      <c r="I107" s="8">
        <f t="shared" ref="I107:I118" si="31">SUM(C107:H107)</f>
        <v>4</v>
      </c>
      <c r="K107" s="251">
        <f>A107</f>
        <v>2025</v>
      </c>
      <c r="L107" s="23" t="s">
        <v>13</v>
      </c>
      <c r="M107" s="34">
        <f>SUM(C$107:C107)</f>
        <v>1</v>
      </c>
      <c r="N107" s="34">
        <f>SUM(D$107:D107)</f>
        <v>1</v>
      </c>
      <c r="O107" s="34">
        <f>SUM(E$107:E107)</f>
        <v>0</v>
      </c>
      <c r="P107" s="34">
        <f>SUM(F$107:F107)</f>
        <v>1</v>
      </c>
      <c r="Q107" s="34">
        <f>SUM(G$107:G107)</f>
        <v>1</v>
      </c>
      <c r="R107" s="34">
        <f>SUM(H$107:H107)</f>
        <v>0</v>
      </c>
      <c r="S107" s="8">
        <f t="shared" ref="S107:S118" si="32">SUM(M107:R107)</f>
        <v>4</v>
      </c>
      <c r="U107" s="251">
        <f>A107</f>
        <v>2025</v>
      </c>
      <c r="V107" s="23" t="s">
        <v>13</v>
      </c>
      <c r="W107" s="34">
        <f>SUM(C$83:C107)</f>
        <v>14</v>
      </c>
      <c r="X107" s="34">
        <f>SUM(D$83:D107)</f>
        <v>12</v>
      </c>
      <c r="Y107" s="34">
        <f>SUM(E$83:E107)</f>
        <v>27</v>
      </c>
      <c r="Z107" s="34">
        <f>SUM(F$83:F107)</f>
        <v>16</v>
      </c>
      <c r="AA107" s="34">
        <f>SUM(G$83:G107)</f>
        <v>19</v>
      </c>
      <c r="AB107" s="34">
        <f>SUM(H$83:H107)</f>
        <v>9</v>
      </c>
      <c r="AC107" s="8">
        <f t="shared" ref="AC107:AC118" si="33">SUM(W107:AB107)</f>
        <v>97</v>
      </c>
      <c r="AD107" s="64">
        <f t="shared" si="24"/>
        <v>1.8653846153846154</v>
      </c>
    </row>
    <row r="108" spans="1:30">
      <c r="A108" s="251"/>
      <c r="B108" s="23" t="s">
        <v>24</v>
      </c>
      <c r="C108" s="8">
        <f>COUNTIFS('Datos Bachillerato'!$E:$E,C$82,'Datos Bachillerato'!$I:$I,"&gt;=01/02/2025",'Datos Bachillerato'!$I:$I,"&lt;=28/02/2025")</f>
        <v>0</v>
      </c>
      <c r="D108" s="8">
        <f>COUNTIFS('Datos Bachillerato'!$E:$E,D$82,'Datos Bachillerato'!$I:$I,"&gt;=01/02/2025",'Datos Bachillerato'!$I:$I,"&lt;=28/02/2025")</f>
        <v>0</v>
      </c>
      <c r="E108" s="8">
        <f>COUNTIFS('Datos Bachillerato'!$E:$E,E$82,'Datos Bachillerato'!$I:$I,"&gt;=01/02/2025",'Datos Bachillerato'!$I:$I,"&lt;=28/02/2025")</f>
        <v>2</v>
      </c>
      <c r="F108" s="8">
        <f>COUNTIFS('Datos Bachillerato'!$E:$E,F$82,'Datos Bachillerato'!$I:$I,"&gt;=01/02/2025",'Datos Bachillerato'!$I:$I,"&lt;=28/02/2025")</f>
        <v>2</v>
      </c>
      <c r="G108" s="8">
        <f>COUNTIFS('Datos Bachillerato'!$E:$E,G$82,'Datos Bachillerato'!$I:$I,"&gt;=01/02/2025",'Datos Bachillerato'!$I:$I,"&lt;=28/02/2025")</f>
        <v>0</v>
      </c>
      <c r="H108" s="8">
        <f>COUNTIFS('Datos Bachillerato'!$E:$E,H$82,'Datos Bachillerato'!$I:$I,"&gt;=01/02/2025",'Datos Bachillerato'!$I:$I,"&lt;=28/02/2025")</f>
        <v>0</v>
      </c>
      <c r="I108" s="8">
        <f t="shared" si="31"/>
        <v>4</v>
      </c>
      <c r="K108" s="251"/>
      <c r="L108" s="23" t="s">
        <v>24</v>
      </c>
      <c r="M108" s="34">
        <f>SUM(C$107:C108)</f>
        <v>1</v>
      </c>
      <c r="N108" s="34">
        <f>SUM(D$107:D108)</f>
        <v>1</v>
      </c>
      <c r="O108" s="34">
        <f>SUM(E$107:E108)</f>
        <v>2</v>
      </c>
      <c r="P108" s="34">
        <f>SUM(F$107:F108)</f>
        <v>3</v>
      </c>
      <c r="Q108" s="34">
        <f>SUM(G$107:G108)</f>
        <v>1</v>
      </c>
      <c r="R108" s="34">
        <f>SUM(H$107:H108)</f>
        <v>0</v>
      </c>
      <c r="S108" s="8">
        <f t="shared" si="32"/>
        <v>8</v>
      </c>
      <c r="U108" s="251"/>
      <c r="V108" s="23" t="s">
        <v>24</v>
      </c>
      <c r="W108" s="34">
        <f>SUM(C$83:C108)</f>
        <v>14</v>
      </c>
      <c r="X108" s="34">
        <f>SUM(D$83:D108)</f>
        <v>12</v>
      </c>
      <c r="Y108" s="34">
        <f>SUM(E$83:E108)</f>
        <v>29</v>
      </c>
      <c r="Z108" s="34">
        <f>SUM(F$83:F108)</f>
        <v>18</v>
      </c>
      <c r="AA108" s="34">
        <f>SUM(G$83:G108)</f>
        <v>19</v>
      </c>
      <c r="AB108" s="34">
        <f>SUM(H$83:H108)</f>
        <v>9</v>
      </c>
      <c r="AC108" s="8">
        <f t="shared" si="33"/>
        <v>101</v>
      </c>
      <c r="AD108" s="64">
        <f t="shared" si="24"/>
        <v>1.8363636363636364</v>
      </c>
    </row>
    <row r="109" spans="1:30">
      <c r="A109" s="251"/>
      <c r="B109" s="23" t="s">
        <v>34</v>
      </c>
      <c r="C109" s="8">
        <f>COUNTIFS('Datos Bachillerato'!$E:$E,C$82,'Datos Bachillerato'!$I:$I,"&gt;=01/03/2025",'Datos Bachillerato'!$I:$I,"&lt;=31/03/2025")</f>
        <v>1</v>
      </c>
      <c r="D109" s="8">
        <f>COUNTIFS('Datos Bachillerato'!$E:$E,D$82,'Datos Bachillerato'!$I:$I,"&gt;=01/03/2025",'Datos Bachillerato'!$I:$I,"&lt;=31/03/2025")</f>
        <v>0</v>
      </c>
      <c r="E109" s="8">
        <f>COUNTIFS('Datos Bachillerato'!$E:$E,E$82,'Datos Bachillerato'!$I:$I,"&gt;=01/03/2025",'Datos Bachillerato'!$I:$I,"&lt;=31/03/2025")</f>
        <v>1</v>
      </c>
      <c r="F109" s="8">
        <f>COUNTIFS('Datos Bachillerato'!$E:$E,F$82,'Datos Bachillerato'!$I:$I,"&gt;=01/03/2025",'Datos Bachillerato'!$I:$I,"&lt;=31/03/2025")</f>
        <v>1</v>
      </c>
      <c r="G109" s="8">
        <f>COUNTIFS('Datos Bachillerato'!$E:$E,G$82,'Datos Bachillerato'!$I:$I,"&gt;=01/03/2025",'Datos Bachillerato'!$I:$I,"&lt;=31/03/2025")</f>
        <v>0</v>
      </c>
      <c r="H109" s="8">
        <f>COUNTIFS('Datos Bachillerato'!$E:$E,H$82,'Datos Bachillerato'!$I:$I,"&gt;=01/03/2025",'Datos Bachillerato'!$I:$I,"&lt;=31/03/2025")</f>
        <v>0</v>
      </c>
      <c r="I109" s="8">
        <f t="shared" si="31"/>
        <v>3</v>
      </c>
      <c r="K109" s="251"/>
      <c r="L109" s="23" t="s">
        <v>34</v>
      </c>
      <c r="M109" s="34">
        <f>SUM(C$107:C109)</f>
        <v>2</v>
      </c>
      <c r="N109" s="34">
        <f>SUM(D$107:D109)</f>
        <v>1</v>
      </c>
      <c r="O109" s="34">
        <f>SUM(E$107:E109)</f>
        <v>3</v>
      </c>
      <c r="P109" s="34">
        <f>SUM(F$107:F109)</f>
        <v>4</v>
      </c>
      <c r="Q109" s="34">
        <f>SUM(G$107:G109)</f>
        <v>1</v>
      </c>
      <c r="R109" s="34">
        <f>SUM(H$107:H109)</f>
        <v>0</v>
      </c>
      <c r="S109" s="8">
        <f t="shared" si="32"/>
        <v>11</v>
      </c>
      <c r="U109" s="251"/>
      <c r="V109" s="23" t="s">
        <v>34</v>
      </c>
      <c r="W109" s="34">
        <f>SUM(C$83:C109)</f>
        <v>15</v>
      </c>
      <c r="X109" s="34">
        <f>SUM(D$83:D109)</f>
        <v>12</v>
      </c>
      <c r="Y109" s="34">
        <f>SUM(E$83:E109)</f>
        <v>30</v>
      </c>
      <c r="Z109" s="34">
        <f>SUM(F$83:F109)</f>
        <v>19</v>
      </c>
      <c r="AA109" s="34">
        <f>SUM(G$83:G109)</f>
        <v>19</v>
      </c>
      <c r="AB109" s="34">
        <f>SUM(H$83:H109)</f>
        <v>9</v>
      </c>
      <c r="AC109" s="8">
        <f t="shared" si="33"/>
        <v>104</v>
      </c>
      <c r="AD109" s="64">
        <f t="shared" si="24"/>
        <v>1.7931034482758621</v>
      </c>
    </row>
    <row r="110" spans="1:30">
      <c r="A110" s="251"/>
      <c r="B110" s="23" t="s">
        <v>38</v>
      </c>
      <c r="C110" s="8">
        <f>COUNTIFS('Datos Bachillerato'!$E:$E,C$82,'Datos Bachillerato'!$I:$I,"&gt;=01/04/2025",'Datos Bachillerato'!$I:$I,"&lt;=30/04/2025")</f>
        <v>0</v>
      </c>
      <c r="D110" s="8">
        <f>COUNTIFS('Datos Bachillerato'!$E:$E,D$82,'Datos Bachillerato'!$I:$I,"&gt;=01/04/2025",'Datos Bachillerato'!$I:$I,"&lt;=30/04/2025")</f>
        <v>0</v>
      </c>
      <c r="E110" s="8">
        <f>COUNTIFS('Datos Bachillerato'!$E:$E,E$82,'Datos Bachillerato'!$I:$I,"&gt;=01/04/2025",'Datos Bachillerato'!$I:$I,"&lt;=30/04/2025")</f>
        <v>0</v>
      </c>
      <c r="F110" s="8">
        <f>COUNTIFS('Datos Bachillerato'!$E:$E,F$82,'Datos Bachillerato'!$I:$I,"&gt;=01/04/2025",'Datos Bachillerato'!$I:$I,"&lt;=30/04/2025")</f>
        <v>1</v>
      </c>
      <c r="G110" s="8">
        <f>COUNTIFS('Datos Bachillerato'!$E:$E,G$82,'Datos Bachillerato'!$I:$I,"&gt;=01/04/2025",'Datos Bachillerato'!$I:$I,"&lt;=30/04/2025")</f>
        <v>2</v>
      </c>
      <c r="H110" s="8">
        <f>COUNTIFS('Datos Bachillerato'!$E:$E,H$82,'Datos Bachillerato'!$I:$I,"&gt;=01/04/2025",'Datos Bachillerato'!$I:$I,"&lt;=30/04/2025")</f>
        <v>0</v>
      </c>
      <c r="I110" s="8">
        <f t="shared" si="31"/>
        <v>3</v>
      </c>
      <c r="K110" s="251"/>
      <c r="L110" s="23" t="s">
        <v>38</v>
      </c>
      <c r="M110" s="34">
        <f>SUM(C$107:C110)</f>
        <v>2</v>
      </c>
      <c r="N110" s="34">
        <f>SUM(D$107:D110)</f>
        <v>1</v>
      </c>
      <c r="O110" s="34">
        <f>SUM(E$107:E110)</f>
        <v>3</v>
      </c>
      <c r="P110" s="34">
        <f>SUM(F$107:F110)</f>
        <v>5</v>
      </c>
      <c r="Q110" s="34">
        <f>SUM(G$107:G110)</f>
        <v>3</v>
      </c>
      <c r="R110" s="34">
        <f>SUM(H$107:H110)</f>
        <v>0</v>
      </c>
      <c r="S110" s="8">
        <f t="shared" si="32"/>
        <v>14</v>
      </c>
      <c r="U110" s="251"/>
      <c r="V110" s="23" t="s">
        <v>38</v>
      </c>
      <c r="W110" s="34">
        <f>SUM(C$83:C110)</f>
        <v>15</v>
      </c>
      <c r="X110" s="34">
        <f>SUM(D$83:D110)</f>
        <v>12</v>
      </c>
      <c r="Y110" s="34">
        <f>SUM(E$83:E110)</f>
        <v>30</v>
      </c>
      <c r="Z110" s="34">
        <f>SUM(F$83:F110)</f>
        <v>20</v>
      </c>
      <c r="AA110" s="34">
        <f>SUM(G$83:G110)</f>
        <v>21</v>
      </c>
      <c r="AB110" s="34">
        <f>SUM(H$83:H110)</f>
        <v>9</v>
      </c>
      <c r="AC110" s="8">
        <f t="shared" si="33"/>
        <v>107</v>
      </c>
      <c r="AD110" s="64">
        <f t="shared" si="24"/>
        <v>1.7833333333333334</v>
      </c>
    </row>
    <row r="111" spans="1:30">
      <c r="A111" s="251"/>
      <c r="B111" s="23" t="s">
        <v>47</v>
      </c>
      <c r="C111" s="8">
        <f>COUNTIFS('Datos Bachillerato'!$E:$E,C$82,'Datos Bachillerato'!$I:$I,"&gt;=01/05/2025",'Datos Bachillerato'!$I:$I,"&lt;=31/05/2025")</f>
        <v>0</v>
      </c>
      <c r="D111" s="8">
        <f>COUNTIFS('Datos Bachillerato'!$E:$E,D$82,'Datos Bachillerato'!$I:$I,"&gt;=01/05/2025",'Datos Bachillerato'!$I:$I,"&lt;=31/05/2025")</f>
        <v>0</v>
      </c>
      <c r="E111" s="8">
        <f>COUNTIFS('Datos Bachillerato'!$E:$E,E$82,'Datos Bachillerato'!$I:$I,"&gt;=01/05/2025",'Datos Bachillerato'!$I:$I,"&lt;=31/05/2025")</f>
        <v>0</v>
      </c>
      <c r="F111" s="8">
        <f>COUNTIFS('Datos Bachillerato'!$E:$E,F$82,'Datos Bachillerato'!$I:$I,"&gt;=01/05/2025",'Datos Bachillerato'!$I:$I,"&lt;=31/05/2025")</f>
        <v>0</v>
      </c>
      <c r="G111" s="8">
        <f>COUNTIFS('Datos Bachillerato'!$E:$E,G$82,'Datos Bachillerato'!$I:$I,"&gt;=01/05/2025",'Datos Bachillerato'!$I:$I,"&lt;=31/05/2025")</f>
        <v>1</v>
      </c>
      <c r="H111" s="8">
        <f>COUNTIFS('Datos Bachillerato'!$E:$E,H$82,'Datos Bachillerato'!$I:$I,"&gt;=01/05/2025",'Datos Bachillerato'!$I:$I,"&lt;=31/05/2025")</f>
        <v>0</v>
      </c>
      <c r="I111" s="8">
        <f t="shared" si="31"/>
        <v>1</v>
      </c>
      <c r="K111" s="251"/>
      <c r="L111" s="23" t="s">
        <v>47</v>
      </c>
      <c r="M111" s="34">
        <f>SUM(C$107:C111)</f>
        <v>2</v>
      </c>
      <c r="N111" s="34">
        <f>SUM(D$107:D111)</f>
        <v>1</v>
      </c>
      <c r="O111" s="34">
        <f>SUM(E$107:E111)</f>
        <v>3</v>
      </c>
      <c r="P111" s="34">
        <f>SUM(F$107:F111)</f>
        <v>5</v>
      </c>
      <c r="Q111" s="34">
        <f>SUM(G$107:G111)</f>
        <v>4</v>
      </c>
      <c r="R111" s="34">
        <f>SUM(H$107:H111)</f>
        <v>0</v>
      </c>
      <c r="S111" s="8">
        <f t="shared" si="32"/>
        <v>15</v>
      </c>
      <c r="U111" s="251"/>
      <c r="V111" s="23" t="s">
        <v>47</v>
      </c>
      <c r="W111" s="34">
        <f>SUM(C$83:C111)</f>
        <v>15</v>
      </c>
      <c r="X111" s="34">
        <f>SUM(D$83:D111)</f>
        <v>12</v>
      </c>
      <c r="Y111" s="34">
        <f>SUM(E$83:E111)</f>
        <v>30</v>
      </c>
      <c r="Z111" s="34">
        <f>SUM(F$83:F111)</f>
        <v>20</v>
      </c>
      <c r="AA111" s="34">
        <f>SUM(G$83:G111)</f>
        <v>22</v>
      </c>
      <c r="AB111" s="34">
        <f>SUM(H$83:H111)</f>
        <v>9</v>
      </c>
      <c r="AC111" s="8">
        <f t="shared" si="33"/>
        <v>108</v>
      </c>
      <c r="AD111" s="64">
        <f t="shared" si="24"/>
        <v>1.7704918032786885</v>
      </c>
    </row>
    <row r="112" spans="1:30">
      <c r="A112" s="251"/>
      <c r="B112" s="23" t="s">
        <v>57</v>
      </c>
      <c r="C112" s="8">
        <f>COUNTIFS('Datos Bachillerato'!$E:$E,C$82,'Datos Bachillerato'!$I:$I,"&gt;=01/06/2025",'Datos Bachillerato'!$I:$I,"&lt;=30/06/2025")</f>
        <v>2</v>
      </c>
      <c r="D112" s="8">
        <f>COUNTIFS('Datos Bachillerato'!$E:$E,D$82,'Datos Bachillerato'!$I:$I,"&gt;=01/06/2025",'Datos Bachillerato'!$I:$I,"&lt;=30/06/2025")</f>
        <v>1</v>
      </c>
      <c r="E112" s="8">
        <f>COUNTIFS('Datos Bachillerato'!$E:$E,E$82,'Datos Bachillerato'!$I:$I,"&gt;=01/06/2025",'Datos Bachillerato'!$I:$I,"&lt;=30/06/2025")</f>
        <v>1</v>
      </c>
      <c r="F112" s="8">
        <f>COUNTIFS('Datos Bachillerato'!$E:$E,F$82,'Datos Bachillerato'!$I:$I,"&gt;=01/06/2025",'Datos Bachillerato'!$I:$I,"&lt;=30/06/2025")</f>
        <v>0</v>
      </c>
      <c r="G112" s="8">
        <f>COUNTIFS('Datos Bachillerato'!$E:$E,G$82,'Datos Bachillerato'!$I:$I,"&gt;=01/06/2025",'Datos Bachillerato'!$I:$I,"&lt;=30/06/2025")</f>
        <v>0</v>
      </c>
      <c r="H112" s="8">
        <f>COUNTIFS('Datos Bachillerato'!$E:$E,H$82,'Datos Bachillerato'!$I:$I,"&gt;=01/06/2025",'Datos Bachillerato'!$I:$I,"&lt;=30/06/2025")</f>
        <v>0</v>
      </c>
      <c r="I112" s="8">
        <f t="shared" si="31"/>
        <v>4</v>
      </c>
      <c r="K112" s="251"/>
      <c r="L112" s="23" t="s">
        <v>57</v>
      </c>
      <c r="M112" s="34">
        <f>SUM(C$107:C112)</f>
        <v>4</v>
      </c>
      <c r="N112" s="34">
        <f>SUM(D$107:D112)</f>
        <v>2</v>
      </c>
      <c r="O112" s="34">
        <f>SUM(E$107:E112)</f>
        <v>4</v>
      </c>
      <c r="P112" s="34">
        <f>SUM(F$107:F112)</f>
        <v>5</v>
      </c>
      <c r="Q112" s="34">
        <f>SUM(G$107:G112)</f>
        <v>4</v>
      </c>
      <c r="R112" s="34">
        <f>SUM(H$107:H112)</f>
        <v>0</v>
      </c>
      <c r="S112" s="8">
        <f t="shared" si="32"/>
        <v>19</v>
      </c>
      <c r="U112" s="251"/>
      <c r="V112" s="23" t="s">
        <v>57</v>
      </c>
      <c r="W112" s="34">
        <f>SUM(C$83:C112)</f>
        <v>17</v>
      </c>
      <c r="X112" s="34">
        <f>SUM(D$83:D112)</f>
        <v>13</v>
      </c>
      <c r="Y112" s="34">
        <f>SUM(E$83:E112)</f>
        <v>31</v>
      </c>
      <c r="Z112" s="34">
        <f>SUM(F$83:F112)</f>
        <v>20</v>
      </c>
      <c r="AA112" s="34">
        <f>SUM(G$83:G112)</f>
        <v>22</v>
      </c>
      <c r="AB112" s="34">
        <f>SUM(H$83:H112)</f>
        <v>9</v>
      </c>
      <c r="AC112" s="8">
        <f t="shared" si="33"/>
        <v>112</v>
      </c>
      <c r="AD112" s="64">
        <f t="shared" si="24"/>
        <v>1.8360655737704918</v>
      </c>
    </row>
    <row r="113" spans="1:32">
      <c r="A113" s="251"/>
      <c r="B113" s="23" t="s">
        <v>62</v>
      </c>
      <c r="C113" s="8">
        <f>COUNTIFS('Datos Bachillerato'!$E:$E,C$82,'Datos Bachillerato'!$I:$I,"&gt;=01/07/2025",'Datos Bachillerato'!$I:$I,"&lt;=31/07/2025")</f>
        <v>1</v>
      </c>
      <c r="D113" s="8">
        <f>COUNTIFS('Datos Bachillerato'!$E:$E,D$82,'Datos Bachillerato'!$I:$I,"&gt;=01/07/2025",'Datos Bachillerato'!$I:$I,"&lt;=31/07/2025")</f>
        <v>2</v>
      </c>
      <c r="E113" s="8">
        <f>COUNTIFS('Datos Bachillerato'!$E:$E,E$82,'Datos Bachillerato'!$I:$I,"&gt;=01/07/2025",'Datos Bachillerato'!$I:$I,"&lt;=31/07/2025")</f>
        <v>0</v>
      </c>
      <c r="F113" s="8">
        <f>COUNTIFS('Datos Bachillerato'!$E:$E,F$82,'Datos Bachillerato'!$I:$I,"&gt;=01/07/2025",'Datos Bachillerato'!$I:$I,"&lt;=31/07/2025")</f>
        <v>0</v>
      </c>
      <c r="G113" s="8">
        <f>COUNTIFS('Datos Bachillerato'!$E:$E,G$82,'Datos Bachillerato'!$I:$I,"&gt;=01/07/2025",'Datos Bachillerato'!$I:$I,"&lt;=31/07/2025")</f>
        <v>2</v>
      </c>
      <c r="H113" s="8">
        <f>COUNTIFS('Datos Bachillerato'!$E:$E,H$82,'Datos Bachillerato'!$I:$I,"&gt;=01/07/2025",'Datos Bachillerato'!$I:$I,"&lt;=31/07/2025")</f>
        <v>0</v>
      </c>
      <c r="I113" s="8">
        <f t="shared" si="31"/>
        <v>5</v>
      </c>
      <c r="K113" s="251"/>
      <c r="L113" s="23" t="s">
        <v>62</v>
      </c>
      <c r="M113" s="34">
        <f>SUM(C$107:C113)</f>
        <v>5</v>
      </c>
      <c r="N113" s="34">
        <f>SUM(D$107:D113)</f>
        <v>4</v>
      </c>
      <c r="O113" s="34">
        <f>SUM(E$107:E113)</f>
        <v>4</v>
      </c>
      <c r="P113" s="34">
        <f>SUM(F$107:F113)</f>
        <v>5</v>
      </c>
      <c r="Q113" s="34">
        <f>SUM(G$107:G113)</f>
        <v>6</v>
      </c>
      <c r="R113" s="34">
        <f>SUM(H$107:H113)</f>
        <v>0</v>
      </c>
      <c r="S113" s="8">
        <f t="shared" si="32"/>
        <v>24</v>
      </c>
      <c r="U113" s="251"/>
      <c r="V113" s="23" t="s">
        <v>62</v>
      </c>
      <c r="W113" s="34">
        <f>SUM(C$83:C113)</f>
        <v>18</v>
      </c>
      <c r="X113" s="34">
        <f>SUM(D$83:D113)</f>
        <v>15</v>
      </c>
      <c r="Y113" s="34">
        <f>SUM(E$83:E113)</f>
        <v>31</v>
      </c>
      <c r="Z113" s="34">
        <f>SUM(F$83:F113)</f>
        <v>20</v>
      </c>
      <c r="AA113" s="34">
        <f>SUM(G$83:G113)</f>
        <v>24</v>
      </c>
      <c r="AB113" s="34">
        <f>SUM(H$83:H113)</f>
        <v>9</v>
      </c>
      <c r="AC113" s="8">
        <f t="shared" si="33"/>
        <v>117</v>
      </c>
      <c r="AD113" s="65">
        <f t="shared" si="24"/>
        <v>1.7462686567164178</v>
      </c>
    </row>
    <row r="114" spans="1:32">
      <c r="A114" s="251"/>
      <c r="B114" s="23" t="s">
        <v>68</v>
      </c>
      <c r="C114" s="8">
        <f>COUNTIFS('Datos Bachillerato'!$E:$E,C$82,'Datos Bachillerato'!$I:$I,"&gt;=01/08/2025",'Datos Bachillerato'!$I:$I,"&lt;=31/08/2025")</f>
        <v>2</v>
      </c>
      <c r="D114" s="8">
        <f>COUNTIFS('Datos Bachillerato'!$E:$E,D$82,'Datos Bachillerato'!$I:$I,"&gt;=01/08/2025",'Datos Bachillerato'!$I:$I,"&lt;=31/08/2025")</f>
        <v>1</v>
      </c>
      <c r="E114" s="8">
        <f>COUNTIFS('Datos Bachillerato'!$E:$E,E$82,'Datos Bachillerato'!$I:$I,"&gt;=01/08/2025",'Datos Bachillerato'!$I:$I,"&lt;=31/08/2025")</f>
        <v>3</v>
      </c>
      <c r="F114" s="8">
        <f>COUNTIFS('Datos Bachillerato'!$E:$E,F$82,'Datos Bachillerato'!$I:$I,"&gt;=01/08/2025",'Datos Bachillerato'!$I:$I,"&lt;=31/08/2025")</f>
        <v>1</v>
      </c>
      <c r="G114" s="8">
        <f>COUNTIFS('Datos Bachillerato'!$E:$E,G$82,'Datos Bachillerato'!$I:$I,"&gt;=01/08/2025",'Datos Bachillerato'!$I:$I,"&lt;=31/08/2025")</f>
        <v>2</v>
      </c>
      <c r="H114" s="8">
        <f>COUNTIFS('Datos Bachillerato'!$E:$E,H$82,'Datos Bachillerato'!$I:$I,"&gt;=01/08/2025",'Datos Bachillerato'!$I:$I,"&lt;=31/08/2025")</f>
        <v>0</v>
      </c>
      <c r="I114" s="8">
        <f t="shared" si="31"/>
        <v>9</v>
      </c>
      <c r="K114" s="251"/>
      <c r="L114" s="23" t="s">
        <v>68</v>
      </c>
      <c r="M114" s="34">
        <f>SUM(C$107:C114)</f>
        <v>7</v>
      </c>
      <c r="N114" s="34">
        <f>SUM(D$107:D114)</f>
        <v>5</v>
      </c>
      <c r="O114" s="34">
        <f>SUM(E$107:E114)</f>
        <v>7</v>
      </c>
      <c r="P114" s="34">
        <f>SUM(F$107:F114)</f>
        <v>6</v>
      </c>
      <c r="Q114" s="34">
        <f>SUM(G$107:G114)</f>
        <v>8</v>
      </c>
      <c r="R114" s="34">
        <f>SUM(H$107:H114)</f>
        <v>0</v>
      </c>
      <c r="S114" s="8">
        <f t="shared" si="32"/>
        <v>33</v>
      </c>
      <c r="U114" s="251"/>
      <c r="V114" s="23" t="s">
        <v>68</v>
      </c>
      <c r="W114" s="34">
        <f>SUM(C$83:C114)</f>
        <v>20</v>
      </c>
      <c r="X114" s="34">
        <f>SUM(D$83:D114)</f>
        <v>16</v>
      </c>
      <c r="Y114" s="34">
        <f>SUM(E$83:E114)</f>
        <v>34</v>
      </c>
      <c r="Z114" s="34">
        <f>SUM(F$83:F114)</f>
        <v>21</v>
      </c>
      <c r="AA114" s="34">
        <f>SUM(G$83:G114)</f>
        <v>26</v>
      </c>
      <c r="AB114" s="34">
        <f>SUM(H$83:H114)</f>
        <v>9</v>
      </c>
      <c r="AC114" s="8">
        <f t="shared" si="33"/>
        <v>126</v>
      </c>
      <c r="AD114" s="64">
        <f t="shared" si="24"/>
        <v>1.7746478873239437</v>
      </c>
    </row>
    <row r="115" spans="1:32">
      <c r="A115" s="251"/>
      <c r="B115" s="23" t="s">
        <v>77</v>
      </c>
      <c r="C115" s="8">
        <f>COUNTIFS('Datos Bachillerato'!$E:$E,C$82,'Datos Bachillerato'!$I:$I,"&gt;=01/09/2025",'Datos Bachillerato'!$I:$I,"&lt;=30/09/2025")</f>
        <v>2</v>
      </c>
      <c r="D115" s="8">
        <f>COUNTIFS('Datos Bachillerato'!$E:$E,D$82,'Datos Bachillerato'!$I:$I,"&gt;=01/09/2025",'Datos Bachillerato'!$I:$I,"&lt;=30/09/2025")</f>
        <v>2</v>
      </c>
      <c r="E115" s="8">
        <f>COUNTIFS('Datos Bachillerato'!$E:$E,E$82,'Datos Bachillerato'!$I:$I,"&gt;=01/09/2025",'Datos Bachillerato'!$I:$I,"&lt;=30/09/2025")</f>
        <v>0</v>
      </c>
      <c r="F115" s="8">
        <f>COUNTIFS('Datos Bachillerato'!$E:$E,F$82,'Datos Bachillerato'!$I:$I,"&gt;=01/09/2025",'Datos Bachillerato'!$I:$I,"&lt;=30/09/2025")</f>
        <v>2</v>
      </c>
      <c r="G115" s="8">
        <f>COUNTIFS('Datos Bachillerato'!$E:$E,G$82,'Datos Bachillerato'!$I:$I,"&gt;=01/09/2025",'Datos Bachillerato'!$I:$I,"&lt;=30/09/2025")</f>
        <v>0</v>
      </c>
      <c r="H115" s="8">
        <f>COUNTIFS('Datos Bachillerato'!$E:$E,H$82,'Datos Bachillerato'!$I:$I,"&gt;=01/09/2025",'Datos Bachillerato'!$I:$I,"&lt;=30/09/2025")</f>
        <v>1</v>
      </c>
      <c r="I115" s="8">
        <f t="shared" si="31"/>
        <v>7</v>
      </c>
      <c r="K115" s="251"/>
      <c r="L115" s="23" t="s">
        <v>77</v>
      </c>
      <c r="M115" s="34">
        <f>SUM(C$107:C115)</f>
        <v>9</v>
      </c>
      <c r="N115" s="34">
        <f>SUM(D$107:D115)</f>
        <v>7</v>
      </c>
      <c r="O115" s="34">
        <f>SUM(E$107:E115)</f>
        <v>7</v>
      </c>
      <c r="P115" s="34">
        <f>SUM(F$107:F115)</f>
        <v>8</v>
      </c>
      <c r="Q115" s="34">
        <f>SUM(G$107:G115)</f>
        <v>8</v>
      </c>
      <c r="R115" s="34">
        <f>SUM(H$107:H115)</f>
        <v>1</v>
      </c>
      <c r="S115" s="8">
        <f t="shared" si="32"/>
        <v>40</v>
      </c>
      <c r="U115" s="251"/>
      <c r="V115" s="23" t="s">
        <v>77</v>
      </c>
      <c r="W115" s="34">
        <f>SUM(C$83:C115)</f>
        <v>22</v>
      </c>
      <c r="X115" s="34">
        <f>SUM(D$83:D115)</f>
        <v>18</v>
      </c>
      <c r="Y115" s="34">
        <f>SUM(E$83:E115)</f>
        <v>34</v>
      </c>
      <c r="Z115" s="34">
        <f>SUM(F$83:F115)</f>
        <v>23</v>
      </c>
      <c r="AA115" s="34">
        <f>SUM(G$83:G115)</f>
        <v>26</v>
      </c>
      <c r="AB115" s="34">
        <f>SUM(H$83:H115)</f>
        <v>10</v>
      </c>
      <c r="AC115" s="8">
        <f t="shared" si="33"/>
        <v>133</v>
      </c>
      <c r="AD115" s="64">
        <f t="shared" si="24"/>
        <v>1.75</v>
      </c>
    </row>
    <row r="116" spans="1:32">
      <c r="A116" s="251"/>
      <c r="B116" s="23" t="s">
        <v>84</v>
      </c>
      <c r="C116" s="8">
        <f>COUNTIFS('Datos Bachillerato'!$E:$E,C$82,'Datos Bachillerato'!$I:$I,"&gt;=01/10/2025",'Datos Bachillerato'!$I:$I,"&lt;=31/10/2025")</f>
        <v>1</v>
      </c>
      <c r="D116" s="8">
        <f>COUNTIFS('Datos Bachillerato'!$E:$E,D$82,'Datos Bachillerato'!$I:$I,"&gt;=01/10/2025",'Datos Bachillerato'!$I:$I,"&lt;=31/10/2025")</f>
        <v>1</v>
      </c>
      <c r="E116" s="8">
        <f>COUNTIFS('Datos Bachillerato'!$E:$E,E$82,'Datos Bachillerato'!$I:$I,"&gt;=01/10/2025",'Datos Bachillerato'!$I:$I,"&lt;=31/10/2025")</f>
        <v>0</v>
      </c>
      <c r="F116" s="8">
        <f>COUNTIFS('Datos Bachillerato'!$E:$E,F$82,'Datos Bachillerato'!$I:$I,"&gt;=01/10/2025",'Datos Bachillerato'!$I:$I,"&lt;=31/10/2025")</f>
        <v>0</v>
      </c>
      <c r="G116" s="8">
        <f>COUNTIFS('Datos Bachillerato'!$E:$E,G$82,'Datos Bachillerato'!$I:$I,"&gt;=01/10/2025",'Datos Bachillerato'!$I:$I,"&lt;=31/10/2025")</f>
        <v>1</v>
      </c>
      <c r="H116" s="8">
        <f>COUNTIFS('Datos Bachillerato'!$E:$E,H$82,'Datos Bachillerato'!$I:$I,"&gt;=01/10/2025",'Datos Bachillerato'!$I:$I,"&lt;=31/10/2025")</f>
        <v>1</v>
      </c>
      <c r="I116" s="8">
        <f t="shared" si="31"/>
        <v>4</v>
      </c>
      <c r="K116" s="251"/>
      <c r="L116" s="23" t="s">
        <v>84</v>
      </c>
      <c r="M116" s="34">
        <f>SUM(C$107:C116)</f>
        <v>10</v>
      </c>
      <c r="N116" s="34">
        <f>SUM(D$107:D116)</f>
        <v>8</v>
      </c>
      <c r="O116" s="34">
        <f>SUM(E$107:E116)</f>
        <v>7</v>
      </c>
      <c r="P116" s="34">
        <f>SUM(F$107:F116)</f>
        <v>8</v>
      </c>
      <c r="Q116" s="34">
        <f>SUM(G$107:G116)</f>
        <v>9</v>
      </c>
      <c r="R116" s="34">
        <f>SUM(H$107:H116)</f>
        <v>2</v>
      </c>
      <c r="S116" s="8">
        <f t="shared" si="32"/>
        <v>44</v>
      </c>
      <c r="U116" s="251"/>
      <c r="V116" s="23" t="s">
        <v>84</v>
      </c>
      <c r="W116" s="34">
        <f>SUM(C$83:C116)</f>
        <v>23</v>
      </c>
      <c r="X116" s="34">
        <f>SUM(D$83:D116)</f>
        <v>19</v>
      </c>
      <c r="Y116" s="34">
        <f>SUM(E$83:E116)</f>
        <v>34</v>
      </c>
      <c r="Z116" s="34">
        <f>SUM(F$83:F116)</f>
        <v>23</v>
      </c>
      <c r="AA116" s="34">
        <f>SUM(G$83:G116)</f>
        <v>27</v>
      </c>
      <c r="AB116" s="34">
        <f>SUM(H$83:H116)</f>
        <v>11</v>
      </c>
      <c r="AC116" s="8">
        <f t="shared" si="33"/>
        <v>137</v>
      </c>
      <c r="AD116" s="64">
        <f t="shared" si="24"/>
        <v>1.7792207792207793</v>
      </c>
    </row>
    <row r="117" spans="1:32">
      <c r="A117" s="251"/>
      <c r="B117" s="23" t="s">
        <v>87</v>
      </c>
      <c r="C117" s="8">
        <f>COUNTIFS('Datos Bachillerato'!$E:$E,C$82,'Datos Bachillerato'!$I:$I,"&gt;=01/11/2025",'Datos Bachillerato'!$I:$I,"&lt;=30/11/2025")</f>
        <v>0</v>
      </c>
      <c r="D117" s="8">
        <f>COUNTIFS('Datos Bachillerato'!$E:$E,D$82,'Datos Bachillerato'!$I:$I,"&gt;=01/11/2025",'Datos Bachillerato'!$I:$I,"&lt;=30/11/2025")</f>
        <v>0</v>
      </c>
      <c r="E117" s="8">
        <f>COUNTIFS('Datos Bachillerato'!$E:$E,E$82,'Datos Bachillerato'!$I:$I,"&gt;=01/11/2025",'Datos Bachillerato'!$I:$I,"&lt;=30/11/2025")</f>
        <v>2</v>
      </c>
      <c r="F117" s="8">
        <f>COUNTIFS('Datos Bachillerato'!$E:$E,F$82,'Datos Bachillerato'!$I:$I,"&gt;=01/11/2025",'Datos Bachillerato'!$I:$I,"&lt;=30/11/2025")</f>
        <v>4</v>
      </c>
      <c r="G117" s="8">
        <f>COUNTIFS('Datos Bachillerato'!$E:$E,G$82,'Datos Bachillerato'!$I:$I,"&gt;=01/11/2025",'Datos Bachillerato'!$I:$I,"&lt;=30/11/2025")</f>
        <v>0</v>
      </c>
      <c r="H117" s="8">
        <f>COUNTIFS('Datos Bachillerato'!$E:$E,H$82,'Datos Bachillerato'!$I:$I,"&gt;=01/11/2025",'Datos Bachillerato'!$I:$I,"&lt;=30/11/2025")</f>
        <v>0</v>
      </c>
      <c r="I117" s="8">
        <f t="shared" si="31"/>
        <v>6</v>
      </c>
      <c r="K117" s="251"/>
      <c r="L117" s="23" t="s">
        <v>87</v>
      </c>
      <c r="M117" s="34">
        <f>SUM(C$107:C117)</f>
        <v>10</v>
      </c>
      <c r="N117" s="34">
        <f>SUM(D$107:D117)</f>
        <v>8</v>
      </c>
      <c r="O117" s="34">
        <f>SUM(E$107:E117)</f>
        <v>9</v>
      </c>
      <c r="P117" s="34">
        <f>SUM(F$107:F117)</f>
        <v>12</v>
      </c>
      <c r="Q117" s="34">
        <f>SUM(G$107:G117)</f>
        <v>9</v>
      </c>
      <c r="R117" s="34">
        <f>SUM(H$107:H117)</f>
        <v>2</v>
      </c>
      <c r="S117" s="8">
        <f t="shared" si="32"/>
        <v>50</v>
      </c>
      <c r="U117" s="251"/>
      <c r="V117" s="23" t="s">
        <v>87</v>
      </c>
      <c r="W117" s="34">
        <f>SUM(C$83:C117)</f>
        <v>23</v>
      </c>
      <c r="X117" s="34">
        <f>SUM(D$83:D117)</f>
        <v>19</v>
      </c>
      <c r="Y117" s="34">
        <f>SUM(E$83:E117)</f>
        <v>36</v>
      </c>
      <c r="Z117" s="34">
        <f>SUM(F$83:F117)</f>
        <v>27</v>
      </c>
      <c r="AA117" s="34">
        <f>SUM(G$83:G117)</f>
        <v>27</v>
      </c>
      <c r="AB117" s="34">
        <f>SUM(H$83:H117)</f>
        <v>11</v>
      </c>
      <c r="AC117" s="8">
        <f t="shared" si="33"/>
        <v>143</v>
      </c>
      <c r="AD117" s="64">
        <f t="shared" si="24"/>
        <v>1.7875000000000001</v>
      </c>
    </row>
    <row r="118" spans="1:32">
      <c r="A118" s="251"/>
      <c r="B118" s="23" t="s">
        <v>173</v>
      </c>
      <c r="C118" s="8">
        <f>COUNTIFS('Datos Bachillerato'!$E:$E,C$82,'Datos Bachillerato'!$I:$I,"&gt;=01/12/2025",'Datos Bachillerato'!$I:$I,"&lt;=31/12/2025")</f>
        <v>0</v>
      </c>
      <c r="D118" s="8">
        <f>COUNTIFS('Datos Bachillerato'!$E:$E,D$82,'Datos Bachillerato'!$I:$I,"&gt;=01/12/2025",'Datos Bachillerato'!$I:$I,"&lt;=31/12/2025")</f>
        <v>0</v>
      </c>
      <c r="E118" s="8">
        <f>COUNTIFS('Datos Bachillerato'!$E:$E,E$82,'Datos Bachillerato'!$I:$I,"&gt;=01/12/2025",'Datos Bachillerato'!$I:$I,"&lt;=31/12/2025")</f>
        <v>0</v>
      </c>
      <c r="F118" s="8">
        <f>COUNTIFS('Datos Bachillerato'!$E:$E,F$82,'Datos Bachillerato'!$I:$I,"&gt;=01/12/2025",'Datos Bachillerato'!$I:$I,"&lt;=31/12/2025")</f>
        <v>0</v>
      </c>
      <c r="G118" s="8">
        <f>COUNTIFS('Datos Bachillerato'!$E:$E,G$82,'Datos Bachillerato'!$I:$I,"&gt;=01/12/2025",'Datos Bachillerato'!$I:$I,"&lt;=31/12/2025")</f>
        <v>0</v>
      </c>
      <c r="H118" s="8">
        <f>COUNTIFS('Datos Bachillerato'!$E:$E,H$82,'Datos Bachillerato'!$I:$I,"&gt;=01/12/2025",'Datos Bachillerato'!$I:$I,"&lt;=31/12/2025")</f>
        <v>0</v>
      </c>
      <c r="I118" s="8">
        <f t="shared" si="31"/>
        <v>0</v>
      </c>
      <c r="K118" s="251"/>
      <c r="L118" s="23" t="s">
        <v>173</v>
      </c>
      <c r="M118" s="34">
        <f>SUM(C$107:C118)</f>
        <v>10</v>
      </c>
      <c r="N118" s="34">
        <f>SUM(D$107:D118)</f>
        <v>8</v>
      </c>
      <c r="O118" s="34">
        <f>SUM(E$107:E118)</f>
        <v>9</v>
      </c>
      <c r="P118" s="34">
        <f>SUM(F$107:F118)</f>
        <v>12</v>
      </c>
      <c r="Q118" s="34">
        <f>SUM(G$107:G118)</f>
        <v>9</v>
      </c>
      <c r="R118" s="34">
        <f>SUM(H$107:H118)</f>
        <v>2</v>
      </c>
      <c r="S118" s="8">
        <f t="shared" si="32"/>
        <v>50</v>
      </c>
      <c r="U118" s="251"/>
      <c r="V118" s="23" t="s">
        <v>173</v>
      </c>
      <c r="W118" s="34">
        <f>SUM(C$83:C118)</f>
        <v>23</v>
      </c>
      <c r="X118" s="34">
        <f>SUM(D$83:D118)</f>
        <v>19</v>
      </c>
      <c r="Y118" s="34">
        <f>SUM(E$83:E118)</f>
        <v>36</v>
      </c>
      <c r="Z118" s="34">
        <f>SUM(F$83:F118)</f>
        <v>27</v>
      </c>
      <c r="AA118" s="34">
        <f>SUM(G$83:G118)</f>
        <v>27</v>
      </c>
      <c r="AB118" s="34">
        <f>SUM(H$83:H118)</f>
        <v>11</v>
      </c>
      <c r="AC118" s="8">
        <f t="shared" si="33"/>
        <v>143</v>
      </c>
      <c r="AD118" s="64">
        <f t="shared" si="24"/>
        <v>1.7875000000000001</v>
      </c>
    </row>
    <row r="119" spans="1:32">
      <c r="W119" s="39">
        <f>W106/W146</f>
        <v>1.8571428571428572</v>
      </c>
      <c r="X119" s="39">
        <f t="shared" ref="X119:AC119" si="34">X106/X146</f>
        <v>1.375</v>
      </c>
      <c r="Y119" s="39">
        <f t="shared" si="34"/>
        <v>2.7</v>
      </c>
      <c r="Z119" s="39">
        <f t="shared" si="34"/>
        <v>2.1428571428571428</v>
      </c>
      <c r="AA119" s="39">
        <f t="shared" si="34"/>
        <v>2</v>
      </c>
      <c r="AB119" s="39">
        <f t="shared" si="34"/>
        <v>1.5</v>
      </c>
      <c r="AC119" s="39">
        <f t="shared" si="34"/>
        <v>1.9787234042553192</v>
      </c>
    </row>
    <row r="121" spans="1:32">
      <c r="B121" s="260" t="s">
        <v>1426</v>
      </c>
      <c r="C121" s="260"/>
      <c r="D121" s="260"/>
      <c r="E121" s="260"/>
      <c r="F121" s="260"/>
      <c r="G121" s="260"/>
      <c r="H121" s="260"/>
      <c r="I121" s="260"/>
      <c r="L121" s="260" t="s">
        <v>1427</v>
      </c>
      <c r="M121" s="260"/>
      <c r="N121" s="260"/>
      <c r="O121" s="260"/>
      <c r="P121" s="260"/>
      <c r="Q121" s="260"/>
      <c r="R121" s="260"/>
      <c r="S121" s="260"/>
      <c r="V121" s="260" t="s">
        <v>1428</v>
      </c>
      <c r="W121" s="260"/>
      <c r="X121" s="260"/>
      <c r="Y121" s="260"/>
      <c r="Z121" s="260"/>
      <c r="AA121" s="260"/>
      <c r="AB121" s="260"/>
      <c r="AC121" s="260"/>
    </row>
    <row r="122" spans="1:32">
      <c r="B122" s="22" t="s">
        <v>1421</v>
      </c>
      <c r="C122" s="22" t="s">
        <v>760</v>
      </c>
      <c r="D122" s="22" t="s">
        <v>763</v>
      </c>
      <c r="E122" s="22" t="s">
        <v>753</v>
      </c>
      <c r="F122" s="22" t="s">
        <v>757</v>
      </c>
      <c r="G122" s="22" t="s">
        <v>771</v>
      </c>
      <c r="H122" s="22" t="s">
        <v>755</v>
      </c>
      <c r="I122" s="22" t="s">
        <v>1422</v>
      </c>
      <c r="L122" s="22" t="s">
        <v>1421</v>
      </c>
      <c r="M122" s="22" t="s">
        <v>760</v>
      </c>
      <c r="N122" s="22" t="s">
        <v>763</v>
      </c>
      <c r="O122" s="22" t="s">
        <v>753</v>
      </c>
      <c r="P122" s="22" t="s">
        <v>757</v>
      </c>
      <c r="Q122" s="22" t="s">
        <v>771</v>
      </c>
      <c r="R122" s="22" t="s">
        <v>755</v>
      </c>
      <c r="S122" s="22" t="s">
        <v>1422</v>
      </c>
      <c r="V122" s="22" t="s">
        <v>1421</v>
      </c>
      <c r="W122" s="22" t="s">
        <v>760</v>
      </c>
      <c r="X122" s="22" t="s">
        <v>763</v>
      </c>
      <c r="Y122" s="22" t="s">
        <v>753</v>
      </c>
      <c r="Z122" s="22" t="s">
        <v>757</v>
      </c>
      <c r="AA122" s="22" t="s">
        <v>771</v>
      </c>
      <c r="AB122" s="22" t="s">
        <v>755</v>
      </c>
      <c r="AC122" s="22" t="s">
        <v>1422</v>
      </c>
    </row>
    <row r="123" spans="1:32">
      <c r="A123" s="251">
        <f>A3</f>
        <v>2023</v>
      </c>
      <c r="B123" s="23" t="s">
        <v>13</v>
      </c>
      <c r="C123" s="8">
        <f>COUNTIFS('Datos Bachillerato'!$E:$E,C$122,'Datos Bachillerato'!$J:$J,"&gt;=01/01/2023",'Datos Bachillerato'!$J:$J,"&lt;=31/01/2023")</f>
        <v>0</v>
      </c>
      <c r="D123" s="8">
        <f>COUNTIFS('Datos Bachillerato'!$E:$E,D$122,'Datos Bachillerato'!$J:$J,"&gt;=01/01/2023",'Datos Bachillerato'!$J:$J,"&lt;=31/01/2023")</f>
        <v>0</v>
      </c>
      <c r="E123" s="8">
        <f>COUNTIFS('Datos Bachillerato'!$E:$E,E$122,'Datos Bachillerato'!$J:$J,"&gt;=01/01/2023",'Datos Bachillerato'!$J:$J,"&lt;=31/01/2023")</f>
        <v>0</v>
      </c>
      <c r="F123" s="8">
        <f>COUNTIFS('Datos Bachillerato'!$E:$E,F$122,'Datos Bachillerato'!$J:$J,"&gt;=01/01/2023",'Datos Bachillerato'!$J:$J,"&lt;=31/01/2023")</f>
        <v>0</v>
      </c>
      <c r="G123" s="8">
        <f>COUNTIFS('Datos Bachillerato'!$E:$E,G$122,'Datos Bachillerato'!$J:$J,"&gt;=01/01/2023",'Datos Bachillerato'!$J:$J,"&lt;=31/01/2023")</f>
        <v>0</v>
      </c>
      <c r="H123" s="8">
        <f>COUNTIFS('Datos Bachillerato'!$E:$E,H$122,'Datos Bachillerato'!$J:$J,"&gt;=01/01/2023",'Datos Bachillerato'!$J:$J,"&lt;=31/01/2023")</f>
        <v>0</v>
      </c>
      <c r="I123" s="8">
        <f>SUM(C123:H123)</f>
        <v>0</v>
      </c>
      <c r="K123" s="251">
        <f>A123</f>
        <v>2023</v>
      </c>
      <c r="L123" s="23" t="s">
        <v>13</v>
      </c>
      <c r="M123" s="34">
        <f>SUM(C$123:C123)</f>
        <v>0</v>
      </c>
      <c r="N123" s="34">
        <f>SUM(D$123:D123)</f>
        <v>0</v>
      </c>
      <c r="O123" s="34">
        <f>SUM(E$123:E123)</f>
        <v>0</v>
      </c>
      <c r="P123" s="34">
        <f>SUM(F$123:F123)</f>
        <v>0</v>
      </c>
      <c r="Q123" s="34">
        <f>SUM(G$123:G123)</f>
        <v>0</v>
      </c>
      <c r="R123" s="34">
        <f>SUM(H$123:H123)</f>
        <v>0</v>
      </c>
      <c r="S123" s="8">
        <f>SUM(M123:R123)</f>
        <v>0</v>
      </c>
      <c r="U123" s="251">
        <f>A123</f>
        <v>2023</v>
      </c>
      <c r="V123" s="23" t="s">
        <v>13</v>
      </c>
      <c r="W123" s="34">
        <f>SUM(C$123:C123)</f>
        <v>0</v>
      </c>
      <c r="X123" s="34">
        <f>SUM(D$123:D123)</f>
        <v>0</v>
      </c>
      <c r="Y123" s="34">
        <f>SUM(E$123:E123)</f>
        <v>0</v>
      </c>
      <c r="Z123" s="34">
        <f>SUM(F$123:F123)</f>
        <v>0</v>
      </c>
      <c r="AA123" s="34">
        <f>SUM(G$123:G123)</f>
        <v>0</v>
      </c>
      <c r="AB123" s="34">
        <f>SUM(H$123:H123)</f>
        <v>0</v>
      </c>
      <c r="AC123" s="8">
        <f>SUM(W123:AB123)</f>
        <v>0</v>
      </c>
      <c r="AD123">
        <v>16</v>
      </c>
      <c r="AE123">
        <f>AD123-I123</f>
        <v>16</v>
      </c>
      <c r="AF123">
        <f>AD123</f>
        <v>16</v>
      </c>
    </row>
    <row r="124" spans="1:32">
      <c r="A124" s="251"/>
      <c r="B124" s="23" t="s">
        <v>24</v>
      </c>
      <c r="C124" s="8">
        <f>COUNTIFS('Datos Bachillerato'!$E:$E,C$122,'Datos Bachillerato'!$J:$J,"&gt;=01/02/2023",'Datos Bachillerato'!$J:$J,"&lt;=28/02/2023")</f>
        <v>1</v>
      </c>
      <c r="D124" s="8">
        <f>COUNTIFS('Datos Bachillerato'!$E:$E,D$122,'Datos Bachillerato'!$J:$J,"&gt;=01/02/2023",'Datos Bachillerato'!$J:$J,"&lt;=28/02/2023")</f>
        <v>1</v>
      </c>
      <c r="E124" s="8">
        <f>COUNTIFS('Datos Bachillerato'!$E:$E,E$122,'Datos Bachillerato'!$J:$J,"&gt;=01/02/2023",'Datos Bachillerato'!$J:$J,"&lt;=28/02/2023")</f>
        <v>0</v>
      </c>
      <c r="F124" s="8">
        <f>COUNTIFS('Datos Bachillerato'!$E:$E,F$122,'Datos Bachillerato'!$J:$J,"&gt;=01/02/2023",'Datos Bachillerato'!$J:$J,"&lt;=28/02/2023")</f>
        <v>0</v>
      </c>
      <c r="G124" s="8">
        <f>COUNTIFS('Datos Bachillerato'!$E:$E,G$122,'Datos Bachillerato'!$J:$J,"&gt;=01/02/2023",'Datos Bachillerato'!$J:$J,"&lt;=28/02/2023")</f>
        <v>0</v>
      </c>
      <c r="H124" s="8">
        <f>COUNTIFS('Datos Bachillerato'!$E:$E,H$122,'Datos Bachillerato'!$J:$J,"&gt;=01/02/2023",'Datos Bachillerato'!$J:$J,"&lt;=28/02/2023")</f>
        <v>1</v>
      </c>
      <c r="I124" s="8">
        <f t="shared" ref="I124:I134" si="35">SUM(C124:H124)</f>
        <v>3</v>
      </c>
      <c r="K124" s="251"/>
      <c r="L124" s="23" t="s">
        <v>24</v>
      </c>
      <c r="M124" s="34">
        <f>SUM(C$123:C124)</f>
        <v>1</v>
      </c>
      <c r="N124" s="34">
        <f>SUM(D$123:D124)</f>
        <v>1</v>
      </c>
      <c r="O124" s="34">
        <f>SUM(E$123:E124)</f>
        <v>0</v>
      </c>
      <c r="P124" s="34">
        <f>SUM(F$123:F124)</f>
        <v>0</v>
      </c>
      <c r="Q124" s="34">
        <f>SUM(G$123:G124)</f>
        <v>0</v>
      </c>
      <c r="R124" s="34">
        <f>SUM(H$123:H124)</f>
        <v>1</v>
      </c>
      <c r="S124" s="8">
        <f t="shared" ref="S124:S134" si="36">SUM(M124:R124)</f>
        <v>3</v>
      </c>
      <c r="U124" s="251"/>
      <c r="V124" s="23" t="s">
        <v>24</v>
      </c>
      <c r="W124" s="34">
        <f>SUM(C$123:C124)</f>
        <v>1</v>
      </c>
      <c r="X124" s="34">
        <f>SUM(D$123:D124)</f>
        <v>1</v>
      </c>
      <c r="Y124" s="34">
        <f>SUM(E$123:E124)</f>
        <v>0</v>
      </c>
      <c r="Z124" s="34">
        <f>SUM(F$123:F124)</f>
        <v>0</v>
      </c>
      <c r="AA124" s="34">
        <f>SUM(G$123:G124)</f>
        <v>0</v>
      </c>
      <c r="AB124" s="34">
        <f>SUM(H$123:H124)</f>
        <v>1</v>
      </c>
      <c r="AC124" s="8">
        <f t="shared" ref="AC124:AC134" si="37">SUM(W124:AB124)</f>
        <v>3</v>
      </c>
      <c r="AD124">
        <v>6</v>
      </c>
      <c r="AE124">
        <f t="shared" ref="AE124:AE146" si="38">AD124-I124</f>
        <v>3</v>
      </c>
      <c r="AF124">
        <f>AF123+AD124</f>
        <v>22</v>
      </c>
    </row>
    <row r="125" spans="1:32">
      <c r="A125" s="251"/>
      <c r="B125" s="23" t="s">
        <v>34</v>
      </c>
      <c r="C125" s="8">
        <f>COUNTIFS('Datos Bachillerato'!$E:$E,C$122,'Datos Bachillerato'!$J:$J,"&gt;=01/03/2023",'Datos Bachillerato'!$J:$J,"&lt;=31/03/2023")</f>
        <v>1</v>
      </c>
      <c r="D125" s="8">
        <f>COUNTIFS('Datos Bachillerato'!$E:$E,D$122,'Datos Bachillerato'!$J:$J,"&gt;=01/03/2023",'Datos Bachillerato'!$J:$J,"&lt;=31/03/2023")</f>
        <v>1</v>
      </c>
      <c r="E125" s="8">
        <f>COUNTIFS('Datos Bachillerato'!$E:$E,E$122,'Datos Bachillerato'!$J:$J,"&gt;=01/03/2023",'Datos Bachillerato'!$J:$J,"&lt;=31/03/2023")</f>
        <v>0</v>
      </c>
      <c r="F125" s="8">
        <f>COUNTIFS('Datos Bachillerato'!$E:$E,F$122,'Datos Bachillerato'!$J:$J,"&gt;=01/03/2023",'Datos Bachillerato'!$J:$J,"&lt;=31/03/2023")</f>
        <v>0</v>
      </c>
      <c r="G125" s="8">
        <f>COUNTIFS('Datos Bachillerato'!$E:$E,G$122,'Datos Bachillerato'!$J:$J,"&gt;=01/03/2023",'Datos Bachillerato'!$J:$J,"&lt;=31/03/2023")</f>
        <v>0</v>
      </c>
      <c r="H125" s="8">
        <f>COUNTIFS('Datos Bachillerato'!$E:$E,H$122,'Datos Bachillerato'!$J:$J,"&gt;=01/03/2023",'Datos Bachillerato'!$J:$J,"&lt;=31/03/2023")</f>
        <v>0</v>
      </c>
      <c r="I125" s="8">
        <f t="shared" si="35"/>
        <v>2</v>
      </c>
      <c r="K125" s="251"/>
      <c r="L125" s="23" t="s">
        <v>34</v>
      </c>
      <c r="M125" s="34">
        <f>SUM(C$123:C125)</f>
        <v>2</v>
      </c>
      <c r="N125" s="34">
        <f>SUM(D$123:D125)</f>
        <v>2</v>
      </c>
      <c r="O125" s="34">
        <f>SUM(E$123:E125)</f>
        <v>0</v>
      </c>
      <c r="P125" s="34">
        <f>SUM(F$123:F125)</f>
        <v>0</v>
      </c>
      <c r="Q125" s="34">
        <f>SUM(G$123:G125)</f>
        <v>0</v>
      </c>
      <c r="R125" s="34">
        <f>SUM(H$123:H125)</f>
        <v>1</v>
      </c>
      <c r="S125" s="8">
        <f t="shared" si="36"/>
        <v>5</v>
      </c>
      <c r="U125" s="251"/>
      <c r="V125" s="23" t="s">
        <v>34</v>
      </c>
      <c r="W125" s="34">
        <f>SUM(C$123:C125)</f>
        <v>2</v>
      </c>
      <c r="X125" s="34">
        <f>SUM(D$123:D125)</f>
        <v>2</v>
      </c>
      <c r="Y125" s="34">
        <f>SUM(E$123:E125)</f>
        <v>0</v>
      </c>
      <c r="Z125" s="34">
        <f>SUM(F$123:F125)</f>
        <v>0</v>
      </c>
      <c r="AA125" s="34">
        <f>SUM(G$123:G125)</f>
        <v>0</v>
      </c>
      <c r="AB125" s="34">
        <f>SUM(H$123:H125)</f>
        <v>1</v>
      </c>
      <c r="AC125" s="8">
        <f t="shared" si="37"/>
        <v>5</v>
      </c>
      <c r="AD125">
        <v>4</v>
      </c>
      <c r="AE125">
        <f t="shared" si="38"/>
        <v>2</v>
      </c>
      <c r="AF125">
        <f t="shared" ref="AF125:AF146" si="39">AF124+AD125</f>
        <v>26</v>
      </c>
    </row>
    <row r="126" spans="1:32">
      <c r="A126" s="251"/>
      <c r="B126" s="23" t="s">
        <v>38</v>
      </c>
      <c r="C126" s="8">
        <f>COUNTIFS('Datos Bachillerato'!$E:$E,C$122,'Datos Bachillerato'!$J:$J,"&gt;=01/04/2023",'Datos Bachillerato'!$J:$J,"&lt;=30/04/2023")</f>
        <v>0</v>
      </c>
      <c r="D126" s="8">
        <f>COUNTIFS('Datos Bachillerato'!$E:$E,D$122,'Datos Bachillerato'!$J:$J,"&gt;=01/04/2023",'Datos Bachillerato'!$J:$J,"&lt;=30/04/2023")</f>
        <v>0</v>
      </c>
      <c r="E126" s="8">
        <f>COUNTIFS('Datos Bachillerato'!$E:$E,E$122,'Datos Bachillerato'!$J:$J,"&gt;=01/04/2023",'Datos Bachillerato'!$J:$J,"&lt;=30/04/2023")</f>
        <v>0</v>
      </c>
      <c r="F126" s="8">
        <f>COUNTIFS('Datos Bachillerato'!$E:$E,F$122,'Datos Bachillerato'!$J:$J,"&gt;=01/04/2023",'Datos Bachillerato'!$J:$J,"&lt;=30/04/2023")</f>
        <v>0</v>
      </c>
      <c r="G126" s="8">
        <f>COUNTIFS('Datos Bachillerato'!$E:$E,G$122,'Datos Bachillerato'!$J:$J,"&gt;=01/04/2023",'Datos Bachillerato'!$J:$J,"&lt;=30/04/2023")</f>
        <v>1</v>
      </c>
      <c r="H126" s="8">
        <f>COUNTIFS('Datos Bachillerato'!$E:$E,H$122,'Datos Bachillerato'!$J:$J,"&gt;=01/04/2023",'Datos Bachillerato'!$J:$J,"&lt;=30/04/2023")</f>
        <v>0</v>
      </c>
      <c r="I126" s="8">
        <f t="shared" si="35"/>
        <v>1</v>
      </c>
      <c r="K126" s="251"/>
      <c r="L126" s="23" t="s">
        <v>38</v>
      </c>
      <c r="M126" s="34">
        <f>SUM(C$123:C126)</f>
        <v>2</v>
      </c>
      <c r="N126" s="34">
        <f>SUM(D$123:D126)</f>
        <v>2</v>
      </c>
      <c r="O126" s="34">
        <f>SUM(E$123:E126)</f>
        <v>0</v>
      </c>
      <c r="P126" s="34">
        <f>SUM(F$123:F126)</f>
        <v>0</v>
      </c>
      <c r="Q126" s="34">
        <f>SUM(G$123:G126)</f>
        <v>1</v>
      </c>
      <c r="R126" s="34">
        <f>SUM(H$123:H126)</f>
        <v>1</v>
      </c>
      <c r="S126" s="8">
        <f t="shared" si="36"/>
        <v>6</v>
      </c>
      <c r="U126" s="251"/>
      <c r="V126" s="23" t="s">
        <v>38</v>
      </c>
      <c r="W126" s="34">
        <f>SUM(C$123:C126)</f>
        <v>2</v>
      </c>
      <c r="X126" s="34">
        <f>SUM(D$123:D126)</f>
        <v>2</v>
      </c>
      <c r="Y126" s="34">
        <f>SUM(E$123:E126)</f>
        <v>0</v>
      </c>
      <c r="Z126" s="34">
        <f>SUM(F$123:F126)</f>
        <v>0</v>
      </c>
      <c r="AA126" s="34">
        <f>SUM(G$123:G126)</f>
        <v>1</v>
      </c>
      <c r="AB126" s="34">
        <f>SUM(H$123:H126)</f>
        <v>1</v>
      </c>
      <c r="AC126" s="8">
        <f t="shared" si="37"/>
        <v>6</v>
      </c>
      <c r="AD126">
        <v>3</v>
      </c>
      <c r="AE126">
        <f t="shared" si="38"/>
        <v>2</v>
      </c>
      <c r="AF126">
        <f t="shared" si="39"/>
        <v>29</v>
      </c>
    </row>
    <row r="127" spans="1:32">
      <c r="A127" s="251"/>
      <c r="B127" s="23" t="s">
        <v>47</v>
      </c>
      <c r="C127" s="8">
        <f>COUNTIFS('Datos Bachillerato'!$E:$E,C$122,'Datos Bachillerato'!$J:$J,"&gt;=01/05/2023",'Datos Bachillerato'!$J:$J,"&lt;=31/05/2023")</f>
        <v>0</v>
      </c>
      <c r="D127" s="8">
        <f>COUNTIFS('Datos Bachillerato'!$E:$E,D$122,'Datos Bachillerato'!$J:$J,"&gt;=01/05/2023",'Datos Bachillerato'!$J:$J,"&lt;=31/05/2023")</f>
        <v>0</v>
      </c>
      <c r="E127" s="8">
        <f>COUNTIFS('Datos Bachillerato'!$E:$E,E$122,'Datos Bachillerato'!$J:$J,"&gt;=01/05/2023",'Datos Bachillerato'!$J:$J,"&lt;=31/05/2023")</f>
        <v>0</v>
      </c>
      <c r="F127" s="8">
        <f>COUNTIFS('Datos Bachillerato'!$E:$E,F$122,'Datos Bachillerato'!$J:$J,"&gt;=01/05/2023",'Datos Bachillerato'!$J:$J,"&lt;=31/05/2023")</f>
        <v>0</v>
      </c>
      <c r="G127" s="8">
        <f>COUNTIFS('Datos Bachillerato'!$E:$E,G$122,'Datos Bachillerato'!$J:$J,"&gt;=01/05/2023",'Datos Bachillerato'!$J:$J,"&lt;=31/05/2023")</f>
        <v>1</v>
      </c>
      <c r="H127" s="8">
        <f>COUNTIFS('Datos Bachillerato'!$E:$E,H$122,'Datos Bachillerato'!$J:$J,"&gt;=01/05/2023",'Datos Bachillerato'!$J:$J,"&lt;=31/05/2023")</f>
        <v>1</v>
      </c>
      <c r="I127" s="8">
        <f t="shared" si="35"/>
        <v>2</v>
      </c>
      <c r="K127" s="251"/>
      <c r="L127" s="23" t="s">
        <v>47</v>
      </c>
      <c r="M127" s="34">
        <f>SUM(C$123:C127)</f>
        <v>2</v>
      </c>
      <c r="N127" s="34">
        <f>SUM(D$123:D127)</f>
        <v>2</v>
      </c>
      <c r="O127" s="34">
        <f>SUM(E$123:E127)</f>
        <v>0</v>
      </c>
      <c r="P127" s="34">
        <f>SUM(F$123:F127)</f>
        <v>0</v>
      </c>
      <c r="Q127" s="34">
        <f>SUM(G$123:G127)</f>
        <v>2</v>
      </c>
      <c r="R127" s="34">
        <f>SUM(H$123:H127)</f>
        <v>2</v>
      </c>
      <c r="S127" s="8">
        <f t="shared" si="36"/>
        <v>8</v>
      </c>
      <c r="U127" s="251"/>
      <c r="V127" s="23" t="s">
        <v>47</v>
      </c>
      <c r="W127" s="34">
        <f>SUM(C$123:C127)</f>
        <v>2</v>
      </c>
      <c r="X127" s="34">
        <f>SUM(D$123:D127)</f>
        <v>2</v>
      </c>
      <c r="Y127" s="34">
        <f>SUM(E$123:E127)</f>
        <v>0</v>
      </c>
      <c r="Z127" s="34">
        <f>SUM(F$123:F127)</f>
        <v>0</v>
      </c>
      <c r="AA127" s="34">
        <f>SUM(G$123:G127)</f>
        <v>2</v>
      </c>
      <c r="AB127" s="34">
        <f>SUM(H$123:H127)</f>
        <v>2</v>
      </c>
      <c r="AC127" s="8">
        <f t="shared" si="37"/>
        <v>8</v>
      </c>
      <c r="AD127">
        <v>3</v>
      </c>
      <c r="AE127">
        <f t="shared" si="38"/>
        <v>1</v>
      </c>
      <c r="AF127">
        <f t="shared" si="39"/>
        <v>32</v>
      </c>
    </row>
    <row r="128" spans="1:32">
      <c r="A128" s="251"/>
      <c r="B128" s="23" t="s">
        <v>57</v>
      </c>
      <c r="C128" s="8">
        <f>COUNTIFS('Datos Bachillerato'!$E:$E,C$122,'Datos Bachillerato'!$J:$J,"&gt;=01/06/2023",'Datos Bachillerato'!$J:$J,"&lt;=30/06/2023")</f>
        <v>0</v>
      </c>
      <c r="D128" s="8">
        <f>COUNTIFS('Datos Bachillerato'!$E:$E,D$122,'Datos Bachillerato'!$J:$J,"&gt;=01/06/2023",'Datos Bachillerato'!$J:$J,"&lt;=30/06/2023")</f>
        <v>0</v>
      </c>
      <c r="E128" s="8">
        <f>COUNTIFS('Datos Bachillerato'!$E:$E,E$122,'Datos Bachillerato'!$J:$J,"&gt;=01/06/2023",'Datos Bachillerato'!$J:$J,"&lt;=30/06/2023")</f>
        <v>0</v>
      </c>
      <c r="F128" s="8">
        <f>COUNTIFS('Datos Bachillerato'!$E:$E,F$122,'Datos Bachillerato'!$J:$J,"&gt;=01/06/2023",'Datos Bachillerato'!$J:$J,"&lt;=30/06/2023")</f>
        <v>0</v>
      </c>
      <c r="G128" s="8">
        <f>COUNTIFS('Datos Bachillerato'!$E:$E,G$122,'Datos Bachillerato'!$J:$J,"&gt;=01/06/2023",'Datos Bachillerato'!$J:$J,"&lt;=30/06/2023")</f>
        <v>0</v>
      </c>
      <c r="H128" s="8">
        <f>COUNTIFS('Datos Bachillerato'!$E:$E,H$122,'Datos Bachillerato'!$J:$J,"&gt;=01/06/2023",'Datos Bachillerato'!$J:$J,"&lt;=30/06/2023")</f>
        <v>1</v>
      </c>
      <c r="I128" s="8">
        <f t="shared" si="35"/>
        <v>1</v>
      </c>
      <c r="K128" s="251"/>
      <c r="L128" s="23" t="s">
        <v>57</v>
      </c>
      <c r="M128" s="34">
        <f>SUM(C$123:C128)</f>
        <v>2</v>
      </c>
      <c r="N128" s="34">
        <f>SUM(D$123:D128)</f>
        <v>2</v>
      </c>
      <c r="O128" s="34">
        <f>SUM(E$123:E128)</f>
        <v>0</v>
      </c>
      <c r="P128" s="34">
        <f>SUM(F$123:F128)</f>
        <v>0</v>
      </c>
      <c r="Q128" s="34">
        <f>SUM(G$123:G128)</f>
        <v>2</v>
      </c>
      <c r="R128" s="34">
        <f>SUM(H$123:H128)</f>
        <v>3</v>
      </c>
      <c r="S128" s="8">
        <f t="shared" si="36"/>
        <v>9</v>
      </c>
      <c r="U128" s="251"/>
      <c r="V128" s="23" t="s">
        <v>57</v>
      </c>
      <c r="W128" s="34">
        <f>SUM(C$123:C128)</f>
        <v>2</v>
      </c>
      <c r="X128" s="34">
        <f>SUM(D$123:D128)</f>
        <v>2</v>
      </c>
      <c r="Y128" s="34">
        <f>SUM(E$123:E128)</f>
        <v>0</v>
      </c>
      <c r="Z128" s="34">
        <f>SUM(F$123:F128)</f>
        <v>0</v>
      </c>
      <c r="AA128" s="34">
        <f>SUM(G$123:G128)</f>
        <v>2</v>
      </c>
      <c r="AB128" s="34">
        <f>SUM(H$123:H128)</f>
        <v>3</v>
      </c>
      <c r="AC128" s="8">
        <f t="shared" si="37"/>
        <v>9</v>
      </c>
      <c r="AD128">
        <v>2</v>
      </c>
      <c r="AE128">
        <f t="shared" si="38"/>
        <v>1</v>
      </c>
      <c r="AF128">
        <f t="shared" si="39"/>
        <v>34</v>
      </c>
    </row>
    <row r="129" spans="1:32">
      <c r="A129" s="251"/>
      <c r="B129" s="23" t="s">
        <v>62</v>
      </c>
      <c r="C129" s="8">
        <f>COUNTIFS('Datos Bachillerato'!$E:$E,C$122,'Datos Bachillerato'!$J:$J,"&gt;=01/07/2023",'Datos Bachillerato'!$J:$J,"&lt;=31/07/2023")</f>
        <v>0</v>
      </c>
      <c r="D129" s="8">
        <f>COUNTIFS('Datos Bachillerato'!$E:$E,D$122,'Datos Bachillerato'!$J:$J,"&gt;=01/07/2023",'Datos Bachillerato'!$J:$J,"&lt;=31/07/2023")</f>
        <v>2</v>
      </c>
      <c r="E129" s="8">
        <f>COUNTIFS('Datos Bachillerato'!$E:$E,E$122,'Datos Bachillerato'!$J:$J,"&gt;=01/07/2023",'Datos Bachillerato'!$J:$J,"&lt;=31/07/2023")</f>
        <v>1</v>
      </c>
      <c r="F129" s="8">
        <f>COUNTIFS('Datos Bachillerato'!$E:$E,F$122,'Datos Bachillerato'!$J:$J,"&gt;=01/07/2023",'Datos Bachillerato'!$J:$J,"&lt;=31/07/2023")</f>
        <v>0</v>
      </c>
      <c r="G129" s="8">
        <f>COUNTIFS('Datos Bachillerato'!$E:$E,G$122,'Datos Bachillerato'!$J:$J,"&gt;=01/07/2023",'Datos Bachillerato'!$J:$J,"&lt;=31/07/2023")</f>
        <v>0</v>
      </c>
      <c r="H129" s="8">
        <f>COUNTIFS('Datos Bachillerato'!$E:$E,H$122,'Datos Bachillerato'!$J:$J,"&gt;=01/07/2023",'Datos Bachillerato'!$J:$J,"&lt;=31/07/2023")</f>
        <v>0</v>
      </c>
      <c r="I129" s="8">
        <f t="shared" si="35"/>
        <v>3</v>
      </c>
      <c r="K129" s="251"/>
      <c r="L129" s="23" t="s">
        <v>62</v>
      </c>
      <c r="M129" s="34">
        <f>SUM(C$123:C129)</f>
        <v>2</v>
      </c>
      <c r="N129" s="34">
        <f>SUM(D$123:D129)</f>
        <v>4</v>
      </c>
      <c r="O129" s="34">
        <f>SUM(E$123:E129)</f>
        <v>1</v>
      </c>
      <c r="P129" s="34">
        <f>SUM(F$123:F129)</f>
        <v>0</v>
      </c>
      <c r="Q129" s="34">
        <f>SUM(G$123:G129)</f>
        <v>2</v>
      </c>
      <c r="R129" s="34">
        <f>SUM(H$123:H129)</f>
        <v>3</v>
      </c>
      <c r="S129" s="8">
        <f t="shared" si="36"/>
        <v>12</v>
      </c>
      <c r="U129" s="251"/>
      <c r="V129" s="23" t="s">
        <v>62</v>
      </c>
      <c r="W129" s="34">
        <f>SUM(C$123:C129)</f>
        <v>2</v>
      </c>
      <c r="X129" s="34">
        <f>SUM(D$123:D129)</f>
        <v>4</v>
      </c>
      <c r="Y129" s="34">
        <f>SUM(E$123:E129)</f>
        <v>1</v>
      </c>
      <c r="Z129" s="34">
        <f>SUM(F$123:F129)</f>
        <v>0</v>
      </c>
      <c r="AA129" s="34">
        <f>SUM(G$123:G129)</f>
        <v>2</v>
      </c>
      <c r="AB129" s="34">
        <f>SUM(H$123:H129)</f>
        <v>3</v>
      </c>
      <c r="AC129" s="8">
        <f t="shared" si="37"/>
        <v>12</v>
      </c>
      <c r="AD129">
        <v>4</v>
      </c>
      <c r="AE129">
        <f t="shared" si="38"/>
        <v>1</v>
      </c>
      <c r="AF129">
        <f t="shared" si="39"/>
        <v>38</v>
      </c>
    </row>
    <row r="130" spans="1:32">
      <c r="A130" s="251"/>
      <c r="B130" s="23" t="s">
        <v>68</v>
      </c>
      <c r="C130" s="8">
        <f>COUNTIFS('Datos Bachillerato'!$E:$E,C$122,'Datos Bachillerato'!$J:$J,"&gt;=01/08/2023",'Datos Bachillerato'!$J:$J,"&lt;=31/08/2023")</f>
        <v>2</v>
      </c>
      <c r="D130" s="8">
        <f>COUNTIFS('Datos Bachillerato'!$E:$E,D$122,'Datos Bachillerato'!$J:$J,"&gt;=01/08/2023",'Datos Bachillerato'!$J:$J,"&lt;=31/08/2023")</f>
        <v>1</v>
      </c>
      <c r="E130" s="8">
        <f>COUNTIFS('Datos Bachillerato'!$E:$E,E$122,'Datos Bachillerato'!$J:$J,"&gt;=01/08/2023",'Datos Bachillerato'!$J:$J,"&lt;=31/08/2023")</f>
        <v>1</v>
      </c>
      <c r="F130" s="8">
        <f>COUNTIFS('Datos Bachillerato'!$E:$E,F$122,'Datos Bachillerato'!$J:$J,"&gt;=01/08/2023",'Datos Bachillerato'!$J:$J,"&lt;=31/08/2023")</f>
        <v>1</v>
      </c>
      <c r="G130" s="8">
        <f>COUNTIFS('Datos Bachillerato'!$E:$E,G$122,'Datos Bachillerato'!$J:$J,"&gt;=01/08/2023",'Datos Bachillerato'!$J:$J,"&lt;=31/08/2023")</f>
        <v>0</v>
      </c>
      <c r="H130" s="8">
        <f>COUNTIFS('Datos Bachillerato'!$E:$E,H$122,'Datos Bachillerato'!$J:$J,"&gt;=01/08/2023",'Datos Bachillerato'!$J:$J,"&lt;=31/08/2023")</f>
        <v>1</v>
      </c>
      <c r="I130" s="8">
        <f t="shared" si="35"/>
        <v>6</v>
      </c>
      <c r="K130" s="251"/>
      <c r="L130" s="23" t="s">
        <v>68</v>
      </c>
      <c r="M130" s="34">
        <f>SUM(C$123:C130)</f>
        <v>4</v>
      </c>
      <c r="N130" s="34">
        <f>SUM(D$123:D130)</f>
        <v>5</v>
      </c>
      <c r="O130" s="34">
        <f>SUM(E$123:E130)</f>
        <v>2</v>
      </c>
      <c r="P130" s="34">
        <f>SUM(F$123:F130)</f>
        <v>1</v>
      </c>
      <c r="Q130" s="34">
        <f>SUM(G$123:G130)</f>
        <v>2</v>
      </c>
      <c r="R130" s="34">
        <f>SUM(H$123:H130)</f>
        <v>4</v>
      </c>
      <c r="S130" s="8">
        <f t="shared" si="36"/>
        <v>18</v>
      </c>
      <c r="U130" s="251"/>
      <c r="V130" s="23" t="s">
        <v>68</v>
      </c>
      <c r="W130" s="34">
        <f>SUM(C$123:C130)</f>
        <v>4</v>
      </c>
      <c r="X130" s="34">
        <f>SUM(D$123:D130)</f>
        <v>5</v>
      </c>
      <c r="Y130" s="34">
        <f>SUM(E$123:E130)</f>
        <v>2</v>
      </c>
      <c r="Z130" s="34">
        <f>SUM(F$123:F130)</f>
        <v>1</v>
      </c>
      <c r="AA130" s="34">
        <f>SUM(G$123:G130)</f>
        <v>2</v>
      </c>
      <c r="AB130" s="34">
        <f>SUM(H$123:H130)</f>
        <v>4</v>
      </c>
      <c r="AC130" s="8">
        <f t="shared" si="37"/>
        <v>18</v>
      </c>
      <c r="AD130">
        <v>5</v>
      </c>
      <c r="AE130">
        <f t="shared" si="38"/>
        <v>-1</v>
      </c>
      <c r="AF130">
        <f t="shared" si="39"/>
        <v>43</v>
      </c>
    </row>
    <row r="131" spans="1:32">
      <c r="A131" s="251"/>
      <c r="B131" s="23" t="s">
        <v>77</v>
      </c>
      <c r="C131" s="8">
        <f>COUNTIFS('Datos Bachillerato'!$E:$E,C$122,'Datos Bachillerato'!$J:$J,"&gt;=01/09/2023",'Datos Bachillerato'!$J:$J,"&lt;=30/09/2023")</f>
        <v>0</v>
      </c>
      <c r="D131" s="8">
        <f>COUNTIFS('Datos Bachillerato'!$E:$E,D$122,'Datos Bachillerato'!$J:$J,"&gt;=01/09/2023",'Datos Bachillerato'!$J:$J,"&lt;=30/09/2023")</f>
        <v>1</v>
      </c>
      <c r="E131" s="8">
        <f>COUNTIFS('Datos Bachillerato'!$E:$E,E$122,'Datos Bachillerato'!$J:$J,"&gt;=01/09/2023",'Datos Bachillerato'!$J:$J,"&lt;=30/09/2023")</f>
        <v>1</v>
      </c>
      <c r="F131" s="8">
        <f>COUNTIFS('Datos Bachillerato'!$E:$E,F$122,'Datos Bachillerato'!$J:$J,"&gt;=01/09/2023",'Datos Bachillerato'!$J:$J,"&lt;=30/09/2023")</f>
        <v>0</v>
      </c>
      <c r="G131" s="8">
        <f>COUNTIFS('Datos Bachillerato'!$E:$E,G$122,'Datos Bachillerato'!$J:$J,"&gt;=01/09/2023",'Datos Bachillerato'!$J:$J,"&lt;=30/09/2023")</f>
        <v>1</v>
      </c>
      <c r="H131" s="8">
        <f>COUNTIFS('Datos Bachillerato'!$E:$E,H$122,'Datos Bachillerato'!$J:$J,"&gt;=01/09/2023",'Datos Bachillerato'!$J:$J,"&lt;=30/09/2023")</f>
        <v>0</v>
      </c>
      <c r="I131" s="8">
        <f t="shared" si="35"/>
        <v>3</v>
      </c>
      <c r="K131" s="251"/>
      <c r="L131" s="23" t="s">
        <v>77</v>
      </c>
      <c r="M131" s="34">
        <f>SUM(C$123:C131)</f>
        <v>4</v>
      </c>
      <c r="N131" s="34">
        <f>SUM(D$123:D131)</f>
        <v>6</v>
      </c>
      <c r="O131" s="34">
        <f>SUM(E$123:E131)</f>
        <v>3</v>
      </c>
      <c r="P131" s="34">
        <f>SUM(F$123:F131)</f>
        <v>1</v>
      </c>
      <c r="Q131" s="34">
        <f>SUM(G$123:G131)</f>
        <v>3</v>
      </c>
      <c r="R131" s="34">
        <f>SUM(H$123:H131)</f>
        <v>4</v>
      </c>
      <c r="S131" s="8">
        <f t="shared" si="36"/>
        <v>21</v>
      </c>
      <c r="U131" s="251"/>
      <c r="V131" s="23" t="s">
        <v>77</v>
      </c>
      <c r="W131" s="34">
        <f>SUM(C$123:C131)</f>
        <v>4</v>
      </c>
      <c r="X131" s="34">
        <f>SUM(D$123:D131)</f>
        <v>6</v>
      </c>
      <c r="Y131" s="34">
        <f>SUM(E$123:E131)</f>
        <v>3</v>
      </c>
      <c r="Z131" s="34">
        <f>SUM(F$123:F131)</f>
        <v>1</v>
      </c>
      <c r="AA131" s="34">
        <f>SUM(G$123:G131)</f>
        <v>3</v>
      </c>
      <c r="AB131" s="34">
        <f>SUM(H$123:H131)</f>
        <v>4</v>
      </c>
      <c r="AC131" s="8">
        <f t="shared" si="37"/>
        <v>21</v>
      </c>
      <c r="AD131">
        <v>5</v>
      </c>
      <c r="AE131">
        <f t="shared" si="38"/>
        <v>2</v>
      </c>
      <c r="AF131">
        <f t="shared" si="39"/>
        <v>48</v>
      </c>
    </row>
    <row r="132" spans="1:32">
      <c r="A132" s="251"/>
      <c r="B132" s="23" t="s">
        <v>84</v>
      </c>
      <c r="C132" s="8">
        <f>COUNTIFS('Datos Bachillerato'!$E:$E,C$122,'Datos Bachillerato'!$J:$J,"&gt;=01/10/2023",'Datos Bachillerato'!$J:$J,"&lt;=31/10/2023")</f>
        <v>0</v>
      </c>
      <c r="D132" s="8">
        <f>COUNTIFS('Datos Bachillerato'!$E:$E,D$122,'Datos Bachillerato'!$J:$J,"&gt;=01/10/2023",'Datos Bachillerato'!$J:$J,"&lt;=31/10/2023")</f>
        <v>0</v>
      </c>
      <c r="E132" s="8">
        <f>COUNTIFS('Datos Bachillerato'!$E:$E,E$122,'Datos Bachillerato'!$J:$J,"&gt;=01/10/2023",'Datos Bachillerato'!$J:$J,"&lt;=31/10/2023")</f>
        <v>0</v>
      </c>
      <c r="F132" s="8">
        <f>COUNTIFS('Datos Bachillerato'!$E:$E,F$122,'Datos Bachillerato'!$J:$J,"&gt;=01/10/2023",'Datos Bachillerato'!$J:$J,"&lt;=31/10/2023")</f>
        <v>1</v>
      </c>
      <c r="G132" s="8">
        <f>COUNTIFS('Datos Bachillerato'!$E:$E,G$122,'Datos Bachillerato'!$J:$J,"&gt;=01/10/2023",'Datos Bachillerato'!$J:$J,"&lt;=31/10/2023")</f>
        <v>1</v>
      </c>
      <c r="H132" s="8">
        <f>COUNTIFS('Datos Bachillerato'!$E:$E,H$122,'Datos Bachillerato'!$J:$J,"&gt;=01/10/2023",'Datos Bachillerato'!$J:$J,"&lt;=31/10/2023")</f>
        <v>0</v>
      </c>
      <c r="I132" s="8">
        <f t="shared" si="35"/>
        <v>2</v>
      </c>
      <c r="K132" s="251"/>
      <c r="L132" s="23" t="s">
        <v>84</v>
      </c>
      <c r="M132" s="34">
        <f>SUM(C$123:C132)</f>
        <v>4</v>
      </c>
      <c r="N132" s="34">
        <f>SUM(D$123:D132)</f>
        <v>6</v>
      </c>
      <c r="O132" s="34">
        <f>SUM(E$123:E132)</f>
        <v>3</v>
      </c>
      <c r="P132" s="34">
        <f>SUM(F$123:F132)</f>
        <v>2</v>
      </c>
      <c r="Q132" s="34">
        <f>SUM(G$123:G132)</f>
        <v>4</v>
      </c>
      <c r="R132" s="34">
        <f>SUM(H$123:H132)</f>
        <v>4</v>
      </c>
      <c r="S132" s="8">
        <f t="shared" si="36"/>
        <v>23</v>
      </c>
      <c r="U132" s="251"/>
      <c r="V132" s="23" t="s">
        <v>84</v>
      </c>
      <c r="W132" s="34">
        <f>SUM(C$123:C132)</f>
        <v>4</v>
      </c>
      <c r="X132" s="34">
        <f>SUM(D$123:D132)</f>
        <v>6</v>
      </c>
      <c r="Y132" s="34">
        <f>SUM(E$123:E132)</f>
        <v>3</v>
      </c>
      <c r="Z132" s="34">
        <f>SUM(F$123:F132)</f>
        <v>2</v>
      </c>
      <c r="AA132" s="34">
        <f>SUM(G$123:G132)</f>
        <v>4</v>
      </c>
      <c r="AB132" s="34">
        <f>SUM(H$123:H132)</f>
        <v>4</v>
      </c>
      <c r="AC132" s="8">
        <f t="shared" si="37"/>
        <v>23</v>
      </c>
      <c r="AD132">
        <v>1</v>
      </c>
      <c r="AE132">
        <f t="shared" si="38"/>
        <v>-1</v>
      </c>
      <c r="AF132">
        <f t="shared" si="39"/>
        <v>49</v>
      </c>
    </row>
    <row r="133" spans="1:32">
      <c r="A133" s="251"/>
      <c r="B133" s="23" t="s">
        <v>87</v>
      </c>
      <c r="C133" s="8">
        <f>COUNTIFS('Datos Bachillerato'!$E:$E,C$122,'Datos Bachillerato'!$J:$J,"&gt;=01/11/2023",'Datos Bachillerato'!$J:$J,"&lt;=30/11/2023")</f>
        <v>0</v>
      </c>
      <c r="D133" s="8">
        <f>COUNTIFS('Datos Bachillerato'!$E:$E,D$122,'Datos Bachillerato'!$J:$J,"&gt;=01/11/2023",'Datos Bachillerato'!$J:$J,"&lt;=30/11/2023")</f>
        <v>1</v>
      </c>
      <c r="E133" s="8">
        <f>COUNTIFS('Datos Bachillerato'!$E:$E,E$122,'Datos Bachillerato'!$J:$J,"&gt;=01/11/2023",'Datos Bachillerato'!$J:$J,"&lt;=30/11/2023")</f>
        <v>1</v>
      </c>
      <c r="F133" s="8">
        <f>COUNTIFS('Datos Bachillerato'!$E:$E,F$122,'Datos Bachillerato'!$J:$J,"&gt;=01/11/2023",'Datos Bachillerato'!$J:$J,"&lt;=30/11/2023")</f>
        <v>0</v>
      </c>
      <c r="G133" s="8">
        <f>COUNTIFS('Datos Bachillerato'!$E:$E,G$122,'Datos Bachillerato'!$J:$J,"&gt;=01/11/2023",'Datos Bachillerato'!$J:$J,"&lt;=30/11/2023")</f>
        <v>0</v>
      </c>
      <c r="H133" s="8">
        <f>COUNTIFS('Datos Bachillerato'!$E:$E,H$122,'Datos Bachillerato'!$J:$J,"&gt;=01/11/2023",'Datos Bachillerato'!$J:$J,"&lt;=30/11/2023")</f>
        <v>1</v>
      </c>
      <c r="I133" s="8">
        <f t="shared" si="35"/>
        <v>3</v>
      </c>
      <c r="K133" s="251"/>
      <c r="L133" s="23" t="s">
        <v>87</v>
      </c>
      <c r="M133" s="34">
        <f>SUM(C$123:C133)</f>
        <v>4</v>
      </c>
      <c r="N133" s="34">
        <f>SUM(D$123:D133)</f>
        <v>7</v>
      </c>
      <c r="O133" s="34">
        <f>SUM(E$123:E133)</f>
        <v>4</v>
      </c>
      <c r="P133" s="34">
        <f>SUM(F$123:F133)</f>
        <v>2</v>
      </c>
      <c r="Q133" s="34">
        <f>SUM(G$123:G133)</f>
        <v>4</v>
      </c>
      <c r="R133" s="34">
        <f>SUM(H$123:H133)</f>
        <v>5</v>
      </c>
      <c r="S133" s="8">
        <f t="shared" si="36"/>
        <v>26</v>
      </c>
      <c r="U133" s="251"/>
      <c r="V133" s="23" t="s">
        <v>87</v>
      </c>
      <c r="W133" s="34">
        <f>SUM(C$123:C133)</f>
        <v>4</v>
      </c>
      <c r="X133" s="34">
        <f>SUM(D$123:D133)</f>
        <v>7</v>
      </c>
      <c r="Y133" s="34">
        <f>SUM(E$123:E133)</f>
        <v>4</v>
      </c>
      <c r="Z133" s="34">
        <f>SUM(F$123:F133)</f>
        <v>2</v>
      </c>
      <c r="AA133" s="34">
        <f>SUM(G$123:G133)</f>
        <v>4</v>
      </c>
      <c r="AB133" s="34">
        <f>SUM(H$123:H133)</f>
        <v>5</v>
      </c>
      <c r="AC133" s="8">
        <f t="shared" si="37"/>
        <v>26</v>
      </c>
      <c r="AD133">
        <v>4</v>
      </c>
      <c r="AE133">
        <f t="shared" si="38"/>
        <v>1</v>
      </c>
      <c r="AF133">
        <f t="shared" si="39"/>
        <v>53</v>
      </c>
    </row>
    <row r="134" spans="1:32">
      <c r="A134" s="251"/>
      <c r="B134" s="23" t="s">
        <v>173</v>
      </c>
      <c r="C134" s="8">
        <f>COUNTIFS('Datos Bachillerato'!$E:$E,C$122,'Datos Bachillerato'!$J:$J,"&gt;=01/12/2023",'Datos Bachillerato'!$J:$J,"&lt;=31/12/2023")</f>
        <v>0</v>
      </c>
      <c r="D134" s="8">
        <f>COUNTIFS('Datos Bachillerato'!$E:$E,D$122,'Datos Bachillerato'!$J:$J,"&gt;=01/12/2023",'Datos Bachillerato'!$J:$J,"&lt;=31/12/2023")</f>
        <v>0</v>
      </c>
      <c r="E134" s="8">
        <f>COUNTIFS('Datos Bachillerato'!$E:$E,E$122,'Datos Bachillerato'!$J:$J,"&gt;=01/12/2023",'Datos Bachillerato'!$J:$J,"&lt;=31/12/2023")</f>
        <v>0</v>
      </c>
      <c r="F134" s="8">
        <f>COUNTIFS('Datos Bachillerato'!$E:$E,F$122,'Datos Bachillerato'!$J:$J,"&gt;=01/12/2023",'Datos Bachillerato'!$J:$J,"&lt;=31/12/2023")</f>
        <v>0</v>
      </c>
      <c r="G134" s="8">
        <f>COUNTIFS('Datos Bachillerato'!$E:$E,G$122,'Datos Bachillerato'!$J:$J,"&gt;=01/12/2023",'Datos Bachillerato'!$J:$J,"&lt;=31/12/2023")</f>
        <v>0</v>
      </c>
      <c r="H134" s="8">
        <f>COUNTIFS('Datos Bachillerato'!$E:$E,H$122,'Datos Bachillerato'!$J:$J,"&gt;=01/12/2023",'Datos Bachillerato'!$J:$J,"&lt;=31/12/2023")</f>
        <v>1</v>
      </c>
      <c r="I134" s="8">
        <f t="shared" si="35"/>
        <v>1</v>
      </c>
      <c r="K134" s="251"/>
      <c r="L134" s="23" t="s">
        <v>173</v>
      </c>
      <c r="M134" s="34">
        <f>SUM(C$123:C134)</f>
        <v>4</v>
      </c>
      <c r="N134" s="34">
        <f>SUM(D$123:D134)</f>
        <v>7</v>
      </c>
      <c r="O134" s="34">
        <f>SUM(E$123:E134)</f>
        <v>4</v>
      </c>
      <c r="P134" s="34">
        <f>SUM(F$123:F134)</f>
        <v>2</v>
      </c>
      <c r="Q134" s="34">
        <f>SUM(G$123:G134)</f>
        <v>4</v>
      </c>
      <c r="R134" s="34">
        <f>SUM(H$123:H134)</f>
        <v>6</v>
      </c>
      <c r="S134" s="8">
        <f t="shared" si="36"/>
        <v>27</v>
      </c>
      <c r="U134" s="251"/>
      <c r="V134" s="23" t="s">
        <v>173</v>
      </c>
      <c r="W134" s="34">
        <f>SUM(C$123:C134)</f>
        <v>4</v>
      </c>
      <c r="X134" s="34">
        <f>SUM(D$123:D134)</f>
        <v>7</v>
      </c>
      <c r="Y134" s="34">
        <f>SUM(E$123:E134)</f>
        <v>4</v>
      </c>
      <c r="Z134" s="34">
        <f>SUM(F$123:F134)</f>
        <v>2</v>
      </c>
      <c r="AA134" s="34">
        <f>SUM(G$123:G134)</f>
        <v>4</v>
      </c>
      <c r="AB134" s="34">
        <f>SUM(H$123:H134)</f>
        <v>6</v>
      </c>
      <c r="AC134" s="8">
        <f t="shared" si="37"/>
        <v>27</v>
      </c>
      <c r="AD134">
        <v>1</v>
      </c>
      <c r="AE134">
        <f t="shared" si="38"/>
        <v>0</v>
      </c>
      <c r="AF134">
        <f t="shared" si="39"/>
        <v>54</v>
      </c>
    </row>
    <row r="135" spans="1:32" ht="14.45" customHeight="1">
      <c r="A135" s="251">
        <f>A15</f>
        <v>2024</v>
      </c>
      <c r="B135" s="23" t="s">
        <v>13</v>
      </c>
      <c r="C135" s="8">
        <f>COUNTIFS('Datos Bachillerato'!$E:$E,C$122,'Datos Bachillerato'!$J:$J,"&gt;=01/01/2024",'Datos Bachillerato'!$J:$J,"&lt;=31/01/2024")</f>
        <v>0</v>
      </c>
      <c r="D135" s="8">
        <f>COUNTIFS('Datos Bachillerato'!$E:$E,D$122,'Datos Bachillerato'!$J:$J,"&gt;=01/01/2024",'Datos Bachillerato'!$J:$J,"&lt;=31/01/2024")</f>
        <v>1</v>
      </c>
      <c r="E135" s="8">
        <f>COUNTIFS('Datos Bachillerato'!$E:$E,E$122,'Datos Bachillerato'!$J:$J,"&gt;=01/01/2024",'Datos Bachillerato'!$J:$J,"&lt;=31/01/2024")</f>
        <v>0</v>
      </c>
      <c r="F135" s="8">
        <f>COUNTIFS('Datos Bachillerato'!$E:$E,F$122,'Datos Bachillerato'!$J:$J,"&gt;=01/01/2024",'Datos Bachillerato'!$J:$J,"&lt;=31/01/2024")</f>
        <v>2</v>
      </c>
      <c r="G135" s="8">
        <f>COUNTIFS('Datos Bachillerato'!$E:$E,G$122,'Datos Bachillerato'!$J:$J,"&gt;=01/01/2024",'Datos Bachillerato'!$J:$J,"&lt;=31/01/2024")</f>
        <v>1</v>
      </c>
      <c r="H135" s="8">
        <f>COUNTIFS('Datos Bachillerato'!$E:$E,H$122,'Datos Bachillerato'!$J:$J,"&gt;=01/01/2024",'Datos Bachillerato'!$J:$J,"&lt;=31/01/2024")</f>
        <v>0</v>
      </c>
      <c r="I135" s="8">
        <f t="shared" ref="I135:I146" si="40">SUM(C135:H135)</f>
        <v>4</v>
      </c>
      <c r="K135" s="251">
        <f>A135</f>
        <v>2024</v>
      </c>
      <c r="L135" s="23" t="s">
        <v>13</v>
      </c>
      <c r="M135" s="34">
        <f>SUM(C$135:C135)</f>
        <v>0</v>
      </c>
      <c r="N135" s="34">
        <f>SUM(D$135:D135)</f>
        <v>1</v>
      </c>
      <c r="O135" s="34">
        <f>SUM(E$135:E135)</f>
        <v>0</v>
      </c>
      <c r="P135" s="34">
        <f>SUM(F$135:F135)</f>
        <v>2</v>
      </c>
      <c r="Q135" s="34">
        <f>SUM(G$135:G135)</f>
        <v>1</v>
      </c>
      <c r="R135" s="34">
        <f>SUM(H$135:H135)</f>
        <v>0</v>
      </c>
      <c r="S135" s="8">
        <f t="shared" ref="S135:S146" si="41">SUM(M135:R135)</f>
        <v>4</v>
      </c>
      <c r="U135" s="251">
        <f>A135</f>
        <v>2024</v>
      </c>
      <c r="V135" s="23" t="s">
        <v>13</v>
      </c>
      <c r="W135" s="34">
        <f>SUM(C$123:C135)</f>
        <v>4</v>
      </c>
      <c r="X135" s="34">
        <f>SUM(D$123:D135)</f>
        <v>8</v>
      </c>
      <c r="Y135" s="34">
        <f>SUM(E$123:E135)</f>
        <v>4</v>
      </c>
      <c r="Z135" s="34">
        <f>SUM(F$123:F135)</f>
        <v>4</v>
      </c>
      <c r="AA135" s="34">
        <f>SUM(G$123:G135)</f>
        <v>5</v>
      </c>
      <c r="AB135" s="34">
        <f>SUM(H$123:H135)</f>
        <v>6</v>
      </c>
      <c r="AC135" s="8">
        <f t="shared" ref="AC135:AC146" si="42">SUM(W135:AB135)</f>
        <v>31</v>
      </c>
      <c r="AD135">
        <v>8</v>
      </c>
      <c r="AE135">
        <f t="shared" si="38"/>
        <v>4</v>
      </c>
      <c r="AF135">
        <f t="shared" si="39"/>
        <v>62</v>
      </c>
    </row>
    <row r="136" spans="1:32">
      <c r="A136" s="251"/>
      <c r="B136" s="23" t="s">
        <v>24</v>
      </c>
      <c r="C136" s="8">
        <f>COUNTIFS('Datos Bachillerato'!$E:$E,C$122,'Datos Bachillerato'!$J:$J,"&gt;=01/02/2024",'Datos Bachillerato'!$J:$J,"&lt;=29/02/2024")</f>
        <v>2</v>
      </c>
      <c r="D136" s="8">
        <f>COUNTIFS('Datos Bachillerato'!$E:$E,D$122,'Datos Bachillerato'!$J:$J,"&gt;=01/02/2024",'Datos Bachillerato'!$J:$J,"&lt;=29/02/2024")</f>
        <v>0</v>
      </c>
      <c r="E136" s="8">
        <f>COUNTIFS('Datos Bachillerato'!$E:$E,E$122,'Datos Bachillerato'!$J:$J,"&gt;=01/02/2024",'Datos Bachillerato'!$J:$J,"&lt;=29/02/2024")</f>
        <v>3</v>
      </c>
      <c r="F136" s="8">
        <f>COUNTIFS('Datos Bachillerato'!$E:$E,F$122,'Datos Bachillerato'!$J:$J,"&gt;=01/02/2024",'Datos Bachillerato'!$J:$J,"&lt;=29/02/2024")</f>
        <v>1</v>
      </c>
      <c r="G136" s="8">
        <f>COUNTIFS('Datos Bachillerato'!$E:$E,G$122,'Datos Bachillerato'!$J:$J,"&gt;=01/02/2024",'Datos Bachillerato'!$J:$J,"&lt;=29/02/2024")</f>
        <v>1</v>
      </c>
      <c r="H136" s="8">
        <f>COUNTIFS('Datos Bachillerato'!$E:$E,H$122,'Datos Bachillerato'!$J:$J,"&gt;=01/02/2024",'Datos Bachillerato'!$J:$J,"&lt;=29/02/2024")</f>
        <v>0</v>
      </c>
      <c r="I136" s="8">
        <f t="shared" si="40"/>
        <v>7</v>
      </c>
      <c r="K136" s="251"/>
      <c r="L136" s="23" t="s">
        <v>24</v>
      </c>
      <c r="M136" s="34">
        <f>SUM(C$135:C136)</f>
        <v>2</v>
      </c>
      <c r="N136" s="34">
        <f>SUM(D$135:D136)</f>
        <v>1</v>
      </c>
      <c r="O136" s="34">
        <f>SUM(E$135:E136)</f>
        <v>3</v>
      </c>
      <c r="P136" s="34">
        <f>SUM(F$135:F136)</f>
        <v>3</v>
      </c>
      <c r="Q136" s="34">
        <f>SUM(G$135:G136)</f>
        <v>2</v>
      </c>
      <c r="R136" s="34">
        <f>SUM(H$135:H136)</f>
        <v>0</v>
      </c>
      <c r="S136" s="8">
        <f t="shared" si="41"/>
        <v>11</v>
      </c>
      <c r="U136" s="251"/>
      <c r="V136" s="23" t="s">
        <v>24</v>
      </c>
      <c r="W136" s="34">
        <f>SUM(C$123:C136)</f>
        <v>6</v>
      </c>
      <c r="X136" s="34">
        <f>SUM(D$123:D136)</f>
        <v>8</v>
      </c>
      <c r="Y136" s="34">
        <f>SUM(E$123:E136)</f>
        <v>7</v>
      </c>
      <c r="Z136" s="34">
        <f>SUM(F$123:F136)</f>
        <v>5</v>
      </c>
      <c r="AA136" s="34">
        <f>SUM(G$123:G136)</f>
        <v>6</v>
      </c>
      <c r="AB136" s="34">
        <f>SUM(H$123:H136)</f>
        <v>6</v>
      </c>
      <c r="AC136" s="8">
        <f t="shared" si="42"/>
        <v>38</v>
      </c>
      <c r="AD136">
        <v>10</v>
      </c>
      <c r="AE136">
        <f t="shared" si="38"/>
        <v>3</v>
      </c>
      <c r="AF136">
        <f t="shared" si="39"/>
        <v>72</v>
      </c>
    </row>
    <row r="137" spans="1:32">
      <c r="A137" s="251"/>
      <c r="B137" s="23" t="s">
        <v>34</v>
      </c>
      <c r="C137" s="8">
        <f>COUNTIFS('Datos Bachillerato'!$E:$E,C$122,'Datos Bachillerato'!$J:$J,"&gt;=01/03/2024",'Datos Bachillerato'!$J:$J,"&lt;=31/03/2024")</f>
        <v>0</v>
      </c>
      <c r="D137" s="8">
        <f>COUNTIFS('Datos Bachillerato'!$E:$E,D$122,'Datos Bachillerato'!$J:$J,"&gt;=01/03/2024",'Datos Bachillerato'!$J:$J,"&lt;=31/03/2024")</f>
        <v>0</v>
      </c>
      <c r="E137" s="8">
        <f>COUNTIFS('Datos Bachillerato'!$E:$E,E$122,'Datos Bachillerato'!$J:$J,"&gt;=01/03/2024",'Datos Bachillerato'!$J:$J,"&lt;=31/03/2024")</f>
        <v>1</v>
      </c>
      <c r="F137" s="8">
        <f>COUNTIFS('Datos Bachillerato'!$E:$E,F$122,'Datos Bachillerato'!$J:$J,"&gt;=01/03/2024",'Datos Bachillerato'!$J:$J,"&lt;=31/03/2024")</f>
        <v>0</v>
      </c>
      <c r="G137" s="8">
        <f>COUNTIFS('Datos Bachillerato'!$E:$E,G$122,'Datos Bachillerato'!$J:$J,"&gt;=01/03/2024",'Datos Bachillerato'!$J:$J,"&lt;=31/03/2024")</f>
        <v>1</v>
      </c>
      <c r="H137" s="8">
        <f>COUNTIFS('Datos Bachillerato'!$E:$E,H$122,'Datos Bachillerato'!$J:$J,"&gt;=01/03/2024",'Datos Bachillerato'!$J:$J,"&lt;=31/03/2024")</f>
        <v>0</v>
      </c>
      <c r="I137" s="8">
        <f t="shared" si="40"/>
        <v>2</v>
      </c>
      <c r="K137" s="251"/>
      <c r="L137" s="23" t="s">
        <v>34</v>
      </c>
      <c r="M137" s="34">
        <f>SUM(C$135:C137)</f>
        <v>2</v>
      </c>
      <c r="N137" s="34">
        <f>SUM(D$135:D137)</f>
        <v>1</v>
      </c>
      <c r="O137" s="34">
        <f>SUM(E$135:E137)</f>
        <v>4</v>
      </c>
      <c r="P137" s="34">
        <f>SUM(F$135:F137)</f>
        <v>3</v>
      </c>
      <c r="Q137" s="34">
        <f>SUM(G$135:G137)</f>
        <v>3</v>
      </c>
      <c r="R137" s="34">
        <f>SUM(H$135:H137)</f>
        <v>0</v>
      </c>
      <c r="S137" s="8">
        <f t="shared" si="41"/>
        <v>13</v>
      </c>
      <c r="U137" s="251"/>
      <c r="V137" s="23" t="s">
        <v>34</v>
      </c>
      <c r="W137" s="34">
        <f>SUM(C$123:C137)</f>
        <v>6</v>
      </c>
      <c r="X137" s="34">
        <f>SUM(D$123:D137)</f>
        <v>8</v>
      </c>
      <c r="Y137" s="34">
        <f>SUM(E$123:E137)</f>
        <v>8</v>
      </c>
      <c r="Z137" s="34">
        <f>SUM(F$123:F137)</f>
        <v>5</v>
      </c>
      <c r="AA137" s="34">
        <f>SUM(G$123:G137)</f>
        <v>7</v>
      </c>
      <c r="AB137" s="34">
        <f>SUM(H$123:H137)</f>
        <v>6</v>
      </c>
      <c r="AC137" s="8">
        <f t="shared" si="42"/>
        <v>40</v>
      </c>
      <c r="AD137">
        <v>2</v>
      </c>
      <c r="AE137">
        <f t="shared" si="38"/>
        <v>0</v>
      </c>
      <c r="AF137">
        <f t="shared" si="39"/>
        <v>74</v>
      </c>
    </row>
    <row r="138" spans="1:32">
      <c r="A138" s="251"/>
      <c r="B138" s="23" t="s">
        <v>38</v>
      </c>
      <c r="C138" s="8">
        <f>COUNTIFS('Datos Bachillerato'!$E:$E,C$122,'Datos Bachillerato'!$J:$J,"&gt;=01/04/2024",'Datos Bachillerato'!$J:$J,"&lt;=30/04/2024")</f>
        <v>0</v>
      </c>
      <c r="D138" s="8">
        <f>COUNTIFS('Datos Bachillerato'!$E:$E,D$122,'Datos Bachillerato'!$J:$J,"&gt;=01/04/2024",'Datos Bachillerato'!$J:$J,"&lt;=30/04/2024")</f>
        <v>0</v>
      </c>
      <c r="E138" s="8">
        <f>COUNTIFS('Datos Bachillerato'!$E:$E,E$122,'Datos Bachillerato'!$J:$J,"&gt;=01/04/2024",'Datos Bachillerato'!$J:$J,"&lt;=30/04/2024")</f>
        <v>0</v>
      </c>
      <c r="F138" s="8">
        <f>COUNTIFS('Datos Bachillerato'!$E:$E,F$122,'Datos Bachillerato'!$J:$J,"&gt;=01/04/2024",'Datos Bachillerato'!$J:$J,"&lt;=30/04/2024")</f>
        <v>0</v>
      </c>
      <c r="G138" s="8">
        <f>COUNTIFS('Datos Bachillerato'!$E:$E,G$122,'Datos Bachillerato'!$J:$J,"&gt;=01/04/2024",'Datos Bachillerato'!$J:$J,"&lt;=30/04/2024")</f>
        <v>0</v>
      </c>
      <c r="H138" s="8">
        <f>COUNTIFS('Datos Bachillerato'!$E:$E,H$122,'Datos Bachillerato'!$J:$J,"&gt;=01/04/2024",'Datos Bachillerato'!$J:$J,"&lt;=30/04/2024")</f>
        <v>0</v>
      </c>
      <c r="I138" s="8">
        <f t="shared" si="40"/>
        <v>0</v>
      </c>
      <c r="K138" s="251"/>
      <c r="L138" s="23" t="s">
        <v>38</v>
      </c>
      <c r="M138" s="34">
        <f>SUM(C$135:C138)</f>
        <v>2</v>
      </c>
      <c r="N138" s="34">
        <f>SUM(D$135:D138)</f>
        <v>1</v>
      </c>
      <c r="O138" s="34">
        <f>SUM(E$135:E138)</f>
        <v>4</v>
      </c>
      <c r="P138" s="34">
        <f>SUM(F$135:F138)</f>
        <v>3</v>
      </c>
      <c r="Q138" s="34">
        <f>SUM(G$135:G138)</f>
        <v>3</v>
      </c>
      <c r="R138" s="34">
        <f>SUM(H$135:H138)</f>
        <v>0</v>
      </c>
      <c r="S138" s="8">
        <f t="shared" si="41"/>
        <v>13</v>
      </c>
      <c r="U138" s="251"/>
      <c r="V138" s="23" t="s">
        <v>38</v>
      </c>
      <c r="W138" s="34">
        <f>SUM(C$123:C138)</f>
        <v>6</v>
      </c>
      <c r="X138" s="34">
        <f>SUM(D$123:D138)</f>
        <v>8</v>
      </c>
      <c r="Y138" s="34">
        <f>SUM(E$123:E138)</f>
        <v>8</v>
      </c>
      <c r="Z138" s="34">
        <f>SUM(F$123:F138)</f>
        <v>5</v>
      </c>
      <c r="AA138" s="34">
        <f>SUM(G$123:G138)</f>
        <v>7</v>
      </c>
      <c r="AB138" s="34">
        <f>SUM(H$123:H138)</f>
        <v>6</v>
      </c>
      <c r="AC138" s="8">
        <f t="shared" si="42"/>
        <v>40</v>
      </c>
      <c r="AD138">
        <v>0</v>
      </c>
      <c r="AE138">
        <f t="shared" si="38"/>
        <v>0</v>
      </c>
      <c r="AF138">
        <f t="shared" si="39"/>
        <v>74</v>
      </c>
    </row>
    <row r="139" spans="1:32">
      <c r="A139" s="251"/>
      <c r="B139" s="23" t="s">
        <v>47</v>
      </c>
      <c r="C139" s="8">
        <f>COUNTIFS('Datos Bachillerato'!$E:$E,C$122,'Datos Bachillerato'!$J:$J,"&gt;=01/05/2024",'Datos Bachillerato'!$J:$J,"&lt;=31/05/2024")</f>
        <v>0</v>
      </c>
      <c r="D139" s="8">
        <f>COUNTIFS('Datos Bachillerato'!$E:$E,D$122,'Datos Bachillerato'!$J:$J,"&gt;=01/05/2024",'Datos Bachillerato'!$J:$J,"&lt;=31/05/2024")</f>
        <v>0</v>
      </c>
      <c r="E139" s="8">
        <f>COUNTIFS('Datos Bachillerato'!$E:$E,E$122,'Datos Bachillerato'!$J:$J,"&gt;=01/05/2024",'Datos Bachillerato'!$J:$J,"&lt;=31/05/2024")</f>
        <v>0</v>
      </c>
      <c r="F139" s="8">
        <f>COUNTIFS('Datos Bachillerato'!$E:$E,F$122,'Datos Bachillerato'!$J:$J,"&gt;=01/05/2024",'Datos Bachillerato'!$J:$J,"&lt;=31/05/2024")</f>
        <v>0</v>
      </c>
      <c r="G139" s="8">
        <f>COUNTIFS('Datos Bachillerato'!$E:$E,G$122,'Datos Bachillerato'!$J:$J,"&gt;=01/05/2024",'Datos Bachillerato'!$J:$J,"&lt;=31/05/2024")</f>
        <v>1</v>
      </c>
      <c r="H139" s="8">
        <f>COUNTIFS('Datos Bachillerato'!$E:$E,H$122,'Datos Bachillerato'!$J:$J,"&gt;=01/05/2024",'Datos Bachillerato'!$J:$J,"&lt;=31/05/2024")</f>
        <v>0</v>
      </c>
      <c r="I139" s="8">
        <f t="shared" si="40"/>
        <v>1</v>
      </c>
      <c r="K139" s="251"/>
      <c r="L139" s="23" t="s">
        <v>47</v>
      </c>
      <c r="M139" s="34">
        <f>SUM(C$135:C139)</f>
        <v>2</v>
      </c>
      <c r="N139" s="34">
        <f>SUM(D$135:D139)</f>
        <v>1</v>
      </c>
      <c r="O139" s="34">
        <f>SUM(E$135:E139)</f>
        <v>4</v>
      </c>
      <c r="P139" s="34">
        <f>SUM(F$135:F139)</f>
        <v>3</v>
      </c>
      <c r="Q139" s="34">
        <f>SUM(G$135:G139)</f>
        <v>4</v>
      </c>
      <c r="R139" s="34">
        <f>SUM(H$135:H139)</f>
        <v>0</v>
      </c>
      <c r="S139" s="8">
        <f t="shared" si="41"/>
        <v>14</v>
      </c>
      <c r="U139" s="251"/>
      <c r="V139" s="23" t="s">
        <v>47</v>
      </c>
      <c r="W139" s="34">
        <f>SUM(C$123:C139)</f>
        <v>6</v>
      </c>
      <c r="X139" s="34">
        <f>SUM(D$123:D139)</f>
        <v>8</v>
      </c>
      <c r="Y139" s="34">
        <f>SUM(E$123:E139)</f>
        <v>8</v>
      </c>
      <c r="Z139" s="34">
        <f>SUM(F$123:F139)</f>
        <v>5</v>
      </c>
      <c r="AA139" s="34">
        <f>SUM(G$123:G139)</f>
        <v>8</v>
      </c>
      <c r="AB139" s="34">
        <f>SUM(H$123:H139)</f>
        <v>6</v>
      </c>
      <c r="AC139" s="8">
        <f t="shared" si="42"/>
        <v>41</v>
      </c>
      <c r="AD139">
        <v>1</v>
      </c>
      <c r="AE139">
        <f t="shared" si="38"/>
        <v>0</v>
      </c>
      <c r="AF139">
        <f t="shared" si="39"/>
        <v>75</v>
      </c>
    </row>
    <row r="140" spans="1:32">
      <c r="A140" s="251"/>
      <c r="B140" s="23" t="s">
        <v>57</v>
      </c>
      <c r="C140" s="8">
        <f>COUNTIFS('Datos Bachillerato'!$E:$E,C$122,'Datos Bachillerato'!$J:$J,"&gt;=01/06/2024",'Datos Bachillerato'!$J:$J,"&lt;=30/06/2024")</f>
        <v>0</v>
      </c>
      <c r="D140" s="8">
        <f>COUNTIFS('Datos Bachillerato'!$E:$E,D$122,'Datos Bachillerato'!$J:$J,"&gt;=01/06/2024",'Datos Bachillerato'!$J:$J,"&lt;=30/06/2024")</f>
        <v>0</v>
      </c>
      <c r="E140" s="8">
        <f>COUNTIFS('Datos Bachillerato'!$E:$E,E$122,'Datos Bachillerato'!$J:$J,"&gt;=01/06/2024",'Datos Bachillerato'!$J:$J,"&lt;=30/06/2024")</f>
        <v>0</v>
      </c>
      <c r="F140" s="8">
        <f>COUNTIFS('Datos Bachillerato'!$E:$E,F$122,'Datos Bachillerato'!$J:$J,"&gt;=01/06/2024",'Datos Bachillerato'!$J:$J,"&lt;=30/06/2024")</f>
        <v>0</v>
      </c>
      <c r="G140" s="8">
        <f>COUNTIFS('Datos Bachillerato'!$E:$E,G$122,'Datos Bachillerato'!$J:$J,"&gt;=01/06/2024",'Datos Bachillerato'!$J:$J,"&lt;=30/06/2024")</f>
        <v>0</v>
      </c>
      <c r="H140" s="8">
        <f>COUNTIFS('Datos Bachillerato'!$E:$E,H$122,'Datos Bachillerato'!$J:$J,"&gt;=01/06/2024",'Datos Bachillerato'!$J:$J,"&lt;=30/06/2024")</f>
        <v>0</v>
      </c>
      <c r="I140" s="8">
        <f t="shared" si="40"/>
        <v>0</v>
      </c>
      <c r="K140" s="251"/>
      <c r="L140" s="23" t="s">
        <v>57</v>
      </c>
      <c r="M140" s="34">
        <f>SUM(C$135:C140)</f>
        <v>2</v>
      </c>
      <c r="N140" s="34">
        <f>SUM(D$135:D140)</f>
        <v>1</v>
      </c>
      <c r="O140" s="34">
        <f>SUM(E$135:E140)</f>
        <v>4</v>
      </c>
      <c r="P140" s="34">
        <f>SUM(F$135:F140)</f>
        <v>3</v>
      </c>
      <c r="Q140" s="34">
        <f>SUM(G$135:G140)</f>
        <v>4</v>
      </c>
      <c r="R140" s="34">
        <f>SUM(H$135:H140)</f>
        <v>0</v>
      </c>
      <c r="S140" s="8">
        <f t="shared" si="41"/>
        <v>14</v>
      </c>
      <c r="U140" s="251"/>
      <c r="V140" s="23" t="s">
        <v>57</v>
      </c>
      <c r="W140" s="34">
        <f>SUM(C$123:C140)</f>
        <v>6</v>
      </c>
      <c r="X140" s="34">
        <f>SUM(D$123:D140)</f>
        <v>8</v>
      </c>
      <c r="Y140" s="34">
        <f>SUM(E$123:E140)</f>
        <v>8</v>
      </c>
      <c r="Z140" s="34">
        <f>SUM(F$123:F140)</f>
        <v>5</v>
      </c>
      <c r="AA140" s="34">
        <f>SUM(G$123:G140)</f>
        <v>8</v>
      </c>
      <c r="AB140" s="34">
        <f>SUM(H$123:H140)</f>
        <v>6</v>
      </c>
      <c r="AC140" s="8">
        <f t="shared" si="42"/>
        <v>41</v>
      </c>
      <c r="AD140">
        <v>1</v>
      </c>
      <c r="AE140">
        <f t="shared" si="38"/>
        <v>1</v>
      </c>
      <c r="AF140">
        <f t="shared" si="39"/>
        <v>76</v>
      </c>
    </row>
    <row r="141" spans="1:32">
      <c r="A141" s="251"/>
      <c r="B141" s="23" t="s">
        <v>62</v>
      </c>
      <c r="C141" s="8">
        <f>COUNTIFS('Datos Bachillerato'!$E:$E,C$122,'Datos Bachillerato'!$J:$J,"&gt;=01/07/2024",'Datos Bachillerato'!$J:$J,"&lt;=31/07/2024")</f>
        <v>0</v>
      </c>
      <c r="D141" s="8">
        <f>COUNTIFS('Datos Bachillerato'!$E:$E,D$122,'Datos Bachillerato'!$J:$J,"&gt;=01/07/2024",'Datos Bachillerato'!$J:$J,"&lt;=31/07/2024")</f>
        <v>0</v>
      </c>
      <c r="E141" s="8">
        <f>COUNTIFS('Datos Bachillerato'!$E:$E,E$122,'Datos Bachillerato'!$J:$J,"&gt;=01/07/2024",'Datos Bachillerato'!$J:$J,"&lt;=31/07/2024")</f>
        <v>0</v>
      </c>
      <c r="F141" s="8">
        <f>COUNTIFS('Datos Bachillerato'!$E:$E,F$122,'Datos Bachillerato'!$J:$J,"&gt;=01/07/2024",'Datos Bachillerato'!$J:$J,"&lt;=31/07/2024")</f>
        <v>0</v>
      </c>
      <c r="G141" s="8">
        <f>COUNTIFS('Datos Bachillerato'!$E:$E,G$122,'Datos Bachillerato'!$J:$J,"&gt;=01/07/2024",'Datos Bachillerato'!$J:$J,"&lt;=31/07/2024")</f>
        <v>1</v>
      </c>
      <c r="H141" s="8">
        <f>COUNTIFS('Datos Bachillerato'!$E:$E,H$122,'Datos Bachillerato'!$J:$J,"&gt;=01/07/2024",'Datos Bachillerato'!$J:$J,"&lt;=31/07/2024")</f>
        <v>0</v>
      </c>
      <c r="I141" s="8">
        <f t="shared" si="40"/>
        <v>1</v>
      </c>
      <c r="K141" s="251"/>
      <c r="L141" s="23" t="s">
        <v>62</v>
      </c>
      <c r="M141" s="34">
        <f>SUM(C$135:C141)</f>
        <v>2</v>
      </c>
      <c r="N141" s="34">
        <f>SUM(D$135:D141)</f>
        <v>1</v>
      </c>
      <c r="O141" s="34">
        <f>SUM(E$135:E141)</f>
        <v>4</v>
      </c>
      <c r="P141" s="34">
        <f>SUM(F$135:F141)</f>
        <v>3</v>
      </c>
      <c r="Q141" s="34">
        <f>SUM(G$135:G141)</f>
        <v>5</v>
      </c>
      <c r="R141" s="34">
        <f>SUM(H$135:H141)</f>
        <v>0</v>
      </c>
      <c r="S141" s="8">
        <f t="shared" si="41"/>
        <v>15</v>
      </c>
      <c r="U141" s="251"/>
      <c r="V141" s="23" t="s">
        <v>62</v>
      </c>
      <c r="W141" s="34">
        <f>SUM(C$123:C141)</f>
        <v>6</v>
      </c>
      <c r="X141" s="34">
        <f>SUM(D$123:D141)</f>
        <v>8</v>
      </c>
      <c r="Y141" s="34">
        <f>SUM(E$123:E141)</f>
        <v>8</v>
      </c>
      <c r="Z141" s="34">
        <f>SUM(F$123:F141)</f>
        <v>5</v>
      </c>
      <c r="AA141" s="34">
        <f>SUM(G$123:G141)</f>
        <v>9</v>
      </c>
      <c r="AB141" s="34">
        <f>SUM(H$123:H141)</f>
        <v>6</v>
      </c>
      <c r="AC141" s="8">
        <f t="shared" si="42"/>
        <v>42</v>
      </c>
      <c r="AD141">
        <v>1</v>
      </c>
      <c r="AE141">
        <f t="shared" si="38"/>
        <v>0</v>
      </c>
      <c r="AF141">
        <f t="shared" si="39"/>
        <v>77</v>
      </c>
    </row>
    <row r="142" spans="1:32">
      <c r="A142" s="251"/>
      <c r="B142" s="23" t="s">
        <v>68</v>
      </c>
      <c r="C142" s="8">
        <f>COUNTIFS('Datos Bachillerato'!$E:$E,C$122,'Datos Bachillerato'!$J:$J,"&gt;=01/08/2024",'Datos Bachillerato'!$J:$J,"&lt;=31/08/2024")</f>
        <v>0</v>
      </c>
      <c r="D142" s="8">
        <f>COUNTIFS('Datos Bachillerato'!$E:$E,D$122,'Datos Bachillerato'!$J:$J,"&gt;=01/08/2024",'Datos Bachillerato'!$J:$J,"&lt;=31/08/2024")</f>
        <v>0</v>
      </c>
      <c r="E142" s="8">
        <f>COUNTIFS('Datos Bachillerato'!$E:$E,E$122,'Datos Bachillerato'!$J:$J,"&gt;=01/08/2024",'Datos Bachillerato'!$J:$J,"&lt;=31/08/2024")</f>
        <v>0</v>
      </c>
      <c r="F142" s="8">
        <f>COUNTIFS('Datos Bachillerato'!$E:$E,F$122,'Datos Bachillerato'!$J:$J,"&gt;=01/08/2024",'Datos Bachillerato'!$J:$J,"&lt;=31/08/2024")</f>
        <v>0</v>
      </c>
      <c r="G142" s="8">
        <f>COUNTIFS('Datos Bachillerato'!$E:$E,G$122,'Datos Bachillerato'!$J:$J,"&gt;=01/08/2024",'Datos Bachillerato'!$J:$J,"&lt;=31/08/2024")</f>
        <v>0</v>
      </c>
      <c r="H142" s="8">
        <f>COUNTIFS('Datos Bachillerato'!$E:$E,H$122,'Datos Bachillerato'!$J:$J,"&gt;=01/08/2024",'Datos Bachillerato'!$J:$J,"&lt;=31/08/2024")</f>
        <v>0</v>
      </c>
      <c r="I142" s="8">
        <f t="shared" si="40"/>
        <v>0</v>
      </c>
      <c r="K142" s="251"/>
      <c r="L142" s="23" t="s">
        <v>68</v>
      </c>
      <c r="M142" s="34">
        <f>SUM(C$135:C142)</f>
        <v>2</v>
      </c>
      <c r="N142" s="34">
        <f>SUM(D$135:D142)</f>
        <v>1</v>
      </c>
      <c r="O142" s="34">
        <f>SUM(E$135:E142)</f>
        <v>4</v>
      </c>
      <c r="P142" s="34">
        <f>SUM(F$135:F142)</f>
        <v>3</v>
      </c>
      <c r="Q142" s="34">
        <f>SUM(G$135:G142)</f>
        <v>5</v>
      </c>
      <c r="R142" s="34">
        <f>SUM(H$135:H142)</f>
        <v>0</v>
      </c>
      <c r="S142" s="8">
        <f t="shared" si="41"/>
        <v>15</v>
      </c>
      <c r="U142" s="251"/>
      <c r="V142" s="23" t="s">
        <v>68</v>
      </c>
      <c r="W142" s="34">
        <f>SUM(C$123:C142)</f>
        <v>6</v>
      </c>
      <c r="X142" s="34">
        <f>SUM(D$123:D142)</f>
        <v>8</v>
      </c>
      <c r="Y142" s="34">
        <f>SUM(E$123:E142)</f>
        <v>8</v>
      </c>
      <c r="Z142" s="34">
        <f>SUM(F$123:F142)</f>
        <v>5</v>
      </c>
      <c r="AA142" s="34">
        <f>SUM(G$123:G142)</f>
        <v>9</v>
      </c>
      <c r="AB142" s="34">
        <f>SUM(H$123:H142)</f>
        <v>6</v>
      </c>
      <c r="AC142" s="8">
        <f t="shared" si="42"/>
        <v>42</v>
      </c>
      <c r="AE142">
        <f t="shared" si="38"/>
        <v>0</v>
      </c>
      <c r="AF142">
        <f t="shared" si="39"/>
        <v>77</v>
      </c>
    </row>
    <row r="143" spans="1:32">
      <c r="A143" s="251"/>
      <c r="B143" s="23" t="s">
        <v>77</v>
      </c>
      <c r="C143" s="8">
        <f>COUNTIFS('Datos Bachillerato'!$E:$E,C$122,'Datos Bachillerato'!$J:$J,"&gt;=01/09/2024",'Datos Bachillerato'!$J:$J,"&lt;=30/09/2024")</f>
        <v>1</v>
      </c>
      <c r="D143" s="8">
        <f>COUNTIFS('Datos Bachillerato'!$E:$E,D$122,'Datos Bachillerato'!$J:$J,"&gt;=01/09/2024",'Datos Bachillerato'!$J:$J,"&lt;=30/09/2024")</f>
        <v>0</v>
      </c>
      <c r="E143" s="8">
        <f>COUNTIFS('Datos Bachillerato'!$E:$E,E$122,'Datos Bachillerato'!$J:$J,"&gt;=01/09/2024",'Datos Bachillerato'!$J:$J,"&lt;=30/09/2024")</f>
        <v>0</v>
      </c>
      <c r="F143" s="8">
        <f>COUNTIFS('Datos Bachillerato'!$E:$E,F$122,'Datos Bachillerato'!$J:$J,"&gt;=01/09/2024",'Datos Bachillerato'!$J:$J,"&lt;=30/09/2024")</f>
        <v>2</v>
      </c>
      <c r="G143" s="8">
        <f>COUNTIFS('Datos Bachillerato'!$E:$E,G$122,'Datos Bachillerato'!$J:$J,"&gt;=01/09/2024",'Datos Bachillerato'!$J:$J,"&lt;=30/09/2024")</f>
        <v>0</v>
      </c>
      <c r="H143" s="8">
        <f>COUNTIFS('Datos Bachillerato'!$E:$E,H$122,'Datos Bachillerato'!$J:$J,"&gt;=01/09/2024",'Datos Bachillerato'!$J:$J,"&lt;=30/09/2024")</f>
        <v>0</v>
      </c>
      <c r="I143" s="8">
        <f t="shared" si="40"/>
        <v>3</v>
      </c>
      <c r="K143" s="251"/>
      <c r="L143" s="23" t="s">
        <v>77</v>
      </c>
      <c r="M143" s="34">
        <f>SUM(C$135:C143)</f>
        <v>3</v>
      </c>
      <c r="N143" s="34">
        <f>SUM(D$135:D143)</f>
        <v>1</v>
      </c>
      <c r="O143" s="34">
        <f>SUM(E$135:E143)</f>
        <v>4</v>
      </c>
      <c r="P143" s="34">
        <f>SUM(F$135:F143)</f>
        <v>5</v>
      </c>
      <c r="Q143" s="34">
        <f>SUM(G$135:G143)</f>
        <v>5</v>
      </c>
      <c r="R143" s="34">
        <f>SUM(H$135:H143)</f>
        <v>0</v>
      </c>
      <c r="S143" s="8">
        <f t="shared" si="41"/>
        <v>18</v>
      </c>
      <c r="U143" s="251"/>
      <c r="V143" s="23" t="s">
        <v>77</v>
      </c>
      <c r="W143" s="34">
        <f>SUM(C$123:C143)</f>
        <v>7</v>
      </c>
      <c r="X143" s="34">
        <f>SUM(D$123:D143)</f>
        <v>8</v>
      </c>
      <c r="Y143" s="34">
        <f>SUM(E$123:E143)</f>
        <v>8</v>
      </c>
      <c r="Z143" s="34">
        <f>SUM(F$123:F143)</f>
        <v>7</v>
      </c>
      <c r="AA143" s="34">
        <f>SUM(G$123:G143)</f>
        <v>9</v>
      </c>
      <c r="AB143" s="34">
        <f>SUM(H$123:H143)</f>
        <v>6</v>
      </c>
      <c r="AC143" s="8">
        <f t="shared" si="42"/>
        <v>45</v>
      </c>
      <c r="AE143">
        <f t="shared" si="38"/>
        <v>-3</v>
      </c>
      <c r="AF143">
        <f t="shared" si="39"/>
        <v>77</v>
      </c>
    </row>
    <row r="144" spans="1:32">
      <c r="A144" s="251"/>
      <c r="B144" s="23" t="s">
        <v>84</v>
      </c>
      <c r="C144" s="8">
        <f>COUNTIFS('Datos Bachillerato'!$E:$E,C$122,'Datos Bachillerato'!$J:$J,"&gt;=01/10/2024",'Datos Bachillerato'!$J:$J,"&lt;=31/10/2024")</f>
        <v>0</v>
      </c>
      <c r="D144" s="8">
        <f>COUNTIFS('Datos Bachillerato'!$E:$E,D$122,'Datos Bachillerato'!$J:$J,"&gt;=01/10/2024",'Datos Bachillerato'!$J:$J,"&lt;=31/10/2024")</f>
        <v>0</v>
      </c>
      <c r="E144" s="8">
        <f>COUNTIFS('Datos Bachillerato'!$E:$E,E$122,'Datos Bachillerato'!$J:$J,"&gt;=01/10/2024",'Datos Bachillerato'!$J:$J,"&lt;=31/10/2024")</f>
        <v>1</v>
      </c>
      <c r="F144" s="8">
        <f>COUNTIFS('Datos Bachillerato'!$E:$E,F$122,'Datos Bachillerato'!$J:$J,"&gt;=01/10/2024",'Datos Bachillerato'!$J:$J,"&lt;=31/10/2024")</f>
        <v>0</v>
      </c>
      <c r="G144" s="8">
        <f>COUNTIFS('Datos Bachillerato'!$E:$E,G$122,'Datos Bachillerato'!$J:$J,"&gt;=01/10/2024",'Datos Bachillerato'!$J:$J,"&lt;=31/10/2024")</f>
        <v>0</v>
      </c>
      <c r="H144" s="8">
        <f>COUNTIFS('Datos Bachillerato'!$E:$E,H$122,'Datos Bachillerato'!$J:$J,"&gt;=01/10/2024",'Datos Bachillerato'!$J:$J,"&lt;=31/10/2024")</f>
        <v>0</v>
      </c>
      <c r="I144" s="8">
        <f t="shared" si="40"/>
        <v>1</v>
      </c>
      <c r="K144" s="251"/>
      <c r="L144" s="23" t="s">
        <v>84</v>
      </c>
      <c r="M144" s="34">
        <f>SUM(C$135:C144)</f>
        <v>3</v>
      </c>
      <c r="N144" s="34">
        <f>SUM(D$135:D144)</f>
        <v>1</v>
      </c>
      <c r="O144" s="34">
        <f>SUM(E$135:E144)</f>
        <v>5</v>
      </c>
      <c r="P144" s="34">
        <f>SUM(F$135:F144)</f>
        <v>5</v>
      </c>
      <c r="Q144" s="34">
        <f>SUM(G$135:G144)</f>
        <v>5</v>
      </c>
      <c r="R144" s="34">
        <f>SUM(H$135:H144)</f>
        <v>0</v>
      </c>
      <c r="S144" s="8">
        <f t="shared" si="41"/>
        <v>19</v>
      </c>
      <c r="U144" s="251"/>
      <c r="V144" s="23" t="s">
        <v>84</v>
      </c>
      <c r="W144" s="34">
        <f>SUM(C$123:C144)</f>
        <v>7</v>
      </c>
      <c r="X144" s="34">
        <f>SUM(D$123:D144)</f>
        <v>8</v>
      </c>
      <c r="Y144" s="34">
        <f>SUM(E$123:E144)</f>
        <v>9</v>
      </c>
      <c r="Z144" s="34">
        <f>SUM(F$123:F144)</f>
        <v>7</v>
      </c>
      <c r="AA144" s="34">
        <f>SUM(G$123:G144)</f>
        <v>9</v>
      </c>
      <c r="AB144" s="34">
        <f>SUM(H$123:H144)</f>
        <v>6</v>
      </c>
      <c r="AC144" s="8">
        <f t="shared" si="42"/>
        <v>46</v>
      </c>
      <c r="AE144">
        <f t="shared" si="38"/>
        <v>-1</v>
      </c>
      <c r="AF144">
        <f t="shared" si="39"/>
        <v>77</v>
      </c>
    </row>
    <row r="145" spans="1:32">
      <c r="A145" s="251"/>
      <c r="B145" s="23" t="s">
        <v>87</v>
      </c>
      <c r="C145" s="8">
        <f>COUNTIFS('Datos Bachillerato'!$E:$E,C$122,'Datos Bachillerato'!$J:$J,"&gt;=01/11/2024",'Datos Bachillerato'!$J:$J,"&lt;=30/11/2024")</f>
        <v>0</v>
      </c>
      <c r="D145" s="8">
        <f>COUNTIFS('Datos Bachillerato'!$E:$E,D$122,'Datos Bachillerato'!$J:$J,"&gt;=01/11/2024",'Datos Bachillerato'!$J:$J,"&lt;=30/11/2024")</f>
        <v>0</v>
      </c>
      <c r="E145" s="8">
        <f>COUNTIFS('Datos Bachillerato'!$E:$E,E$122,'Datos Bachillerato'!$J:$J,"&gt;=01/11/2024",'Datos Bachillerato'!$J:$J,"&lt;=30/11/2024")</f>
        <v>1</v>
      </c>
      <c r="F145" s="8">
        <f>COUNTIFS('Datos Bachillerato'!$E:$E,F$122,'Datos Bachillerato'!$J:$J,"&gt;=01/11/2024",'Datos Bachillerato'!$J:$J,"&lt;=30/11/2024")</f>
        <v>0</v>
      </c>
      <c r="G145" s="8">
        <f>COUNTIFS('Datos Bachillerato'!$E:$E,G$122,'Datos Bachillerato'!$J:$J,"&gt;=01/11/2024",'Datos Bachillerato'!$J:$J,"&lt;=30/11/2024")</f>
        <v>0</v>
      </c>
      <c r="H145" s="8">
        <f>COUNTIFS('Datos Bachillerato'!$E:$E,H$122,'Datos Bachillerato'!$J:$J,"&gt;=01/11/2024",'Datos Bachillerato'!$J:$J,"&lt;=30/11/2024")</f>
        <v>0</v>
      </c>
      <c r="I145" s="8">
        <f t="shared" si="40"/>
        <v>1</v>
      </c>
      <c r="K145" s="251"/>
      <c r="L145" s="23" t="s">
        <v>87</v>
      </c>
      <c r="M145" s="34">
        <f>SUM(C$135:C145)</f>
        <v>3</v>
      </c>
      <c r="N145" s="34">
        <f>SUM(D$135:D145)</f>
        <v>1</v>
      </c>
      <c r="O145" s="34">
        <f>SUM(E$135:E145)</f>
        <v>6</v>
      </c>
      <c r="P145" s="34">
        <f>SUM(F$135:F145)</f>
        <v>5</v>
      </c>
      <c r="Q145" s="34">
        <f>SUM(G$135:G145)</f>
        <v>5</v>
      </c>
      <c r="R145" s="34">
        <f>SUM(H$135:H145)</f>
        <v>0</v>
      </c>
      <c r="S145" s="8">
        <f t="shared" si="41"/>
        <v>20</v>
      </c>
      <c r="U145" s="251"/>
      <c r="V145" s="23" t="s">
        <v>87</v>
      </c>
      <c r="W145" s="34">
        <f>SUM(C$123:C145)</f>
        <v>7</v>
      </c>
      <c r="X145" s="34">
        <f>SUM(D$123:D145)</f>
        <v>8</v>
      </c>
      <c r="Y145" s="34">
        <f>SUM(E$123:E145)</f>
        <v>10</v>
      </c>
      <c r="Z145" s="34">
        <f>SUM(F$123:F145)</f>
        <v>7</v>
      </c>
      <c r="AA145" s="34">
        <f>SUM(G$123:G145)</f>
        <v>9</v>
      </c>
      <c r="AB145" s="34">
        <f>SUM(H$123:H145)</f>
        <v>6</v>
      </c>
      <c r="AC145" s="8">
        <f t="shared" si="42"/>
        <v>47</v>
      </c>
      <c r="AE145">
        <f t="shared" si="38"/>
        <v>-1</v>
      </c>
      <c r="AF145">
        <f t="shared" si="39"/>
        <v>77</v>
      </c>
    </row>
    <row r="146" spans="1:32">
      <c r="A146" s="251"/>
      <c r="B146" s="23" t="s">
        <v>173</v>
      </c>
      <c r="C146" s="8">
        <f>COUNTIFS('Datos Bachillerato'!$E:$E,C$122,'Datos Bachillerato'!$J:$J,"&gt;=01/12/2024",'Datos Bachillerato'!$J:$J,"&lt;=31/12/2024")</f>
        <v>0</v>
      </c>
      <c r="D146" s="8">
        <f>COUNTIFS('Datos Bachillerato'!$E:$E,D$122,'Datos Bachillerato'!$J:$J,"&gt;=01/12/2024",'Datos Bachillerato'!$J:$J,"&lt;=31/12/2024")</f>
        <v>0</v>
      </c>
      <c r="E146" s="8">
        <f>COUNTIFS('Datos Bachillerato'!$E:$E,E$122,'Datos Bachillerato'!$J:$J,"&gt;=01/12/2024",'Datos Bachillerato'!$J:$J,"&lt;=31/12/2024")</f>
        <v>0</v>
      </c>
      <c r="F146" s="8">
        <f>COUNTIFS('Datos Bachillerato'!$E:$E,F$122,'Datos Bachillerato'!$J:$J,"&gt;=01/12/2024",'Datos Bachillerato'!$J:$J,"&lt;=31/12/2024")</f>
        <v>0</v>
      </c>
      <c r="G146" s="8">
        <f>COUNTIFS('Datos Bachillerato'!$E:$E,G$122,'Datos Bachillerato'!$J:$J,"&gt;=01/12/2024",'Datos Bachillerato'!$J:$J,"&lt;=31/12/2024")</f>
        <v>0</v>
      </c>
      <c r="H146" s="8">
        <f>COUNTIFS('Datos Bachillerato'!$E:$E,H$122,'Datos Bachillerato'!$J:$J,"&gt;=01/12/2024",'Datos Bachillerato'!$J:$J,"&lt;=31/12/2024")</f>
        <v>0</v>
      </c>
      <c r="I146" s="8">
        <f t="shared" si="40"/>
        <v>0</v>
      </c>
      <c r="K146" s="251"/>
      <c r="L146" s="23" t="s">
        <v>173</v>
      </c>
      <c r="M146" s="34">
        <f>SUM(C$135:C146)</f>
        <v>3</v>
      </c>
      <c r="N146" s="34">
        <f>SUM(D$135:D146)</f>
        <v>1</v>
      </c>
      <c r="O146" s="34">
        <f>SUM(E$135:E146)</f>
        <v>6</v>
      </c>
      <c r="P146" s="34">
        <f>SUM(F$135:F146)</f>
        <v>5</v>
      </c>
      <c r="Q146" s="34">
        <f>SUM(G$135:G146)</f>
        <v>5</v>
      </c>
      <c r="R146" s="34">
        <f>SUM(H$135:H146)</f>
        <v>0</v>
      </c>
      <c r="S146" s="8">
        <f t="shared" si="41"/>
        <v>20</v>
      </c>
      <c r="U146" s="251"/>
      <c r="V146" s="23" t="s">
        <v>173</v>
      </c>
      <c r="W146" s="34">
        <f>SUM(C$123:C146)</f>
        <v>7</v>
      </c>
      <c r="X146" s="34">
        <f>SUM(D$123:D146)</f>
        <v>8</v>
      </c>
      <c r="Y146" s="34">
        <f>SUM(E$123:E146)</f>
        <v>10</v>
      </c>
      <c r="Z146" s="34">
        <f>SUM(F$123:F146)</f>
        <v>7</v>
      </c>
      <c r="AA146" s="34">
        <f>SUM(G$123:G146)</f>
        <v>9</v>
      </c>
      <c r="AB146" s="34">
        <f>SUM(H$123:H146)</f>
        <v>6</v>
      </c>
      <c r="AC146" s="8">
        <f t="shared" si="42"/>
        <v>47</v>
      </c>
      <c r="AE146">
        <f t="shared" si="38"/>
        <v>0</v>
      </c>
      <c r="AF146">
        <f t="shared" si="39"/>
        <v>77</v>
      </c>
    </row>
    <row r="147" spans="1:32" ht="14.45" customHeight="1">
      <c r="A147" s="251">
        <f>A27</f>
        <v>2025</v>
      </c>
      <c r="B147" s="23" t="s">
        <v>13</v>
      </c>
      <c r="C147" s="8">
        <f>COUNTIFS('Datos Bachillerato'!$E:$E,C$122,'Datos Bachillerato'!$J:$J,"&gt;=01/01/2025",'Datos Bachillerato'!$J:$J,"&lt;=31/01/2025")</f>
        <v>0</v>
      </c>
      <c r="D147" s="8">
        <f>COUNTIFS('Datos Bachillerato'!$E:$E,D$122,'Datos Bachillerato'!$J:$J,"&gt;=01/01/2025",'Datos Bachillerato'!$J:$J,"&lt;=31/01/2025")</f>
        <v>0</v>
      </c>
      <c r="E147" s="8">
        <f>COUNTIFS('Datos Bachillerato'!$E:$E,E$122,'Datos Bachillerato'!$J:$J,"&gt;=01/01/2025",'Datos Bachillerato'!$J:$J,"&lt;=31/01/2025")</f>
        <v>3</v>
      </c>
      <c r="F147" s="8">
        <f>COUNTIFS('Datos Bachillerato'!$E:$E,F$122,'Datos Bachillerato'!$J:$J,"&gt;=01/01/2025",'Datos Bachillerato'!$J:$J,"&lt;=31/01/2025")</f>
        <v>1</v>
      </c>
      <c r="G147" s="8">
        <f>COUNTIFS('Datos Bachillerato'!$E:$E,G$122,'Datos Bachillerato'!$J:$J,"&gt;=01/01/2025",'Datos Bachillerato'!$J:$J,"&lt;=31/01/2025")</f>
        <v>1</v>
      </c>
      <c r="H147" s="8">
        <f>COUNTIFS('Datos Bachillerato'!$E:$E,H$122,'Datos Bachillerato'!$J:$J,"&gt;=01/01/2025",'Datos Bachillerato'!$J:$J,"&lt;=31/01/2025")</f>
        <v>0</v>
      </c>
      <c r="I147" s="8">
        <f t="shared" ref="I147:I158" si="43">SUM(C147:H147)</f>
        <v>5</v>
      </c>
      <c r="K147" s="251">
        <f>A147</f>
        <v>2025</v>
      </c>
      <c r="L147" s="23" t="s">
        <v>13</v>
      </c>
      <c r="M147" s="34">
        <f>SUM(C$147:C147)</f>
        <v>0</v>
      </c>
      <c r="N147" s="34">
        <f>SUM(D$147:D147)</f>
        <v>0</v>
      </c>
      <c r="O147" s="34">
        <f>SUM(E$147:E147)</f>
        <v>3</v>
      </c>
      <c r="P147" s="34">
        <f>SUM(F$147:F147)</f>
        <v>1</v>
      </c>
      <c r="Q147" s="34">
        <f>SUM(G$147:G147)</f>
        <v>1</v>
      </c>
      <c r="R147" s="34">
        <f>SUM(H$147:H147)</f>
        <v>0</v>
      </c>
      <c r="S147" s="8">
        <f t="shared" ref="S147:S158" si="44">SUM(M147:R147)</f>
        <v>5</v>
      </c>
      <c r="U147" s="251">
        <f>A147</f>
        <v>2025</v>
      </c>
      <c r="V147" s="23" t="s">
        <v>13</v>
      </c>
      <c r="W147" s="34">
        <f>SUM(C$123:C147)</f>
        <v>7</v>
      </c>
      <c r="X147" s="34">
        <f>SUM(D$123:D147)</f>
        <v>8</v>
      </c>
      <c r="Y147" s="34">
        <f>SUM(E$123:E147)</f>
        <v>13</v>
      </c>
      <c r="Z147" s="34">
        <f>SUM(F$123:F147)</f>
        <v>8</v>
      </c>
      <c r="AA147" s="34">
        <f>SUM(G$123:G147)</f>
        <v>10</v>
      </c>
      <c r="AB147" s="34">
        <f>SUM(H$123:H147)</f>
        <v>6</v>
      </c>
      <c r="AC147" s="8">
        <f t="shared" ref="AC147:AC158" si="45">SUM(W147:AB147)</f>
        <v>52</v>
      </c>
      <c r="AE147">
        <f t="shared" ref="AE147:AE158" si="46">AD147-I147</f>
        <v>-5</v>
      </c>
      <c r="AF147">
        <f t="shared" ref="AF147:AF158" si="47">AF146+AD147</f>
        <v>77</v>
      </c>
    </row>
    <row r="148" spans="1:32">
      <c r="A148" s="251"/>
      <c r="B148" s="23" t="s">
        <v>24</v>
      </c>
      <c r="C148" s="8">
        <f>COUNTIFS('Datos Bachillerato'!$E:$E,C$122,'Datos Bachillerato'!$J:$J,"&gt;=01/02/2025",'Datos Bachillerato'!$J:$J,"&lt;=28/02/2025")</f>
        <v>1</v>
      </c>
      <c r="D148" s="8">
        <f>COUNTIFS('Datos Bachillerato'!$E:$E,D$122,'Datos Bachillerato'!$J:$J,"&gt;=01/02/2025",'Datos Bachillerato'!$J:$J,"&lt;=28/02/2025")</f>
        <v>0</v>
      </c>
      <c r="E148" s="8">
        <f>COUNTIFS('Datos Bachillerato'!$E:$E,E$122,'Datos Bachillerato'!$J:$J,"&gt;=01/02/2025",'Datos Bachillerato'!$J:$J,"&lt;=28/02/2025")</f>
        <v>0</v>
      </c>
      <c r="F148" s="8">
        <f>COUNTIFS('Datos Bachillerato'!$E:$E,F$122,'Datos Bachillerato'!$J:$J,"&gt;=01/02/2025",'Datos Bachillerato'!$J:$J,"&lt;=28/02/2025")</f>
        <v>1</v>
      </c>
      <c r="G148" s="8">
        <f>COUNTIFS('Datos Bachillerato'!$E:$E,G$122,'Datos Bachillerato'!$J:$J,"&gt;=01/02/2025",'Datos Bachillerato'!$J:$J,"&lt;=28/02/2025")</f>
        <v>1</v>
      </c>
      <c r="H148" s="8">
        <f>COUNTIFS('Datos Bachillerato'!$E:$E,H$122,'Datos Bachillerato'!$J:$J,"&gt;=01/02/2025",'Datos Bachillerato'!$J:$J,"&lt;=28/02/2025")</f>
        <v>0</v>
      </c>
      <c r="I148" s="8">
        <f t="shared" si="43"/>
        <v>3</v>
      </c>
      <c r="K148" s="251"/>
      <c r="L148" s="23" t="s">
        <v>24</v>
      </c>
      <c r="M148" s="34">
        <f>SUM(C$147:C148)</f>
        <v>1</v>
      </c>
      <c r="N148" s="34">
        <f>SUM(D$147:D148)</f>
        <v>0</v>
      </c>
      <c r="O148" s="34">
        <f>SUM(E$147:E148)</f>
        <v>3</v>
      </c>
      <c r="P148" s="34">
        <f>SUM(F$147:F148)</f>
        <v>2</v>
      </c>
      <c r="Q148" s="34">
        <f>SUM(G$147:G148)</f>
        <v>2</v>
      </c>
      <c r="R148" s="34">
        <f>SUM(H$147:H148)</f>
        <v>0</v>
      </c>
      <c r="S148" s="8">
        <f t="shared" si="44"/>
        <v>8</v>
      </c>
      <c r="U148" s="251"/>
      <c r="V148" s="23" t="s">
        <v>24</v>
      </c>
      <c r="W148" s="34">
        <f>SUM(C$123:C148)</f>
        <v>8</v>
      </c>
      <c r="X148" s="34">
        <f>SUM(D$123:D148)</f>
        <v>8</v>
      </c>
      <c r="Y148" s="34">
        <f>SUM(E$123:E148)</f>
        <v>13</v>
      </c>
      <c r="Z148" s="34">
        <f>SUM(F$123:F148)</f>
        <v>9</v>
      </c>
      <c r="AA148" s="34">
        <f>SUM(G$123:G148)</f>
        <v>11</v>
      </c>
      <c r="AB148" s="34">
        <f>SUM(H$123:H148)</f>
        <v>6</v>
      </c>
      <c r="AC148" s="8">
        <f t="shared" si="45"/>
        <v>55</v>
      </c>
      <c r="AE148">
        <f t="shared" si="46"/>
        <v>-3</v>
      </c>
      <c r="AF148">
        <f t="shared" si="47"/>
        <v>77</v>
      </c>
    </row>
    <row r="149" spans="1:32">
      <c r="A149" s="251"/>
      <c r="B149" s="23" t="s">
        <v>34</v>
      </c>
      <c r="C149" s="8">
        <f>COUNTIFS('Datos Bachillerato'!$E:$E,C$122,'Datos Bachillerato'!$J:$J,"&gt;=01/03/2025",'Datos Bachillerato'!$J:$J,"&lt;=31/03/2025")</f>
        <v>0</v>
      </c>
      <c r="D149" s="8">
        <f>COUNTIFS('Datos Bachillerato'!$E:$E,D$122,'Datos Bachillerato'!$J:$J,"&gt;=01/03/2025",'Datos Bachillerato'!$J:$J,"&lt;=31/03/2025")</f>
        <v>0</v>
      </c>
      <c r="E149" s="8">
        <f>COUNTIFS('Datos Bachillerato'!$E:$E,E$122,'Datos Bachillerato'!$J:$J,"&gt;=01/03/2025",'Datos Bachillerato'!$J:$J,"&lt;=31/03/2025")</f>
        <v>1</v>
      </c>
      <c r="F149" s="8">
        <f>COUNTIFS('Datos Bachillerato'!$E:$E,F$122,'Datos Bachillerato'!$J:$J,"&gt;=01/03/2025",'Datos Bachillerato'!$J:$J,"&lt;=31/03/2025")</f>
        <v>2</v>
      </c>
      <c r="G149" s="8">
        <f>COUNTIFS('Datos Bachillerato'!$E:$E,G$122,'Datos Bachillerato'!$J:$J,"&gt;=01/03/2025",'Datos Bachillerato'!$J:$J,"&lt;=31/03/2025")</f>
        <v>0</v>
      </c>
      <c r="H149" s="8">
        <f>COUNTIFS('Datos Bachillerato'!$E:$E,H$122,'Datos Bachillerato'!$J:$J,"&gt;=01/03/2025",'Datos Bachillerato'!$J:$J,"&lt;=31/03/2025")</f>
        <v>0</v>
      </c>
      <c r="I149" s="8">
        <f t="shared" si="43"/>
        <v>3</v>
      </c>
      <c r="K149" s="251"/>
      <c r="L149" s="23" t="s">
        <v>34</v>
      </c>
      <c r="M149" s="34">
        <f>SUM(C$147:C149)</f>
        <v>1</v>
      </c>
      <c r="N149" s="34">
        <f>SUM(D$147:D149)</f>
        <v>0</v>
      </c>
      <c r="O149" s="34">
        <f>SUM(E$147:E149)</f>
        <v>4</v>
      </c>
      <c r="P149" s="34">
        <f>SUM(F$147:F149)</f>
        <v>4</v>
      </c>
      <c r="Q149" s="34">
        <f>SUM(G$147:G149)</f>
        <v>2</v>
      </c>
      <c r="R149" s="34">
        <f>SUM(H$147:H149)</f>
        <v>0</v>
      </c>
      <c r="S149" s="8">
        <f t="shared" si="44"/>
        <v>11</v>
      </c>
      <c r="U149" s="251"/>
      <c r="V149" s="23" t="s">
        <v>34</v>
      </c>
      <c r="W149" s="34">
        <f>SUM(C$123:C149)</f>
        <v>8</v>
      </c>
      <c r="X149" s="34">
        <f>SUM(D$123:D149)</f>
        <v>8</v>
      </c>
      <c r="Y149" s="34">
        <f>SUM(E$123:E149)</f>
        <v>14</v>
      </c>
      <c r="Z149" s="34">
        <f>SUM(F$123:F149)</f>
        <v>11</v>
      </c>
      <c r="AA149" s="34">
        <f>SUM(G$123:G149)</f>
        <v>11</v>
      </c>
      <c r="AB149" s="34">
        <f>SUM(H$123:H149)</f>
        <v>6</v>
      </c>
      <c r="AC149" s="8">
        <f t="shared" si="45"/>
        <v>58</v>
      </c>
      <c r="AE149">
        <f t="shared" si="46"/>
        <v>-3</v>
      </c>
      <c r="AF149">
        <f t="shared" si="47"/>
        <v>77</v>
      </c>
    </row>
    <row r="150" spans="1:32">
      <c r="A150" s="251"/>
      <c r="B150" s="23" t="s">
        <v>38</v>
      </c>
      <c r="C150" s="8">
        <f>COUNTIFS('Datos Bachillerato'!$E:$E,C$122,'Datos Bachillerato'!$J:$J,"&gt;=01/04/2025",'Datos Bachillerato'!$J:$J,"&lt;=30/04/2025")</f>
        <v>2</v>
      </c>
      <c r="D150" s="8">
        <f>COUNTIFS('Datos Bachillerato'!$E:$E,D$122,'Datos Bachillerato'!$J:$J,"&gt;=01/04/2025",'Datos Bachillerato'!$J:$J,"&lt;=30/04/2025")</f>
        <v>0</v>
      </c>
      <c r="E150" s="8">
        <f>COUNTIFS('Datos Bachillerato'!$E:$E,E$122,'Datos Bachillerato'!$J:$J,"&gt;=01/04/2025",'Datos Bachillerato'!$J:$J,"&lt;=30/04/2025")</f>
        <v>0</v>
      </c>
      <c r="F150" s="8">
        <f>COUNTIFS('Datos Bachillerato'!$E:$E,F$122,'Datos Bachillerato'!$J:$J,"&gt;=01/04/2025",'Datos Bachillerato'!$J:$J,"&lt;=30/04/2025")</f>
        <v>0</v>
      </c>
      <c r="G150" s="8">
        <f>COUNTIFS('Datos Bachillerato'!$E:$E,G$122,'Datos Bachillerato'!$J:$J,"&gt;=01/04/2025",'Datos Bachillerato'!$J:$J,"&lt;=30/04/2025")</f>
        <v>0</v>
      </c>
      <c r="H150" s="8">
        <f>COUNTIFS('Datos Bachillerato'!$E:$E,H$122,'Datos Bachillerato'!$J:$J,"&gt;=01/04/2025",'Datos Bachillerato'!$J:$J,"&lt;=30/04/2025")</f>
        <v>0</v>
      </c>
      <c r="I150" s="8">
        <f t="shared" si="43"/>
        <v>2</v>
      </c>
      <c r="K150" s="251"/>
      <c r="L150" s="23" t="s">
        <v>38</v>
      </c>
      <c r="M150" s="34">
        <f>SUM(C$147:C150)</f>
        <v>3</v>
      </c>
      <c r="N150" s="34">
        <f>SUM(D$147:D150)</f>
        <v>0</v>
      </c>
      <c r="O150" s="34">
        <f>SUM(E$147:E150)</f>
        <v>4</v>
      </c>
      <c r="P150" s="34">
        <f>SUM(F$147:F150)</f>
        <v>4</v>
      </c>
      <c r="Q150" s="34">
        <f>SUM(G$147:G150)</f>
        <v>2</v>
      </c>
      <c r="R150" s="34">
        <f>SUM(H$147:H150)</f>
        <v>0</v>
      </c>
      <c r="S150" s="8">
        <f t="shared" si="44"/>
        <v>13</v>
      </c>
      <c r="U150" s="251"/>
      <c r="V150" s="23" t="s">
        <v>38</v>
      </c>
      <c r="W150" s="34">
        <f>SUM(C$123:C150)</f>
        <v>10</v>
      </c>
      <c r="X150" s="34">
        <f>SUM(D$123:D150)</f>
        <v>8</v>
      </c>
      <c r="Y150" s="34">
        <f>SUM(E$123:E150)</f>
        <v>14</v>
      </c>
      <c r="Z150" s="34">
        <f>SUM(F$123:F150)</f>
        <v>11</v>
      </c>
      <c r="AA150" s="34">
        <f>SUM(G$123:G150)</f>
        <v>11</v>
      </c>
      <c r="AB150" s="34">
        <f>SUM(H$123:H150)</f>
        <v>6</v>
      </c>
      <c r="AC150" s="8">
        <f t="shared" si="45"/>
        <v>60</v>
      </c>
      <c r="AE150">
        <f t="shared" si="46"/>
        <v>-2</v>
      </c>
      <c r="AF150">
        <f t="shared" si="47"/>
        <v>77</v>
      </c>
    </row>
    <row r="151" spans="1:32">
      <c r="A151" s="251"/>
      <c r="B151" s="23" t="s">
        <v>47</v>
      </c>
      <c r="C151" s="8">
        <f>COUNTIFS('Datos Bachillerato'!$E:$E,C$122,'Datos Bachillerato'!$J:$J,"&gt;=01/05/2025",'Datos Bachillerato'!$J:$J,"&lt;=31/05/2025")</f>
        <v>0</v>
      </c>
      <c r="D151" s="8">
        <f>COUNTIFS('Datos Bachillerato'!$E:$E,D$122,'Datos Bachillerato'!$J:$J,"&gt;=01/05/2025",'Datos Bachillerato'!$J:$J,"&lt;=31/05/2025")</f>
        <v>0</v>
      </c>
      <c r="E151" s="8">
        <f>COUNTIFS('Datos Bachillerato'!$E:$E,E$122,'Datos Bachillerato'!$J:$J,"&gt;=01/05/2025",'Datos Bachillerato'!$J:$J,"&lt;=31/05/2025")</f>
        <v>0</v>
      </c>
      <c r="F151" s="8">
        <f>COUNTIFS('Datos Bachillerato'!$E:$E,F$122,'Datos Bachillerato'!$J:$J,"&gt;=01/05/2025",'Datos Bachillerato'!$J:$J,"&lt;=31/05/2025")</f>
        <v>1</v>
      </c>
      <c r="G151" s="8">
        <f>COUNTIFS('Datos Bachillerato'!$E:$E,G$122,'Datos Bachillerato'!$J:$J,"&gt;=01/05/2025",'Datos Bachillerato'!$J:$J,"&lt;=31/05/2025")</f>
        <v>0</v>
      </c>
      <c r="H151" s="8">
        <f>COUNTIFS('Datos Bachillerato'!$E:$E,H$122,'Datos Bachillerato'!$J:$J,"&gt;=01/05/2025",'Datos Bachillerato'!$J:$J,"&lt;=31/05/2025")</f>
        <v>0</v>
      </c>
      <c r="I151" s="8">
        <f t="shared" si="43"/>
        <v>1</v>
      </c>
      <c r="K151" s="251"/>
      <c r="L151" s="23" t="s">
        <v>47</v>
      </c>
      <c r="M151" s="34">
        <f>SUM(C$147:C151)</f>
        <v>3</v>
      </c>
      <c r="N151" s="34">
        <f>SUM(D$147:D151)</f>
        <v>0</v>
      </c>
      <c r="O151" s="34">
        <f>SUM(E$147:E151)</f>
        <v>4</v>
      </c>
      <c r="P151" s="34">
        <f>SUM(F$147:F151)</f>
        <v>5</v>
      </c>
      <c r="Q151" s="34">
        <f>SUM(G$147:G151)</f>
        <v>2</v>
      </c>
      <c r="R151" s="34">
        <f>SUM(H$147:H151)</f>
        <v>0</v>
      </c>
      <c r="S151" s="8">
        <f t="shared" si="44"/>
        <v>14</v>
      </c>
      <c r="U151" s="251"/>
      <c r="V151" s="23" t="s">
        <v>47</v>
      </c>
      <c r="W151" s="34">
        <f>SUM(C$123:C151)</f>
        <v>10</v>
      </c>
      <c r="X151" s="34">
        <f>SUM(D$123:D151)</f>
        <v>8</v>
      </c>
      <c r="Y151" s="34">
        <f>SUM(E$123:E151)</f>
        <v>14</v>
      </c>
      <c r="Z151" s="34">
        <f>SUM(F$123:F151)</f>
        <v>12</v>
      </c>
      <c r="AA151" s="34">
        <f>SUM(G$123:G151)</f>
        <v>11</v>
      </c>
      <c r="AB151" s="34">
        <f>SUM(H$123:H151)</f>
        <v>6</v>
      </c>
      <c r="AC151" s="8">
        <f t="shared" si="45"/>
        <v>61</v>
      </c>
      <c r="AE151">
        <f t="shared" si="46"/>
        <v>-1</v>
      </c>
      <c r="AF151">
        <f t="shared" si="47"/>
        <v>77</v>
      </c>
    </row>
    <row r="152" spans="1:32">
      <c r="A152" s="251"/>
      <c r="B152" s="23" t="s">
        <v>57</v>
      </c>
      <c r="C152" s="8">
        <f>COUNTIFS('Datos Bachillerato'!$E:$E,C$122,'Datos Bachillerato'!$J:$J,"&gt;=01/06/2025",'Datos Bachillerato'!$J:$J,"&lt;=30/06/2025")</f>
        <v>0</v>
      </c>
      <c r="D152" s="8">
        <f>COUNTIFS('Datos Bachillerato'!$E:$E,D$122,'Datos Bachillerato'!$J:$J,"&gt;=01/06/2025",'Datos Bachillerato'!$J:$J,"&lt;=30/06/2025")</f>
        <v>0</v>
      </c>
      <c r="E152" s="8">
        <f>COUNTIFS('Datos Bachillerato'!$E:$E,E$122,'Datos Bachillerato'!$J:$J,"&gt;=01/06/2025",'Datos Bachillerato'!$J:$J,"&lt;=30/06/2025")</f>
        <v>0</v>
      </c>
      <c r="F152" s="8">
        <f>COUNTIFS('Datos Bachillerato'!$E:$E,F$122,'Datos Bachillerato'!$J:$J,"&gt;=01/06/2025",'Datos Bachillerato'!$J:$J,"&lt;=30/06/2025")</f>
        <v>0</v>
      </c>
      <c r="G152" s="8">
        <f>COUNTIFS('Datos Bachillerato'!$E:$E,G$122,'Datos Bachillerato'!$J:$J,"&gt;=01/06/2025",'Datos Bachillerato'!$J:$J,"&lt;=30/06/2025")</f>
        <v>0</v>
      </c>
      <c r="H152" s="8">
        <f>COUNTIFS('Datos Bachillerato'!$E:$E,H$122,'Datos Bachillerato'!$J:$J,"&gt;=01/06/2025",'Datos Bachillerato'!$J:$J,"&lt;=30/06/2025")</f>
        <v>0</v>
      </c>
      <c r="I152" s="8">
        <f t="shared" si="43"/>
        <v>0</v>
      </c>
      <c r="K152" s="251"/>
      <c r="L152" s="23" t="s">
        <v>57</v>
      </c>
      <c r="M152" s="34">
        <f>SUM(C$147:C152)</f>
        <v>3</v>
      </c>
      <c r="N152" s="34">
        <f>SUM(D$147:D152)</f>
        <v>0</v>
      </c>
      <c r="O152" s="34">
        <f>SUM(E$147:E152)</f>
        <v>4</v>
      </c>
      <c r="P152" s="34">
        <f>SUM(F$147:F152)</f>
        <v>5</v>
      </c>
      <c r="Q152" s="34">
        <f>SUM(G$147:G152)</f>
        <v>2</v>
      </c>
      <c r="R152" s="34">
        <f>SUM(H$147:H152)</f>
        <v>0</v>
      </c>
      <c r="S152" s="8">
        <f t="shared" si="44"/>
        <v>14</v>
      </c>
      <c r="U152" s="251"/>
      <c r="V152" s="23" t="s">
        <v>57</v>
      </c>
      <c r="W152" s="34">
        <f>SUM(C$123:C152)</f>
        <v>10</v>
      </c>
      <c r="X152" s="34">
        <f>SUM(D$123:D152)</f>
        <v>8</v>
      </c>
      <c r="Y152" s="34">
        <f>SUM(E$123:E152)</f>
        <v>14</v>
      </c>
      <c r="Z152" s="34">
        <f>SUM(F$123:F152)</f>
        <v>12</v>
      </c>
      <c r="AA152" s="34">
        <f>SUM(G$123:G152)</f>
        <v>11</v>
      </c>
      <c r="AB152" s="34">
        <f>SUM(H$123:H152)</f>
        <v>6</v>
      </c>
      <c r="AC152" s="8">
        <f t="shared" si="45"/>
        <v>61</v>
      </c>
      <c r="AE152">
        <f t="shared" si="46"/>
        <v>0</v>
      </c>
      <c r="AF152">
        <f t="shared" si="47"/>
        <v>77</v>
      </c>
    </row>
    <row r="153" spans="1:32">
      <c r="A153" s="251"/>
      <c r="B153" s="23" t="s">
        <v>62</v>
      </c>
      <c r="C153" s="8">
        <f>COUNTIFS('Datos Bachillerato'!$E:$E,C$122,'Datos Bachillerato'!$J:$J,"&gt;=01/07/2025",'Datos Bachillerato'!$J:$J,"&lt;=31/07/2025")</f>
        <v>2</v>
      </c>
      <c r="D153" s="8">
        <f>COUNTIFS('Datos Bachillerato'!$E:$E,D$122,'Datos Bachillerato'!$J:$J,"&gt;=01/07/2025",'Datos Bachillerato'!$J:$J,"&lt;=31/07/2025")</f>
        <v>2</v>
      </c>
      <c r="E153" s="8">
        <f>COUNTIFS('Datos Bachillerato'!$E:$E,E$122,'Datos Bachillerato'!$J:$J,"&gt;=01/07/2025",'Datos Bachillerato'!$J:$J,"&lt;=31/07/2025")</f>
        <v>0</v>
      </c>
      <c r="F153" s="8">
        <f>COUNTIFS('Datos Bachillerato'!$E:$E,F$122,'Datos Bachillerato'!$J:$J,"&gt;=01/07/2025",'Datos Bachillerato'!$J:$J,"&lt;=31/07/2025")</f>
        <v>0</v>
      </c>
      <c r="G153" s="8">
        <f>COUNTIFS('Datos Bachillerato'!$E:$E,G$122,'Datos Bachillerato'!$J:$J,"&gt;=01/07/2025",'Datos Bachillerato'!$J:$J,"&lt;=31/07/2025")</f>
        <v>2</v>
      </c>
      <c r="H153" s="8">
        <f>COUNTIFS('Datos Bachillerato'!$E:$E,H$122,'Datos Bachillerato'!$J:$J,"&gt;=01/07/2025",'Datos Bachillerato'!$J:$J,"&lt;=31/07/2025")</f>
        <v>0</v>
      </c>
      <c r="I153" s="8">
        <f t="shared" si="43"/>
        <v>6</v>
      </c>
      <c r="K153" s="251"/>
      <c r="L153" s="23" t="s">
        <v>62</v>
      </c>
      <c r="M153" s="34">
        <f>SUM(C$147:C153)</f>
        <v>5</v>
      </c>
      <c r="N153" s="34">
        <f>SUM(D$147:D153)</f>
        <v>2</v>
      </c>
      <c r="O153" s="34">
        <f>SUM(E$147:E153)</f>
        <v>4</v>
      </c>
      <c r="P153" s="34">
        <f>SUM(F$147:F153)</f>
        <v>5</v>
      </c>
      <c r="Q153" s="34">
        <f>SUM(G$147:G153)</f>
        <v>4</v>
      </c>
      <c r="R153" s="34">
        <f>SUM(H$147:H153)</f>
        <v>0</v>
      </c>
      <c r="S153" s="8">
        <f t="shared" si="44"/>
        <v>20</v>
      </c>
      <c r="U153" s="251"/>
      <c r="V153" s="23" t="s">
        <v>62</v>
      </c>
      <c r="W153" s="34">
        <f>SUM(C$123:C153)</f>
        <v>12</v>
      </c>
      <c r="X153" s="34">
        <f>SUM(D$123:D153)</f>
        <v>10</v>
      </c>
      <c r="Y153" s="34">
        <f>SUM(E$123:E153)</f>
        <v>14</v>
      </c>
      <c r="Z153" s="34">
        <f>SUM(F$123:F153)</f>
        <v>12</v>
      </c>
      <c r="AA153" s="34">
        <f>SUM(G$123:G153)</f>
        <v>13</v>
      </c>
      <c r="AB153" s="34">
        <f>SUM(H$123:H153)</f>
        <v>6</v>
      </c>
      <c r="AC153" s="8">
        <f t="shared" si="45"/>
        <v>67</v>
      </c>
      <c r="AE153">
        <f t="shared" si="46"/>
        <v>-6</v>
      </c>
      <c r="AF153">
        <f t="shared" si="47"/>
        <v>77</v>
      </c>
    </row>
    <row r="154" spans="1:32">
      <c r="A154" s="251"/>
      <c r="B154" s="23" t="s">
        <v>68</v>
      </c>
      <c r="C154" s="8">
        <f>COUNTIFS('Datos Bachillerato'!$E:$E,C$122,'Datos Bachillerato'!$J:$J,"&gt;=01/08/2025",'Datos Bachillerato'!$J:$J,"&lt;=31/08/2025")</f>
        <v>1</v>
      </c>
      <c r="D154" s="8">
        <f>COUNTIFS('Datos Bachillerato'!$E:$E,D$122,'Datos Bachillerato'!$J:$J,"&gt;=01/08/2025",'Datos Bachillerato'!$J:$J,"&lt;=31/08/2025")</f>
        <v>0</v>
      </c>
      <c r="E154" s="8">
        <f>COUNTIFS('Datos Bachillerato'!$E:$E,E$122,'Datos Bachillerato'!$J:$J,"&gt;=01/08/2025",'Datos Bachillerato'!$J:$J,"&lt;=31/08/2025")</f>
        <v>0</v>
      </c>
      <c r="F154" s="8">
        <f>COUNTIFS('Datos Bachillerato'!$E:$E,F$122,'Datos Bachillerato'!$J:$J,"&gt;=01/08/2025",'Datos Bachillerato'!$J:$J,"&lt;=31/08/2025")</f>
        <v>2</v>
      </c>
      <c r="G154" s="8">
        <f>COUNTIFS('Datos Bachillerato'!$E:$E,G$122,'Datos Bachillerato'!$J:$J,"&gt;=01/08/2025",'Datos Bachillerato'!$J:$J,"&lt;=31/08/2025")</f>
        <v>1</v>
      </c>
      <c r="H154" s="8">
        <f>COUNTIFS('Datos Bachillerato'!$E:$E,H$122,'Datos Bachillerato'!$J:$J,"&gt;=01/08/2025",'Datos Bachillerato'!$J:$J,"&lt;=31/08/2025")</f>
        <v>0</v>
      </c>
      <c r="I154" s="8">
        <f t="shared" si="43"/>
        <v>4</v>
      </c>
      <c r="K154" s="251"/>
      <c r="L154" s="23" t="s">
        <v>68</v>
      </c>
      <c r="M154" s="34">
        <f>SUM(C$147:C154)</f>
        <v>6</v>
      </c>
      <c r="N154" s="34">
        <f>SUM(D$147:D154)</f>
        <v>2</v>
      </c>
      <c r="O154" s="34">
        <f>SUM(E$147:E154)</f>
        <v>4</v>
      </c>
      <c r="P154" s="34">
        <f>SUM(F$147:F154)</f>
        <v>7</v>
      </c>
      <c r="Q154" s="34">
        <f>SUM(G$147:G154)</f>
        <v>5</v>
      </c>
      <c r="R154" s="34">
        <f>SUM(H$147:H154)</f>
        <v>0</v>
      </c>
      <c r="S154" s="8">
        <f t="shared" si="44"/>
        <v>24</v>
      </c>
      <c r="U154" s="251"/>
      <c r="V154" s="23" t="s">
        <v>68</v>
      </c>
      <c r="W154" s="34">
        <f>SUM(C$123:C154)</f>
        <v>13</v>
      </c>
      <c r="X154" s="34">
        <f>SUM(D$123:D154)</f>
        <v>10</v>
      </c>
      <c r="Y154" s="34">
        <f>SUM(E$123:E154)</f>
        <v>14</v>
      </c>
      <c r="Z154" s="34">
        <f>SUM(F$123:F154)</f>
        <v>14</v>
      </c>
      <c r="AA154" s="34">
        <f>SUM(G$123:G154)</f>
        <v>14</v>
      </c>
      <c r="AB154" s="34">
        <f>SUM(H$123:H154)</f>
        <v>6</v>
      </c>
      <c r="AC154" s="8">
        <f t="shared" si="45"/>
        <v>71</v>
      </c>
      <c r="AE154">
        <f t="shared" si="46"/>
        <v>-4</v>
      </c>
      <c r="AF154">
        <f t="shared" si="47"/>
        <v>77</v>
      </c>
    </row>
    <row r="155" spans="1:32">
      <c r="A155" s="251"/>
      <c r="B155" s="23" t="s">
        <v>77</v>
      </c>
      <c r="C155" s="8">
        <f>COUNTIFS('Datos Bachillerato'!$E:$E,C$122,'Datos Bachillerato'!$J:$J,"&gt;=01/09/2025",'Datos Bachillerato'!$J:$J,"&lt;=30/09/2025")</f>
        <v>2</v>
      </c>
      <c r="D155" s="8">
        <f>COUNTIFS('Datos Bachillerato'!$E:$E,D$122,'Datos Bachillerato'!$J:$J,"&gt;=01/09/2025",'Datos Bachillerato'!$J:$J,"&lt;=30/09/2025")</f>
        <v>0</v>
      </c>
      <c r="E155" s="8">
        <f>COUNTIFS('Datos Bachillerato'!$E:$E,E$122,'Datos Bachillerato'!$J:$J,"&gt;=01/09/2025",'Datos Bachillerato'!$J:$J,"&lt;=30/09/2025")</f>
        <v>2</v>
      </c>
      <c r="F155" s="8">
        <f>COUNTIFS('Datos Bachillerato'!$E:$E,F$122,'Datos Bachillerato'!$J:$J,"&gt;=01/09/2025",'Datos Bachillerato'!$J:$J,"&lt;=30/09/2025")</f>
        <v>0</v>
      </c>
      <c r="G155" s="8">
        <f>COUNTIFS('Datos Bachillerato'!$E:$E,G$122,'Datos Bachillerato'!$J:$J,"&gt;=01/09/2025",'Datos Bachillerato'!$J:$J,"&lt;=30/09/2025")</f>
        <v>0</v>
      </c>
      <c r="H155" s="8">
        <f>COUNTIFS('Datos Bachillerato'!$E:$E,H$122,'Datos Bachillerato'!$J:$J,"&gt;=01/09/2025",'Datos Bachillerato'!$J:$J,"&lt;=30/09/2025")</f>
        <v>1</v>
      </c>
      <c r="I155" s="8">
        <f t="shared" si="43"/>
        <v>5</v>
      </c>
      <c r="K155" s="251"/>
      <c r="L155" s="23" t="s">
        <v>77</v>
      </c>
      <c r="M155" s="34">
        <f>SUM(C$147:C155)</f>
        <v>8</v>
      </c>
      <c r="N155" s="34">
        <f>SUM(D$147:D155)</f>
        <v>2</v>
      </c>
      <c r="O155" s="34">
        <f>SUM(E$147:E155)</f>
        <v>6</v>
      </c>
      <c r="P155" s="34">
        <f>SUM(F$147:F155)</f>
        <v>7</v>
      </c>
      <c r="Q155" s="34">
        <f>SUM(G$147:G155)</f>
        <v>5</v>
      </c>
      <c r="R155" s="34">
        <f>SUM(H$147:H155)</f>
        <v>1</v>
      </c>
      <c r="S155" s="8">
        <f t="shared" si="44"/>
        <v>29</v>
      </c>
      <c r="U155" s="251"/>
      <c r="V155" s="23" t="s">
        <v>77</v>
      </c>
      <c r="W155" s="34">
        <f>SUM(C$123:C155)</f>
        <v>15</v>
      </c>
      <c r="X155" s="34">
        <f>SUM(D$123:D155)</f>
        <v>10</v>
      </c>
      <c r="Y155" s="34">
        <f>SUM(E$123:E155)</f>
        <v>16</v>
      </c>
      <c r="Z155" s="34">
        <f>SUM(F$123:F155)</f>
        <v>14</v>
      </c>
      <c r="AA155" s="34">
        <f>SUM(G$123:G155)</f>
        <v>14</v>
      </c>
      <c r="AB155" s="34">
        <f>SUM(H$123:H155)</f>
        <v>7</v>
      </c>
      <c r="AC155" s="8">
        <f t="shared" si="45"/>
        <v>76</v>
      </c>
      <c r="AE155">
        <f t="shared" si="46"/>
        <v>-5</v>
      </c>
      <c r="AF155">
        <f t="shared" si="47"/>
        <v>77</v>
      </c>
    </row>
    <row r="156" spans="1:32">
      <c r="A156" s="251"/>
      <c r="B156" s="23" t="s">
        <v>84</v>
      </c>
      <c r="C156" s="8">
        <f>COUNTIFS('Datos Bachillerato'!$E:$E,C$122,'Datos Bachillerato'!$J:$J,"&gt;=01/10/2025",'Datos Bachillerato'!$J:$J,"&lt;=31/10/2025")</f>
        <v>1</v>
      </c>
      <c r="D156" s="8">
        <f>COUNTIFS('Datos Bachillerato'!$E:$E,D$122,'Datos Bachillerato'!$J:$J,"&gt;=01/10/2025",'Datos Bachillerato'!$J:$J,"&lt;=31/10/2025")</f>
        <v>0</v>
      </c>
      <c r="E156" s="8">
        <f>COUNTIFS('Datos Bachillerato'!$E:$E,E$122,'Datos Bachillerato'!$J:$J,"&gt;=01/10/2025",'Datos Bachillerato'!$J:$J,"&lt;=31/10/2025")</f>
        <v>0</v>
      </c>
      <c r="F156" s="8">
        <f>COUNTIFS('Datos Bachillerato'!$E:$E,F$122,'Datos Bachillerato'!$J:$J,"&gt;=01/10/2025",'Datos Bachillerato'!$J:$J,"&lt;=31/10/2025")</f>
        <v>0</v>
      </c>
      <c r="G156" s="8">
        <f>COUNTIFS('Datos Bachillerato'!$E:$E,G$122,'Datos Bachillerato'!$J:$J,"&gt;=01/10/2025",'Datos Bachillerato'!$J:$J,"&lt;=31/10/2025")</f>
        <v>0</v>
      </c>
      <c r="H156" s="8">
        <f>COUNTIFS('Datos Bachillerato'!$E:$E,H$122,'Datos Bachillerato'!$J:$J,"&gt;=01/10/2025",'Datos Bachillerato'!$J:$J,"&lt;=31/10/2025")</f>
        <v>0</v>
      </c>
      <c r="I156" s="8">
        <f t="shared" si="43"/>
        <v>1</v>
      </c>
      <c r="K156" s="251"/>
      <c r="L156" s="23" t="s">
        <v>84</v>
      </c>
      <c r="M156" s="34">
        <f>SUM(C$147:C156)</f>
        <v>9</v>
      </c>
      <c r="N156" s="34">
        <f>SUM(D$147:D156)</f>
        <v>2</v>
      </c>
      <c r="O156" s="34">
        <f>SUM(E$147:E156)</f>
        <v>6</v>
      </c>
      <c r="P156" s="34">
        <f>SUM(F$147:F156)</f>
        <v>7</v>
      </c>
      <c r="Q156" s="34">
        <f>SUM(G$147:G156)</f>
        <v>5</v>
      </c>
      <c r="R156" s="34">
        <f>SUM(H$147:H156)</f>
        <v>1</v>
      </c>
      <c r="S156" s="8">
        <f t="shared" si="44"/>
        <v>30</v>
      </c>
      <c r="U156" s="251"/>
      <c r="V156" s="23" t="s">
        <v>84</v>
      </c>
      <c r="W156" s="34">
        <f>SUM(C$123:C156)</f>
        <v>16</v>
      </c>
      <c r="X156" s="34">
        <f>SUM(D$123:D156)</f>
        <v>10</v>
      </c>
      <c r="Y156" s="34">
        <f>SUM(E$123:E156)</f>
        <v>16</v>
      </c>
      <c r="Z156" s="34">
        <f>SUM(F$123:F156)</f>
        <v>14</v>
      </c>
      <c r="AA156" s="34">
        <f>SUM(G$123:G156)</f>
        <v>14</v>
      </c>
      <c r="AB156" s="34">
        <f>SUM(H$123:H156)</f>
        <v>7</v>
      </c>
      <c r="AC156" s="8">
        <f t="shared" si="45"/>
        <v>77</v>
      </c>
      <c r="AE156">
        <f t="shared" si="46"/>
        <v>-1</v>
      </c>
      <c r="AF156">
        <f t="shared" si="47"/>
        <v>77</v>
      </c>
    </row>
    <row r="157" spans="1:32">
      <c r="A157" s="251"/>
      <c r="B157" s="23" t="s">
        <v>87</v>
      </c>
      <c r="C157" s="8">
        <f>COUNTIFS('Datos Bachillerato'!$E:$E,C$122,'Datos Bachillerato'!$J:$J,"&gt;=01/11/2025",'Datos Bachillerato'!$J:$J,"&lt;=30/11/2025")</f>
        <v>1</v>
      </c>
      <c r="D157" s="8">
        <f>COUNTIFS('Datos Bachillerato'!$E:$E,D$122,'Datos Bachillerato'!$J:$J,"&gt;=01/11/2025",'Datos Bachillerato'!$J:$J,"&lt;=30/11/2025")</f>
        <v>0</v>
      </c>
      <c r="E157" s="8">
        <f>COUNTIFS('Datos Bachillerato'!$E:$E,E$122,'Datos Bachillerato'!$J:$J,"&gt;=01/11/2025",'Datos Bachillerato'!$J:$J,"&lt;=30/11/2025")</f>
        <v>0</v>
      </c>
      <c r="F157" s="8">
        <f>COUNTIFS('Datos Bachillerato'!$E:$E,F$122,'Datos Bachillerato'!$J:$J,"&gt;=01/11/2025",'Datos Bachillerato'!$J:$J,"&lt;=30/11/2025")</f>
        <v>0</v>
      </c>
      <c r="G157" s="8">
        <f>COUNTIFS('Datos Bachillerato'!$E:$E,G$122,'Datos Bachillerato'!$J:$J,"&gt;=01/11/2025",'Datos Bachillerato'!$J:$J,"&lt;=30/11/2025")</f>
        <v>1</v>
      </c>
      <c r="H157" s="8">
        <f>COUNTIFS('Datos Bachillerato'!$E:$E,H$122,'Datos Bachillerato'!$J:$J,"&gt;=01/11/2025",'Datos Bachillerato'!$J:$J,"&lt;=30/11/2025")</f>
        <v>1</v>
      </c>
      <c r="I157" s="8">
        <f t="shared" si="43"/>
        <v>3</v>
      </c>
      <c r="K157" s="251"/>
      <c r="L157" s="23" t="s">
        <v>87</v>
      </c>
      <c r="M157" s="34">
        <f>SUM(C$147:C157)</f>
        <v>10</v>
      </c>
      <c r="N157" s="34">
        <f>SUM(D$147:D157)</f>
        <v>2</v>
      </c>
      <c r="O157" s="34">
        <f>SUM(E$147:E157)</f>
        <v>6</v>
      </c>
      <c r="P157" s="34">
        <f>SUM(F$147:F157)</f>
        <v>7</v>
      </c>
      <c r="Q157" s="34">
        <f>SUM(G$147:G157)</f>
        <v>6</v>
      </c>
      <c r="R157" s="34">
        <f>SUM(H$147:H157)</f>
        <v>2</v>
      </c>
      <c r="S157" s="8">
        <f t="shared" si="44"/>
        <v>33</v>
      </c>
      <c r="U157" s="251"/>
      <c r="V157" s="23" t="s">
        <v>87</v>
      </c>
      <c r="W157" s="34">
        <f>SUM(C$123:C157)</f>
        <v>17</v>
      </c>
      <c r="X157" s="34">
        <f>SUM(D$123:D157)</f>
        <v>10</v>
      </c>
      <c r="Y157" s="34">
        <f>SUM(E$123:E157)</f>
        <v>16</v>
      </c>
      <c r="Z157" s="34">
        <f>SUM(F$123:F157)</f>
        <v>14</v>
      </c>
      <c r="AA157" s="34">
        <f>SUM(G$123:G157)</f>
        <v>15</v>
      </c>
      <c r="AB157" s="34">
        <f>SUM(H$123:H157)</f>
        <v>8</v>
      </c>
      <c r="AC157" s="8">
        <f t="shared" si="45"/>
        <v>80</v>
      </c>
      <c r="AE157">
        <f t="shared" si="46"/>
        <v>-3</v>
      </c>
      <c r="AF157">
        <f t="shared" si="47"/>
        <v>77</v>
      </c>
    </row>
    <row r="158" spans="1:32">
      <c r="A158" s="251"/>
      <c r="B158" s="23" t="s">
        <v>173</v>
      </c>
      <c r="C158" s="8">
        <f>COUNTIFS('Datos Bachillerato'!$E:$E,C$122,'Datos Bachillerato'!$J:$J,"&gt;=01/12/2025",'Datos Bachillerato'!$J:$J,"&lt;=31/12/2025")</f>
        <v>0</v>
      </c>
      <c r="D158" s="8">
        <f>COUNTIFS('Datos Bachillerato'!$E:$E,D$122,'Datos Bachillerato'!$J:$J,"&gt;=01/12/2025",'Datos Bachillerato'!$J:$J,"&lt;=31/12/2025")</f>
        <v>0</v>
      </c>
      <c r="E158" s="8">
        <f>COUNTIFS('Datos Bachillerato'!$E:$E,E$122,'Datos Bachillerato'!$J:$J,"&gt;=01/12/2025",'Datos Bachillerato'!$J:$J,"&lt;=31/12/2025")</f>
        <v>0</v>
      </c>
      <c r="F158" s="8">
        <f>COUNTIFS('Datos Bachillerato'!$E:$E,F$122,'Datos Bachillerato'!$J:$J,"&gt;=01/12/2025",'Datos Bachillerato'!$J:$J,"&lt;=31/12/2025")</f>
        <v>0</v>
      </c>
      <c r="G158" s="8">
        <f>COUNTIFS('Datos Bachillerato'!$E:$E,G$122,'Datos Bachillerato'!$J:$J,"&gt;=01/12/2025",'Datos Bachillerato'!$J:$J,"&lt;=31/12/2025")</f>
        <v>0</v>
      </c>
      <c r="H158" s="8">
        <f>COUNTIFS('Datos Bachillerato'!$E:$E,H$122,'Datos Bachillerato'!$J:$J,"&gt;=01/12/2025",'Datos Bachillerato'!$J:$J,"&lt;=31/12/2025")</f>
        <v>0</v>
      </c>
      <c r="I158" s="8">
        <f t="shared" si="43"/>
        <v>0</v>
      </c>
      <c r="K158" s="251"/>
      <c r="L158" s="23" t="s">
        <v>173</v>
      </c>
      <c r="M158" s="34">
        <f>SUM(C$147:C158)</f>
        <v>10</v>
      </c>
      <c r="N158" s="34">
        <f>SUM(D$147:D158)</f>
        <v>2</v>
      </c>
      <c r="O158" s="34">
        <f>SUM(E$147:E158)</f>
        <v>6</v>
      </c>
      <c r="P158" s="34">
        <f>SUM(F$147:F158)</f>
        <v>7</v>
      </c>
      <c r="Q158" s="34">
        <f>SUM(G$147:G158)</f>
        <v>6</v>
      </c>
      <c r="R158" s="34">
        <f>SUM(H$147:H158)</f>
        <v>2</v>
      </c>
      <c r="S158" s="8">
        <f t="shared" si="44"/>
        <v>33</v>
      </c>
      <c r="U158" s="251"/>
      <c r="V158" s="23" t="s">
        <v>173</v>
      </c>
      <c r="W158" s="34">
        <f>SUM(C$123:C158)</f>
        <v>17</v>
      </c>
      <c r="X158" s="34">
        <f>SUM(D$123:D158)</f>
        <v>10</v>
      </c>
      <c r="Y158" s="34">
        <f>SUM(E$123:E158)</f>
        <v>16</v>
      </c>
      <c r="Z158" s="34">
        <f>SUM(F$123:F158)</f>
        <v>14</v>
      </c>
      <c r="AA158" s="34">
        <f>SUM(G$123:G158)</f>
        <v>15</v>
      </c>
      <c r="AB158" s="34">
        <f>SUM(H$123:H158)</f>
        <v>8</v>
      </c>
      <c r="AC158" s="8">
        <f>SUM(W158:AB158)</f>
        <v>80</v>
      </c>
      <c r="AE158">
        <f t="shared" si="46"/>
        <v>0</v>
      </c>
      <c r="AF158">
        <f t="shared" si="47"/>
        <v>77</v>
      </c>
    </row>
  </sheetData>
  <mergeCells count="48">
    <mergeCell ref="A147:A158"/>
    <mergeCell ref="K147:K158"/>
    <mergeCell ref="U147:U158"/>
    <mergeCell ref="U123:U134"/>
    <mergeCell ref="U135:U146"/>
    <mergeCell ref="A123:A134"/>
    <mergeCell ref="A135:A146"/>
    <mergeCell ref="K135:K146"/>
    <mergeCell ref="V81:AC81"/>
    <mergeCell ref="U83:U94"/>
    <mergeCell ref="U95:U106"/>
    <mergeCell ref="V121:AC121"/>
    <mergeCell ref="V1:AC1"/>
    <mergeCell ref="U3:U14"/>
    <mergeCell ref="U15:U26"/>
    <mergeCell ref="V41:AC41"/>
    <mergeCell ref="U43:U54"/>
    <mergeCell ref="U27:U38"/>
    <mergeCell ref="U67:U78"/>
    <mergeCell ref="U55:U66"/>
    <mergeCell ref="U107:U118"/>
    <mergeCell ref="L1:S1"/>
    <mergeCell ref="K3:K14"/>
    <mergeCell ref="K15:K26"/>
    <mergeCell ref="L41:S41"/>
    <mergeCell ref="K43:K54"/>
    <mergeCell ref="K27:K38"/>
    <mergeCell ref="L121:S121"/>
    <mergeCell ref="K123:K134"/>
    <mergeCell ref="A3:A14"/>
    <mergeCell ref="B121:I121"/>
    <mergeCell ref="A95:A106"/>
    <mergeCell ref="K67:K78"/>
    <mergeCell ref="K55:K66"/>
    <mergeCell ref="A107:A118"/>
    <mergeCell ref="K107:K118"/>
    <mergeCell ref="L81:S81"/>
    <mergeCell ref="K83:K94"/>
    <mergeCell ref="K95:K106"/>
    <mergeCell ref="B1:I1"/>
    <mergeCell ref="A15:A26"/>
    <mergeCell ref="A43:A54"/>
    <mergeCell ref="A55:A66"/>
    <mergeCell ref="A83:A94"/>
    <mergeCell ref="B41:I41"/>
    <mergeCell ref="B81:I81"/>
    <mergeCell ref="A27:A38"/>
    <mergeCell ref="A67:A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3678-7772-4D24-A211-F4D1A426158A}">
  <dimension ref="A1:U158"/>
  <sheetViews>
    <sheetView showGridLines="0" topLeftCell="A141" workbookViewId="0">
      <selection activeCell="Q39" sqref="Q39"/>
    </sheetView>
  </sheetViews>
  <sheetFormatPr defaultColWidth="6.5703125" defaultRowHeight="14.45"/>
  <cols>
    <col min="1" max="1" width="5.28515625" bestFit="1" customWidth="1"/>
    <col min="2" max="2" width="10.85546875" bestFit="1" customWidth="1"/>
    <col min="17" max="20" width="12.5703125" customWidth="1"/>
  </cols>
  <sheetData>
    <row r="1" spans="1:20">
      <c r="A1" s="31"/>
      <c r="B1" s="258" t="s">
        <v>1420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20">
      <c r="A2" s="31"/>
      <c r="B2" s="22" t="s">
        <v>1421</v>
      </c>
      <c r="C2" s="32" t="s">
        <v>18</v>
      </c>
      <c r="D2" s="32" t="s">
        <v>32</v>
      </c>
      <c r="E2" s="32" t="s">
        <v>15</v>
      </c>
      <c r="F2" s="22" t="s">
        <v>324</v>
      </c>
      <c r="G2" s="22" t="s">
        <v>326</v>
      </c>
      <c r="H2" s="22" t="s">
        <v>321</v>
      </c>
      <c r="I2" s="22" t="s">
        <v>319</v>
      </c>
      <c r="J2" s="22" t="s">
        <v>329</v>
      </c>
      <c r="K2" s="22" t="s">
        <v>760</v>
      </c>
      <c r="L2" s="22" t="s">
        <v>763</v>
      </c>
      <c r="M2" s="22" t="s">
        <v>753</v>
      </c>
      <c r="N2" s="22" t="s">
        <v>757</v>
      </c>
      <c r="O2" s="22" t="s">
        <v>771</v>
      </c>
      <c r="P2" s="22" t="s">
        <v>755</v>
      </c>
      <c r="Q2" s="67" t="s">
        <v>1433</v>
      </c>
      <c r="R2" s="67" t="s">
        <v>1434</v>
      </c>
      <c r="S2" s="67" t="s">
        <v>1435</v>
      </c>
      <c r="T2" s="67" t="s">
        <v>1436</v>
      </c>
    </row>
    <row r="3" spans="1:20">
      <c r="A3" s="251">
        <v>2023</v>
      </c>
      <c r="B3" s="23" t="s">
        <v>13</v>
      </c>
      <c r="C3" s="34">
        <f>Preescolar!Q3</f>
        <v>5</v>
      </c>
      <c r="D3" s="34">
        <f>Preescolar!R3</f>
        <v>0</v>
      </c>
      <c r="E3" s="34">
        <f>Preescolar!S3</f>
        <v>1</v>
      </c>
      <c r="F3" s="34">
        <f>Primaria!U3</f>
        <v>2</v>
      </c>
      <c r="G3" s="34">
        <f>Primaria!V3</f>
        <v>1</v>
      </c>
      <c r="H3" s="34">
        <f>Primaria!W3</f>
        <v>4</v>
      </c>
      <c r="I3" s="34">
        <f>Primaria!X3</f>
        <v>1</v>
      </c>
      <c r="J3" s="34">
        <f>Primaria!Y3</f>
        <v>1</v>
      </c>
      <c r="K3" s="34">
        <f>Bachillerato!W3</f>
        <v>3</v>
      </c>
      <c r="L3" s="34">
        <f>Bachillerato!X3</f>
        <v>4</v>
      </c>
      <c r="M3" s="34">
        <f>Bachillerato!Y3</f>
        <v>4</v>
      </c>
      <c r="N3" s="34">
        <f>Bachillerato!Z3</f>
        <v>2</v>
      </c>
      <c r="O3" s="34">
        <f>Bachillerato!AA3</f>
        <v>2</v>
      </c>
      <c r="P3" s="34">
        <f>Bachillerato!AB3</f>
        <v>3</v>
      </c>
      <c r="Q3" s="34">
        <f>SUM(C3:E3)</f>
        <v>6</v>
      </c>
      <c r="R3" s="34">
        <f>SUM(F3:J3)</f>
        <v>9</v>
      </c>
      <c r="S3" s="34">
        <f>SUM(K3:P3)</f>
        <v>18</v>
      </c>
      <c r="T3" s="34">
        <f>SUM(Q3:S3)</f>
        <v>33</v>
      </c>
    </row>
    <row r="4" spans="1:20">
      <c r="A4" s="251"/>
      <c r="B4" s="23" t="s">
        <v>24</v>
      </c>
      <c r="C4" s="34">
        <f>Preescolar!Q4</f>
        <v>9</v>
      </c>
      <c r="D4" s="34">
        <f>Preescolar!R4</f>
        <v>1</v>
      </c>
      <c r="E4" s="34">
        <f>Preescolar!S4</f>
        <v>3</v>
      </c>
      <c r="F4" s="34">
        <f>Primaria!U4</f>
        <v>3</v>
      </c>
      <c r="G4" s="34">
        <f>Primaria!V4</f>
        <v>1</v>
      </c>
      <c r="H4" s="34">
        <f>Primaria!W4</f>
        <v>4</v>
      </c>
      <c r="I4" s="34">
        <f>Primaria!X4</f>
        <v>2</v>
      </c>
      <c r="J4" s="34">
        <f>Primaria!Y4</f>
        <v>4</v>
      </c>
      <c r="K4" s="34">
        <f>Bachillerato!W4</f>
        <v>8</v>
      </c>
      <c r="L4" s="34">
        <f>Bachillerato!X4</f>
        <v>5</v>
      </c>
      <c r="M4" s="34">
        <f>Bachillerato!Y4</f>
        <v>8</v>
      </c>
      <c r="N4" s="34">
        <f>Bachillerato!Z4</f>
        <v>3</v>
      </c>
      <c r="O4" s="34">
        <f>Bachillerato!AA4</f>
        <v>7</v>
      </c>
      <c r="P4" s="34">
        <f>Bachillerato!AB4</f>
        <v>3</v>
      </c>
      <c r="Q4" s="34">
        <f t="shared" ref="Q4:Q26" si="0">SUM(C4:E4)</f>
        <v>13</v>
      </c>
      <c r="R4" s="34">
        <f t="shared" ref="R4:R26" si="1">SUM(F4:J4)</f>
        <v>14</v>
      </c>
      <c r="S4" s="34">
        <f t="shared" ref="S4:S26" si="2">SUM(K4:P4)</f>
        <v>34</v>
      </c>
      <c r="T4" s="34">
        <f t="shared" ref="T4:T26" si="3">SUM(Q4:S4)</f>
        <v>61</v>
      </c>
    </row>
    <row r="5" spans="1:20">
      <c r="A5" s="251"/>
      <c r="B5" s="23" t="s">
        <v>34</v>
      </c>
      <c r="C5" s="34">
        <f>Preescolar!Q5</f>
        <v>9</v>
      </c>
      <c r="D5" s="34">
        <f>Preescolar!R5</f>
        <v>1</v>
      </c>
      <c r="E5" s="34">
        <f>Preescolar!S5</f>
        <v>6</v>
      </c>
      <c r="F5" s="34">
        <f>Primaria!U5</f>
        <v>4</v>
      </c>
      <c r="G5" s="34">
        <f>Primaria!V5</f>
        <v>2</v>
      </c>
      <c r="H5" s="34">
        <f>Primaria!W5</f>
        <v>4</v>
      </c>
      <c r="I5" s="34">
        <f>Primaria!X5</f>
        <v>2</v>
      </c>
      <c r="J5" s="34">
        <f>Primaria!Y5</f>
        <v>4</v>
      </c>
      <c r="K5" s="34">
        <f>Bachillerato!W5</f>
        <v>10</v>
      </c>
      <c r="L5" s="34">
        <f>Bachillerato!X5</f>
        <v>7</v>
      </c>
      <c r="M5" s="34">
        <f>Bachillerato!Y5</f>
        <v>11</v>
      </c>
      <c r="N5" s="34">
        <f>Bachillerato!Z5</f>
        <v>5</v>
      </c>
      <c r="O5" s="34">
        <f>Bachillerato!AA5</f>
        <v>9</v>
      </c>
      <c r="P5" s="34">
        <f>Bachillerato!AB5</f>
        <v>6</v>
      </c>
      <c r="Q5" s="34">
        <f t="shared" si="0"/>
        <v>16</v>
      </c>
      <c r="R5" s="34">
        <f t="shared" si="1"/>
        <v>16</v>
      </c>
      <c r="S5" s="34">
        <f t="shared" si="2"/>
        <v>48</v>
      </c>
      <c r="T5" s="34">
        <f t="shared" si="3"/>
        <v>80</v>
      </c>
    </row>
    <row r="6" spans="1:20">
      <c r="A6" s="251"/>
      <c r="B6" s="23" t="s">
        <v>38</v>
      </c>
      <c r="C6" s="34">
        <f>Preescolar!Q6</f>
        <v>15</v>
      </c>
      <c r="D6" s="34">
        <f>Preescolar!R6</f>
        <v>3</v>
      </c>
      <c r="E6" s="34">
        <f>Preescolar!S6</f>
        <v>6</v>
      </c>
      <c r="F6" s="34">
        <f>Primaria!U6</f>
        <v>5</v>
      </c>
      <c r="G6" s="34">
        <f>Primaria!V6</f>
        <v>3</v>
      </c>
      <c r="H6" s="34">
        <f>Primaria!W6</f>
        <v>6</v>
      </c>
      <c r="I6" s="34">
        <f>Primaria!X6</f>
        <v>3</v>
      </c>
      <c r="J6" s="34">
        <f>Primaria!Y6</f>
        <v>5</v>
      </c>
      <c r="K6" s="34">
        <f>Bachillerato!W6</f>
        <v>12</v>
      </c>
      <c r="L6" s="34">
        <f>Bachillerato!X6</f>
        <v>10</v>
      </c>
      <c r="M6" s="34">
        <f>Bachillerato!Y6</f>
        <v>13</v>
      </c>
      <c r="N6" s="34">
        <f>Bachillerato!Z6</f>
        <v>5</v>
      </c>
      <c r="O6" s="34">
        <f>Bachillerato!AA6</f>
        <v>10</v>
      </c>
      <c r="P6" s="34">
        <f>Bachillerato!AB6</f>
        <v>6</v>
      </c>
      <c r="Q6" s="34">
        <f t="shared" si="0"/>
        <v>24</v>
      </c>
      <c r="R6" s="34">
        <f t="shared" si="1"/>
        <v>22</v>
      </c>
      <c r="S6" s="34">
        <f t="shared" si="2"/>
        <v>56</v>
      </c>
      <c r="T6" s="34">
        <f t="shared" si="3"/>
        <v>102</v>
      </c>
    </row>
    <row r="7" spans="1:20">
      <c r="A7" s="251"/>
      <c r="B7" s="23" t="s">
        <v>47</v>
      </c>
      <c r="C7" s="34">
        <f>Preescolar!Q7</f>
        <v>18</v>
      </c>
      <c r="D7" s="34">
        <f>Preescolar!R7</f>
        <v>5</v>
      </c>
      <c r="E7" s="34">
        <f>Preescolar!S7</f>
        <v>9</v>
      </c>
      <c r="F7" s="34">
        <f>Primaria!U7</f>
        <v>5</v>
      </c>
      <c r="G7" s="34">
        <f>Primaria!V7</f>
        <v>5</v>
      </c>
      <c r="H7" s="34">
        <f>Primaria!W7</f>
        <v>7</v>
      </c>
      <c r="I7" s="34">
        <f>Primaria!X7</f>
        <v>3</v>
      </c>
      <c r="J7" s="34">
        <f>Primaria!Y7</f>
        <v>6</v>
      </c>
      <c r="K7" s="34">
        <f>Bachillerato!W7</f>
        <v>14</v>
      </c>
      <c r="L7" s="34">
        <f>Bachillerato!X7</f>
        <v>15</v>
      </c>
      <c r="M7" s="34">
        <f>Bachillerato!Y7</f>
        <v>17</v>
      </c>
      <c r="N7" s="34">
        <f>Bachillerato!Z7</f>
        <v>6</v>
      </c>
      <c r="O7" s="34">
        <f>Bachillerato!AA7</f>
        <v>10</v>
      </c>
      <c r="P7" s="34">
        <f>Bachillerato!AB7</f>
        <v>8</v>
      </c>
      <c r="Q7" s="34">
        <f t="shared" si="0"/>
        <v>32</v>
      </c>
      <c r="R7" s="34">
        <f t="shared" si="1"/>
        <v>26</v>
      </c>
      <c r="S7" s="34">
        <f t="shared" si="2"/>
        <v>70</v>
      </c>
      <c r="T7" s="34">
        <f t="shared" si="3"/>
        <v>128</v>
      </c>
    </row>
    <row r="8" spans="1:20">
      <c r="A8" s="251"/>
      <c r="B8" s="23" t="s">
        <v>57</v>
      </c>
      <c r="C8" s="34">
        <f>Preescolar!Q8</f>
        <v>21</v>
      </c>
      <c r="D8" s="34">
        <f>Preescolar!R8</f>
        <v>6</v>
      </c>
      <c r="E8" s="34">
        <f>Preescolar!S8</f>
        <v>9</v>
      </c>
      <c r="F8" s="34">
        <f>Primaria!U8</f>
        <v>8</v>
      </c>
      <c r="G8" s="34">
        <f>Primaria!V8</f>
        <v>7</v>
      </c>
      <c r="H8" s="34">
        <f>Primaria!W8</f>
        <v>9</v>
      </c>
      <c r="I8" s="34">
        <f>Primaria!X8</f>
        <v>4</v>
      </c>
      <c r="J8" s="34">
        <f>Primaria!Y8</f>
        <v>9</v>
      </c>
      <c r="K8" s="34">
        <f>Bachillerato!W8</f>
        <v>18</v>
      </c>
      <c r="L8" s="34">
        <f>Bachillerato!X8</f>
        <v>17</v>
      </c>
      <c r="M8" s="34">
        <f>Bachillerato!Y8</f>
        <v>21</v>
      </c>
      <c r="N8" s="34">
        <f>Bachillerato!Z8</f>
        <v>7</v>
      </c>
      <c r="O8" s="34">
        <f>Bachillerato!AA8</f>
        <v>10</v>
      </c>
      <c r="P8" s="34">
        <f>Bachillerato!AB8</f>
        <v>9</v>
      </c>
      <c r="Q8" s="34">
        <f t="shared" si="0"/>
        <v>36</v>
      </c>
      <c r="R8" s="34">
        <f t="shared" si="1"/>
        <v>37</v>
      </c>
      <c r="S8" s="34">
        <f t="shared" si="2"/>
        <v>82</v>
      </c>
      <c r="T8" s="34">
        <f t="shared" si="3"/>
        <v>155</v>
      </c>
    </row>
    <row r="9" spans="1:20">
      <c r="A9" s="251"/>
      <c r="B9" s="23" t="s">
        <v>62</v>
      </c>
      <c r="C9" s="34">
        <f>Preescolar!Q9</f>
        <v>22</v>
      </c>
      <c r="D9" s="34">
        <f>Preescolar!R9</f>
        <v>7</v>
      </c>
      <c r="E9" s="34">
        <f>Preescolar!S9</f>
        <v>12</v>
      </c>
      <c r="F9" s="34">
        <f>Primaria!U9</f>
        <v>11</v>
      </c>
      <c r="G9" s="34">
        <f>Primaria!V9</f>
        <v>7</v>
      </c>
      <c r="H9" s="34">
        <f>Primaria!W9</f>
        <v>13</v>
      </c>
      <c r="I9" s="34">
        <f>Primaria!X9</f>
        <v>6</v>
      </c>
      <c r="J9" s="34">
        <f>Primaria!Y9</f>
        <v>11</v>
      </c>
      <c r="K9" s="34">
        <f>Bachillerato!W9</f>
        <v>20</v>
      </c>
      <c r="L9" s="34">
        <f>Bachillerato!X9</f>
        <v>19</v>
      </c>
      <c r="M9" s="34">
        <f>Bachillerato!Y9</f>
        <v>21</v>
      </c>
      <c r="N9" s="34">
        <f>Bachillerato!Z9</f>
        <v>11</v>
      </c>
      <c r="O9" s="34">
        <f>Bachillerato!AA9</f>
        <v>11</v>
      </c>
      <c r="P9" s="34">
        <f>Bachillerato!AB9</f>
        <v>9</v>
      </c>
      <c r="Q9" s="34">
        <f t="shared" si="0"/>
        <v>41</v>
      </c>
      <c r="R9" s="34">
        <f t="shared" si="1"/>
        <v>48</v>
      </c>
      <c r="S9" s="34">
        <f t="shared" si="2"/>
        <v>91</v>
      </c>
      <c r="T9" s="34">
        <f t="shared" si="3"/>
        <v>180</v>
      </c>
    </row>
    <row r="10" spans="1:20">
      <c r="A10" s="251"/>
      <c r="B10" s="23" t="s">
        <v>68</v>
      </c>
      <c r="C10" s="34">
        <f>Preescolar!Q10</f>
        <v>24</v>
      </c>
      <c r="D10" s="34">
        <f>Preescolar!R10</f>
        <v>8</v>
      </c>
      <c r="E10" s="34">
        <f>Preescolar!S10</f>
        <v>16</v>
      </c>
      <c r="F10" s="34">
        <f>Primaria!U10</f>
        <v>17</v>
      </c>
      <c r="G10" s="34">
        <f>Primaria!V10</f>
        <v>8</v>
      </c>
      <c r="H10" s="34">
        <f>Primaria!W10</f>
        <v>15</v>
      </c>
      <c r="I10" s="34">
        <f>Primaria!X10</f>
        <v>10</v>
      </c>
      <c r="J10" s="34">
        <f>Primaria!Y10</f>
        <v>15</v>
      </c>
      <c r="K10" s="34">
        <f>Bachillerato!W10</f>
        <v>23</v>
      </c>
      <c r="L10" s="34">
        <f>Bachillerato!X10</f>
        <v>21</v>
      </c>
      <c r="M10" s="34">
        <f>Bachillerato!Y10</f>
        <v>28</v>
      </c>
      <c r="N10" s="34">
        <f>Bachillerato!Z10</f>
        <v>13</v>
      </c>
      <c r="O10" s="34">
        <f>Bachillerato!AA10</f>
        <v>16</v>
      </c>
      <c r="P10" s="34">
        <f>Bachillerato!AB10</f>
        <v>10</v>
      </c>
      <c r="Q10" s="34">
        <f t="shared" si="0"/>
        <v>48</v>
      </c>
      <c r="R10" s="34">
        <f t="shared" si="1"/>
        <v>65</v>
      </c>
      <c r="S10" s="34">
        <f t="shared" si="2"/>
        <v>111</v>
      </c>
      <c r="T10" s="34">
        <f t="shared" si="3"/>
        <v>224</v>
      </c>
    </row>
    <row r="11" spans="1:20">
      <c r="A11" s="251"/>
      <c r="B11" s="23" t="s">
        <v>77</v>
      </c>
      <c r="C11" s="34">
        <f>Preescolar!Q11</f>
        <v>29</v>
      </c>
      <c r="D11" s="34">
        <f>Preescolar!R11</f>
        <v>8</v>
      </c>
      <c r="E11" s="34">
        <f>Preescolar!S11</f>
        <v>17</v>
      </c>
      <c r="F11" s="34">
        <f>Primaria!U11</f>
        <v>20</v>
      </c>
      <c r="G11" s="34">
        <f>Primaria!V11</f>
        <v>9</v>
      </c>
      <c r="H11" s="34">
        <f>Primaria!W11</f>
        <v>17</v>
      </c>
      <c r="I11" s="34">
        <f>Primaria!X11</f>
        <v>14</v>
      </c>
      <c r="J11" s="34">
        <f>Primaria!Y11</f>
        <v>16</v>
      </c>
      <c r="K11" s="34">
        <f>Bachillerato!W11</f>
        <v>27</v>
      </c>
      <c r="L11" s="34">
        <f>Bachillerato!X11</f>
        <v>24</v>
      </c>
      <c r="M11" s="34">
        <f>Bachillerato!Y11</f>
        <v>30</v>
      </c>
      <c r="N11" s="34">
        <f>Bachillerato!Z11</f>
        <v>15</v>
      </c>
      <c r="O11" s="34">
        <f>Bachillerato!AA11</f>
        <v>19</v>
      </c>
      <c r="P11" s="34">
        <f>Bachillerato!AB11</f>
        <v>12</v>
      </c>
      <c r="Q11" s="34">
        <f t="shared" si="0"/>
        <v>54</v>
      </c>
      <c r="R11" s="34">
        <f t="shared" si="1"/>
        <v>76</v>
      </c>
      <c r="S11" s="34">
        <f t="shared" si="2"/>
        <v>127</v>
      </c>
      <c r="T11" s="34">
        <f t="shared" si="3"/>
        <v>257</v>
      </c>
    </row>
    <row r="12" spans="1:20">
      <c r="A12" s="251"/>
      <c r="B12" s="23" t="s">
        <v>84</v>
      </c>
      <c r="C12" s="34">
        <f>Preescolar!Q12</f>
        <v>30</v>
      </c>
      <c r="D12" s="34">
        <f>Preescolar!R12</f>
        <v>9</v>
      </c>
      <c r="E12" s="34">
        <f>Preescolar!S12</f>
        <v>17</v>
      </c>
      <c r="F12" s="34">
        <f>Primaria!U12</f>
        <v>23</v>
      </c>
      <c r="G12" s="34">
        <f>Primaria!V12</f>
        <v>10</v>
      </c>
      <c r="H12" s="34">
        <f>Primaria!W12</f>
        <v>17</v>
      </c>
      <c r="I12" s="34">
        <f>Primaria!X12</f>
        <v>16</v>
      </c>
      <c r="J12" s="34">
        <f>Primaria!Y12</f>
        <v>18</v>
      </c>
      <c r="K12" s="34">
        <f>Bachillerato!W12</f>
        <v>30</v>
      </c>
      <c r="L12" s="34">
        <f>Bachillerato!X12</f>
        <v>25</v>
      </c>
      <c r="M12" s="34">
        <f>Bachillerato!Y12</f>
        <v>34</v>
      </c>
      <c r="N12" s="34">
        <f>Bachillerato!Z12</f>
        <v>20</v>
      </c>
      <c r="O12" s="34">
        <f>Bachillerato!AA12</f>
        <v>23</v>
      </c>
      <c r="P12" s="34">
        <f>Bachillerato!AB12</f>
        <v>15</v>
      </c>
      <c r="Q12" s="34">
        <f t="shared" si="0"/>
        <v>56</v>
      </c>
      <c r="R12" s="34">
        <f t="shared" si="1"/>
        <v>84</v>
      </c>
      <c r="S12" s="34">
        <f t="shared" si="2"/>
        <v>147</v>
      </c>
      <c r="T12" s="34">
        <f t="shared" si="3"/>
        <v>287</v>
      </c>
    </row>
    <row r="13" spans="1:20">
      <c r="A13" s="251"/>
      <c r="B13" s="23" t="s">
        <v>87</v>
      </c>
      <c r="C13" s="34">
        <f>Preescolar!Q13</f>
        <v>30</v>
      </c>
      <c r="D13" s="34">
        <f>Preescolar!R13</f>
        <v>11</v>
      </c>
      <c r="E13" s="34">
        <f>Preescolar!S13</f>
        <v>18</v>
      </c>
      <c r="F13" s="34">
        <f>Primaria!U13</f>
        <v>27</v>
      </c>
      <c r="G13" s="34">
        <f>Primaria!V13</f>
        <v>13</v>
      </c>
      <c r="H13" s="34">
        <f>Primaria!W13</f>
        <v>21</v>
      </c>
      <c r="I13" s="34">
        <f>Primaria!X13</f>
        <v>16</v>
      </c>
      <c r="J13" s="34">
        <f>Primaria!Y13</f>
        <v>20</v>
      </c>
      <c r="K13" s="34">
        <f>Bachillerato!W13</f>
        <v>36</v>
      </c>
      <c r="L13" s="34">
        <f>Bachillerato!X13</f>
        <v>29</v>
      </c>
      <c r="M13" s="34">
        <f>Bachillerato!Y13</f>
        <v>37</v>
      </c>
      <c r="N13" s="34">
        <f>Bachillerato!Z13</f>
        <v>24</v>
      </c>
      <c r="O13" s="34">
        <f>Bachillerato!AA13</f>
        <v>28</v>
      </c>
      <c r="P13" s="34">
        <f>Bachillerato!AB13</f>
        <v>15</v>
      </c>
      <c r="Q13" s="34">
        <f t="shared" si="0"/>
        <v>59</v>
      </c>
      <c r="R13" s="34">
        <f t="shared" si="1"/>
        <v>97</v>
      </c>
      <c r="S13" s="34">
        <f t="shared" si="2"/>
        <v>169</v>
      </c>
      <c r="T13" s="34">
        <f t="shared" si="3"/>
        <v>325</v>
      </c>
    </row>
    <row r="14" spans="1:20">
      <c r="A14" s="251"/>
      <c r="B14" s="23" t="s">
        <v>173</v>
      </c>
      <c r="C14" s="34">
        <f>Preescolar!Q14</f>
        <v>30</v>
      </c>
      <c r="D14" s="34">
        <f>Preescolar!R14</f>
        <v>11</v>
      </c>
      <c r="E14" s="34">
        <f>Preescolar!S14</f>
        <v>18</v>
      </c>
      <c r="F14" s="34">
        <f>Primaria!U14</f>
        <v>27</v>
      </c>
      <c r="G14" s="34">
        <f>Primaria!V14</f>
        <v>14</v>
      </c>
      <c r="H14" s="34">
        <f>Primaria!W14</f>
        <v>21</v>
      </c>
      <c r="I14" s="34">
        <f>Primaria!X14</f>
        <v>16</v>
      </c>
      <c r="J14" s="34">
        <f>Primaria!Y14</f>
        <v>21</v>
      </c>
      <c r="K14" s="34">
        <f>Bachillerato!W14</f>
        <v>36</v>
      </c>
      <c r="L14" s="34">
        <f>Bachillerato!X14</f>
        <v>29</v>
      </c>
      <c r="M14" s="34">
        <f>Bachillerato!Y14</f>
        <v>37</v>
      </c>
      <c r="N14" s="34">
        <f>Bachillerato!Z14</f>
        <v>24</v>
      </c>
      <c r="O14" s="34">
        <f>Bachillerato!AA14</f>
        <v>28</v>
      </c>
      <c r="P14" s="34">
        <f>Bachillerato!AB14</f>
        <v>15</v>
      </c>
      <c r="Q14" s="34">
        <f t="shared" si="0"/>
        <v>59</v>
      </c>
      <c r="R14" s="34">
        <f t="shared" si="1"/>
        <v>99</v>
      </c>
      <c r="S14" s="34">
        <f t="shared" si="2"/>
        <v>169</v>
      </c>
      <c r="T14" s="34">
        <f t="shared" si="3"/>
        <v>327</v>
      </c>
    </row>
    <row r="15" spans="1:20">
      <c r="A15" s="251">
        <v>2024</v>
      </c>
      <c r="B15" s="23" t="s">
        <v>13</v>
      </c>
      <c r="C15" s="34">
        <f>Preescolar!Q15</f>
        <v>32</v>
      </c>
      <c r="D15" s="34">
        <f>Preescolar!R15</f>
        <v>12</v>
      </c>
      <c r="E15" s="34">
        <f>Preescolar!S15</f>
        <v>20</v>
      </c>
      <c r="F15" s="34">
        <f>Primaria!U15</f>
        <v>29</v>
      </c>
      <c r="G15" s="34">
        <f>Primaria!V15</f>
        <v>16</v>
      </c>
      <c r="H15" s="34">
        <f>Primaria!W15</f>
        <v>22</v>
      </c>
      <c r="I15" s="34">
        <f>Primaria!X15</f>
        <v>19</v>
      </c>
      <c r="J15" s="34">
        <f>Primaria!Y15</f>
        <v>21</v>
      </c>
      <c r="K15" s="34">
        <f>Bachillerato!W15</f>
        <v>36</v>
      </c>
      <c r="L15" s="34">
        <f>Bachillerato!X15</f>
        <v>29</v>
      </c>
      <c r="M15" s="34">
        <f>Bachillerato!Y15</f>
        <v>40</v>
      </c>
      <c r="N15" s="34">
        <f>Bachillerato!Z15</f>
        <v>24</v>
      </c>
      <c r="O15" s="34">
        <f>Bachillerato!AA15</f>
        <v>30</v>
      </c>
      <c r="P15" s="34">
        <f>Bachillerato!AB15</f>
        <v>15</v>
      </c>
      <c r="Q15" s="34">
        <f t="shared" si="0"/>
        <v>64</v>
      </c>
      <c r="R15" s="34">
        <f t="shared" si="1"/>
        <v>107</v>
      </c>
      <c r="S15" s="34">
        <f t="shared" si="2"/>
        <v>174</v>
      </c>
      <c r="T15" s="34">
        <f t="shared" si="3"/>
        <v>345</v>
      </c>
    </row>
    <row r="16" spans="1:20">
      <c r="A16" s="251"/>
      <c r="B16" s="23" t="s">
        <v>24</v>
      </c>
      <c r="C16" s="34">
        <f>Preescolar!Q16</f>
        <v>35</v>
      </c>
      <c r="D16" s="34">
        <f>Preescolar!R16</f>
        <v>13</v>
      </c>
      <c r="E16" s="34">
        <f>Preescolar!S16</f>
        <v>20</v>
      </c>
      <c r="F16" s="34">
        <f>Primaria!U16</f>
        <v>30</v>
      </c>
      <c r="G16" s="34">
        <f>Primaria!V16</f>
        <v>16</v>
      </c>
      <c r="H16" s="34">
        <f>Primaria!W16</f>
        <v>22</v>
      </c>
      <c r="I16" s="34">
        <f>Primaria!X16</f>
        <v>20</v>
      </c>
      <c r="J16" s="34">
        <f>Primaria!Y16</f>
        <v>21</v>
      </c>
      <c r="K16" s="34">
        <f>Bachillerato!W16</f>
        <v>38</v>
      </c>
      <c r="L16" s="34">
        <f>Bachillerato!X16</f>
        <v>33</v>
      </c>
      <c r="M16" s="34">
        <f>Bachillerato!Y16</f>
        <v>43</v>
      </c>
      <c r="N16" s="34">
        <f>Bachillerato!Z16</f>
        <v>27</v>
      </c>
      <c r="O16" s="34">
        <f>Bachillerato!AA16</f>
        <v>35</v>
      </c>
      <c r="P16" s="34">
        <f>Bachillerato!AB16</f>
        <v>17</v>
      </c>
      <c r="Q16" s="34">
        <f t="shared" si="0"/>
        <v>68</v>
      </c>
      <c r="R16" s="34">
        <f t="shared" si="1"/>
        <v>109</v>
      </c>
      <c r="S16" s="34">
        <f t="shared" si="2"/>
        <v>193</v>
      </c>
      <c r="T16" s="34">
        <f t="shared" si="3"/>
        <v>370</v>
      </c>
    </row>
    <row r="17" spans="1:20">
      <c r="A17" s="251"/>
      <c r="B17" s="23" t="s">
        <v>34</v>
      </c>
      <c r="C17" s="34">
        <f>Preescolar!Q17</f>
        <v>35</v>
      </c>
      <c r="D17" s="34">
        <f>Preescolar!R17</f>
        <v>14</v>
      </c>
      <c r="E17" s="34">
        <f>Preescolar!S17</f>
        <v>20</v>
      </c>
      <c r="F17" s="34">
        <f>Primaria!U17</f>
        <v>30</v>
      </c>
      <c r="G17" s="34">
        <f>Primaria!V17</f>
        <v>17</v>
      </c>
      <c r="H17" s="34">
        <f>Primaria!W17</f>
        <v>22</v>
      </c>
      <c r="I17" s="34">
        <f>Primaria!X17</f>
        <v>22</v>
      </c>
      <c r="J17" s="34">
        <f>Primaria!Y17</f>
        <v>21</v>
      </c>
      <c r="K17" s="34">
        <f>Bachillerato!W17</f>
        <v>40</v>
      </c>
      <c r="L17" s="34">
        <f>Bachillerato!X17</f>
        <v>33</v>
      </c>
      <c r="M17" s="34">
        <f>Bachillerato!Y17</f>
        <v>45</v>
      </c>
      <c r="N17" s="34">
        <f>Bachillerato!Z17</f>
        <v>28</v>
      </c>
      <c r="O17" s="34">
        <f>Bachillerato!AA17</f>
        <v>38</v>
      </c>
      <c r="P17" s="34">
        <f>Bachillerato!AB17</f>
        <v>19</v>
      </c>
      <c r="Q17" s="34">
        <f t="shared" si="0"/>
        <v>69</v>
      </c>
      <c r="R17" s="34">
        <f t="shared" si="1"/>
        <v>112</v>
      </c>
      <c r="S17" s="34">
        <f t="shared" si="2"/>
        <v>203</v>
      </c>
      <c r="T17" s="34">
        <f t="shared" si="3"/>
        <v>384</v>
      </c>
    </row>
    <row r="18" spans="1:20">
      <c r="A18" s="251"/>
      <c r="B18" s="23" t="s">
        <v>38</v>
      </c>
      <c r="C18" s="34">
        <f>Preescolar!Q18</f>
        <v>38</v>
      </c>
      <c r="D18" s="34">
        <f>Preescolar!R18</f>
        <v>16</v>
      </c>
      <c r="E18" s="34">
        <f>Preescolar!S18</f>
        <v>20</v>
      </c>
      <c r="F18" s="34">
        <f>Primaria!U18</f>
        <v>30</v>
      </c>
      <c r="G18" s="34">
        <f>Primaria!V18</f>
        <v>20</v>
      </c>
      <c r="H18" s="34">
        <f>Primaria!W18</f>
        <v>24</v>
      </c>
      <c r="I18" s="34">
        <f>Primaria!X18</f>
        <v>22</v>
      </c>
      <c r="J18" s="34">
        <f>Primaria!Y18</f>
        <v>22</v>
      </c>
      <c r="K18" s="34">
        <f>Bachillerato!W18</f>
        <v>40</v>
      </c>
      <c r="L18" s="34">
        <f>Bachillerato!X18</f>
        <v>33</v>
      </c>
      <c r="M18" s="34">
        <f>Bachillerato!Y18</f>
        <v>47</v>
      </c>
      <c r="N18" s="34">
        <f>Bachillerato!Z18</f>
        <v>31</v>
      </c>
      <c r="O18" s="34">
        <f>Bachillerato!AA18</f>
        <v>42</v>
      </c>
      <c r="P18" s="34">
        <f>Bachillerato!AB18</f>
        <v>20</v>
      </c>
      <c r="Q18" s="34">
        <f t="shared" si="0"/>
        <v>74</v>
      </c>
      <c r="R18" s="34">
        <f t="shared" si="1"/>
        <v>118</v>
      </c>
      <c r="S18" s="34">
        <f t="shared" si="2"/>
        <v>213</v>
      </c>
      <c r="T18" s="34">
        <f t="shared" si="3"/>
        <v>405</v>
      </c>
    </row>
    <row r="19" spans="1:20">
      <c r="A19" s="251"/>
      <c r="B19" s="23" t="s">
        <v>47</v>
      </c>
      <c r="C19" s="34">
        <f>Preescolar!Q19</f>
        <v>40</v>
      </c>
      <c r="D19" s="34">
        <f>Preescolar!R19</f>
        <v>18</v>
      </c>
      <c r="E19" s="34">
        <f>Preescolar!S19</f>
        <v>20</v>
      </c>
      <c r="F19" s="34">
        <f>Primaria!U19</f>
        <v>30</v>
      </c>
      <c r="G19" s="34">
        <f>Primaria!V19</f>
        <v>23</v>
      </c>
      <c r="H19" s="34">
        <f>Primaria!W19</f>
        <v>26</v>
      </c>
      <c r="I19" s="34">
        <f>Primaria!X19</f>
        <v>23</v>
      </c>
      <c r="J19" s="34">
        <f>Primaria!Y19</f>
        <v>23</v>
      </c>
      <c r="K19" s="34">
        <f>Bachillerato!W19</f>
        <v>42</v>
      </c>
      <c r="L19" s="34">
        <f>Bachillerato!X19</f>
        <v>35</v>
      </c>
      <c r="M19" s="34">
        <f>Bachillerato!Y19</f>
        <v>50</v>
      </c>
      <c r="N19" s="34">
        <f>Bachillerato!Z19</f>
        <v>32</v>
      </c>
      <c r="O19" s="34">
        <f>Bachillerato!AA19</f>
        <v>43</v>
      </c>
      <c r="P19" s="34">
        <f>Bachillerato!AB19</f>
        <v>20</v>
      </c>
      <c r="Q19" s="34">
        <f t="shared" si="0"/>
        <v>78</v>
      </c>
      <c r="R19" s="34">
        <f t="shared" si="1"/>
        <v>125</v>
      </c>
      <c r="S19" s="34">
        <f t="shared" si="2"/>
        <v>222</v>
      </c>
      <c r="T19" s="34">
        <f t="shared" si="3"/>
        <v>425</v>
      </c>
    </row>
    <row r="20" spans="1:20">
      <c r="A20" s="251"/>
      <c r="B20" s="23" t="s">
        <v>57</v>
      </c>
      <c r="C20" s="34">
        <f>Preescolar!Q20</f>
        <v>43</v>
      </c>
      <c r="D20" s="34">
        <f>Preescolar!R20</f>
        <v>19</v>
      </c>
      <c r="E20" s="34">
        <f>Preescolar!S20</f>
        <v>21</v>
      </c>
      <c r="F20" s="34">
        <f>Primaria!U20</f>
        <v>31</v>
      </c>
      <c r="G20" s="34">
        <f>Primaria!V20</f>
        <v>23</v>
      </c>
      <c r="H20" s="34">
        <f>Primaria!W20</f>
        <v>28</v>
      </c>
      <c r="I20" s="34">
        <f>Primaria!X20</f>
        <v>25</v>
      </c>
      <c r="J20" s="34">
        <f>Primaria!Y20</f>
        <v>23</v>
      </c>
      <c r="K20" s="34">
        <f>Bachillerato!W20</f>
        <v>43</v>
      </c>
      <c r="L20" s="34">
        <f>Bachillerato!X20</f>
        <v>38</v>
      </c>
      <c r="M20" s="34">
        <f>Bachillerato!Y20</f>
        <v>53</v>
      </c>
      <c r="N20" s="34">
        <f>Bachillerato!Z20</f>
        <v>33</v>
      </c>
      <c r="O20" s="34">
        <f>Bachillerato!AA20</f>
        <v>43</v>
      </c>
      <c r="P20" s="34">
        <f>Bachillerato!AB20</f>
        <v>20</v>
      </c>
      <c r="Q20" s="34">
        <f t="shared" si="0"/>
        <v>83</v>
      </c>
      <c r="R20" s="34">
        <f t="shared" si="1"/>
        <v>130</v>
      </c>
      <c r="S20" s="34">
        <f t="shared" si="2"/>
        <v>230</v>
      </c>
      <c r="T20" s="34">
        <f t="shared" si="3"/>
        <v>443</v>
      </c>
    </row>
    <row r="21" spans="1:20">
      <c r="A21" s="251"/>
      <c r="B21" s="23" t="s">
        <v>62</v>
      </c>
      <c r="C21" s="34">
        <f>Preescolar!Q21</f>
        <v>46</v>
      </c>
      <c r="D21" s="34">
        <f>Preescolar!R21</f>
        <v>21</v>
      </c>
      <c r="E21" s="34">
        <f>Preescolar!S21</f>
        <v>21</v>
      </c>
      <c r="F21" s="34">
        <f>Primaria!U21</f>
        <v>33</v>
      </c>
      <c r="G21" s="34">
        <f>Primaria!V21</f>
        <v>24</v>
      </c>
      <c r="H21" s="34">
        <f>Primaria!W21</f>
        <v>29</v>
      </c>
      <c r="I21" s="34">
        <f>Primaria!X21</f>
        <v>27</v>
      </c>
      <c r="J21" s="34">
        <f>Primaria!Y21</f>
        <v>25</v>
      </c>
      <c r="K21" s="34">
        <f>Bachillerato!W21</f>
        <v>45</v>
      </c>
      <c r="L21" s="34">
        <f>Bachillerato!X21</f>
        <v>39</v>
      </c>
      <c r="M21" s="34">
        <f>Bachillerato!Y21</f>
        <v>56</v>
      </c>
      <c r="N21" s="34">
        <f>Bachillerato!Z21</f>
        <v>35</v>
      </c>
      <c r="O21" s="34">
        <f>Bachillerato!AA21</f>
        <v>45</v>
      </c>
      <c r="P21" s="34">
        <f>Bachillerato!AB21</f>
        <v>20</v>
      </c>
      <c r="Q21" s="34">
        <f t="shared" si="0"/>
        <v>88</v>
      </c>
      <c r="R21" s="34">
        <f t="shared" si="1"/>
        <v>138</v>
      </c>
      <c r="S21" s="34">
        <f t="shared" si="2"/>
        <v>240</v>
      </c>
      <c r="T21" s="34">
        <f t="shared" si="3"/>
        <v>466</v>
      </c>
    </row>
    <row r="22" spans="1:20">
      <c r="A22" s="251"/>
      <c r="B22" s="23" t="s">
        <v>68</v>
      </c>
      <c r="C22" s="34">
        <f>Preescolar!Q22</f>
        <v>47</v>
      </c>
      <c r="D22" s="34">
        <f>Preescolar!R22</f>
        <v>21</v>
      </c>
      <c r="E22" s="34">
        <f>Preescolar!S22</f>
        <v>22</v>
      </c>
      <c r="F22" s="34">
        <f>Primaria!U22</f>
        <v>36</v>
      </c>
      <c r="G22" s="34">
        <f>Primaria!V22</f>
        <v>24</v>
      </c>
      <c r="H22" s="34">
        <f>Primaria!W22</f>
        <v>30</v>
      </c>
      <c r="I22" s="34">
        <f>Primaria!X22</f>
        <v>28</v>
      </c>
      <c r="J22" s="34">
        <f>Primaria!Y22</f>
        <v>29</v>
      </c>
      <c r="K22" s="34">
        <f>Bachillerato!W22</f>
        <v>49</v>
      </c>
      <c r="L22" s="34">
        <f>Bachillerato!X22</f>
        <v>41</v>
      </c>
      <c r="M22" s="34">
        <f>Bachillerato!Y22</f>
        <v>59</v>
      </c>
      <c r="N22" s="34">
        <f>Bachillerato!Z22</f>
        <v>39</v>
      </c>
      <c r="O22" s="34">
        <f>Bachillerato!AA22</f>
        <v>48</v>
      </c>
      <c r="P22" s="34">
        <f>Bachillerato!AB22</f>
        <v>21</v>
      </c>
      <c r="Q22" s="34">
        <f t="shared" si="0"/>
        <v>90</v>
      </c>
      <c r="R22" s="34">
        <f t="shared" si="1"/>
        <v>147</v>
      </c>
      <c r="S22" s="34">
        <f t="shared" si="2"/>
        <v>257</v>
      </c>
      <c r="T22" s="34">
        <f t="shared" si="3"/>
        <v>494</v>
      </c>
    </row>
    <row r="23" spans="1:20">
      <c r="A23" s="251"/>
      <c r="B23" s="23" t="s">
        <v>77</v>
      </c>
      <c r="C23" s="34">
        <f>Preescolar!Q23</f>
        <v>50</v>
      </c>
      <c r="D23" s="34">
        <f>Preescolar!R23</f>
        <v>21</v>
      </c>
      <c r="E23" s="34">
        <f>Preescolar!S23</f>
        <v>22</v>
      </c>
      <c r="F23" s="34">
        <f>Primaria!U23</f>
        <v>36</v>
      </c>
      <c r="G23" s="34">
        <f>Primaria!V23</f>
        <v>24</v>
      </c>
      <c r="H23" s="34">
        <f>Primaria!W23</f>
        <v>31</v>
      </c>
      <c r="I23" s="34">
        <f>Primaria!X23</f>
        <v>29</v>
      </c>
      <c r="J23" s="34">
        <f>Primaria!Y23</f>
        <v>31</v>
      </c>
      <c r="K23" s="34">
        <f>Bachillerato!W23</f>
        <v>51</v>
      </c>
      <c r="L23" s="34">
        <f>Bachillerato!X23</f>
        <v>43</v>
      </c>
      <c r="M23" s="34">
        <f>Bachillerato!Y23</f>
        <v>61</v>
      </c>
      <c r="N23" s="34">
        <f>Bachillerato!Z23</f>
        <v>39</v>
      </c>
      <c r="O23" s="34">
        <f>Bachillerato!AA23</f>
        <v>49</v>
      </c>
      <c r="P23" s="34">
        <f>Bachillerato!AB23</f>
        <v>21</v>
      </c>
      <c r="Q23" s="34">
        <f t="shared" si="0"/>
        <v>93</v>
      </c>
      <c r="R23" s="34">
        <f t="shared" si="1"/>
        <v>151</v>
      </c>
      <c r="S23" s="34">
        <f t="shared" si="2"/>
        <v>264</v>
      </c>
      <c r="T23" s="34">
        <f t="shared" si="3"/>
        <v>508</v>
      </c>
    </row>
    <row r="24" spans="1:20">
      <c r="A24" s="251"/>
      <c r="B24" s="23" t="s">
        <v>84</v>
      </c>
      <c r="C24" s="34">
        <f>Preescolar!Q24</f>
        <v>51</v>
      </c>
      <c r="D24" s="34">
        <f>Preescolar!R24</f>
        <v>23</v>
      </c>
      <c r="E24" s="34">
        <f>Preescolar!S24</f>
        <v>22</v>
      </c>
      <c r="F24" s="34">
        <f>Primaria!U24</f>
        <v>37</v>
      </c>
      <c r="G24" s="34">
        <f>Primaria!V24</f>
        <v>25</v>
      </c>
      <c r="H24" s="34">
        <f>Primaria!W24</f>
        <v>33</v>
      </c>
      <c r="I24" s="34">
        <f>Primaria!X24</f>
        <v>31</v>
      </c>
      <c r="J24" s="34">
        <f>Primaria!Y24</f>
        <v>32</v>
      </c>
      <c r="K24" s="34">
        <f>Bachillerato!W24</f>
        <v>51</v>
      </c>
      <c r="L24" s="34">
        <f>Bachillerato!X24</f>
        <v>44</v>
      </c>
      <c r="M24" s="34">
        <f>Bachillerato!Y24</f>
        <v>64</v>
      </c>
      <c r="N24" s="34">
        <f>Bachillerato!Z24</f>
        <v>41</v>
      </c>
      <c r="O24" s="34">
        <f>Bachillerato!AA24</f>
        <v>51</v>
      </c>
      <c r="P24" s="34">
        <f>Bachillerato!AB24</f>
        <v>21</v>
      </c>
      <c r="Q24" s="34">
        <f t="shared" si="0"/>
        <v>96</v>
      </c>
      <c r="R24" s="34">
        <f t="shared" si="1"/>
        <v>158</v>
      </c>
      <c r="S24" s="34">
        <f t="shared" si="2"/>
        <v>272</v>
      </c>
      <c r="T24" s="34">
        <f t="shared" si="3"/>
        <v>526</v>
      </c>
    </row>
    <row r="25" spans="1:20">
      <c r="A25" s="251"/>
      <c r="B25" s="23" t="s">
        <v>87</v>
      </c>
      <c r="C25" s="34">
        <f>Preescolar!Q25</f>
        <v>54</v>
      </c>
      <c r="D25" s="34">
        <f>Preescolar!R25</f>
        <v>24</v>
      </c>
      <c r="E25" s="34">
        <f>Preescolar!S25</f>
        <v>23</v>
      </c>
      <c r="F25" s="34">
        <f>Primaria!U25</f>
        <v>38</v>
      </c>
      <c r="G25" s="34">
        <f>Primaria!V25</f>
        <v>27</v>
      </c>
      <c r="H25" s="34">
        <f>Primaria!W25</f>
        <v>35</v>
      </c>
      <c r="I25" s="34">
        <f>Primaria!X25</f>
        <v>34</v>
      </c>
      <c r="J25" s="34">
        <f>Primaria!Y25</f>
        <v>37</v>
      </c>
      <c r="K25" s="34">
        <f>Bachillerato!W25</f>
        <v>53</v>
      </c>
      <c r="L25" s="34">
        <f>Bachillerato!X25</f>
        <v>48</v>
      </c>
      <c r="M25" s="34">
        <f>Bachillerato!Y25</f>
        <v>70</v>
      </c>
      <c r="N25" s="34">
        <f>Bachillerato!Z25</f>
        <v>43</v>
      </c>
      <c r="O25" s="34">
        <f>Bachillerato!AA25</f>
        <v>53</v>
      </c>
      <c r="P25" s="34">
        <f>Bachillerato!AB25</f>
        <v>21</v>
      </c>
      <c r="Q25" s="34">
        <f t="shared" si="0"/>
        <v>101</v>
      </c>
      <c r="R25" s="34">
        <f t="shared" si="1"/>
        <v>171</v>
      </c>
      <c r="S25" s="34">
        <f t="shared" si="2"/>
        <v>288</v>
      </c>
      <c r="T25" s="34">
        <f t="shared" si="3"/>
        <v>560</v>
      </c>
    </row>
    <row r="26" spans="1:20">
      <c r="A26" s="251"/>
      <c r="B26" s="23" t="s">
        <v>173</v>
      </c>
      <c r="C26" s="34">
        <f>Preescolar!Q26</f>
        <v>56</v>
      </c>
      <c r="D26" s="34">
        <f>Preescolar!R26</f>
        <v>26</v>
      </c>
      <c r="E26" s="34">
        <f>Preescolar!S26</f>
        <v>23</v>
      </c>
      <c r="F26" s="34">
        <f>Primaria!U26</f>
        <v>38</v>
      </c>
      <c r="G26" s="34">
        <f>Primaria!V26</f>
        <v>27</v>
      </c>
      <c r="H26" s="34">
        <f>Primaria!W26</f>
        <v>36</v>
      </c>
      <c r="I26" s="34">
        <f>Primaria!X26</f>
        <v>34</v>
      </c>
      <c r="J26" s="34">
        <f>Primaria!Y26</f>
        <v>37</v>
      </c>
      <c r="K26" s="34">
        <f>Bachillerato!W26</f>
        <v>53</v>
      </c>
      <c r="L26" s="34">
        <f>Bachillerato!X26</f>
        <v>49</v>
      </c>
      <c r="M26" s="34">
        <f>Bachillerato!Y26</f>
        <v>72</v>
      </c>
      <c r="N26" s="34">
        <f>Bachillerato!Z26</f>
        <v>44</v>
      </c>
      <c r="O26" s="34">
        <f>Bachillerato!AA26</f>
        <v>54</v>
      </c>
      <c r="P26" s="34">
        <f>Bachillerato!AB26</f>
        <v>21</v>
      </c>
      <c r="Q26" s="34">
        <f t="shared" si="0"/>
        <v>105</v>
      </c>
      <c r="R26" s="34">
        <f t="shared" si="1"/>
        <v>172</v>
      </c>
      <c r="S26" s="34">
        <f t="shared" si="2"/>
        <v>293</v>
      </c>
      <c r="T26" s="34">
        <f t="shared" si="3"/>
        <v>570</v>
      </c>
    </row>
    <row r="27" spans="1:20">
      <c r="A27" s="251">
        <v>2025</v>
      </c>
      <c r="B27" s="23" t="s">
        <v>13</v>
      </c>
      <c r="C27" s="34">
        <f>Preescolar!Q27</f>
        <v>56</v>
      </c>
      <c r="D27" s="34">
        <f>Preescolar!R27</f>
        <v>27</v>
      </c>
      <c r="E27" s="34">
        <f>Preescolar!S27</f>
        <v>23</v>
      </c>
      <c r="F27" s="34">
        <f>Primaria!U27</f>
        <v>42</v>
      </c>
      <c r="G27" s="34">
        <f>Primaria!V27</f>
        <v>28</v>
      </c>
      <c r="H27" s="34">
        <f>Primaria!W27</f>
        <v>40</v>
      </c>
      <c r="I27" s="34">
        <f>Primaria!X27</f>
        <v>38</v>
      </c>
      <c r="J27" s="34">
        <f>Primaria!Y27</f>
        <v>38</v>
      </c>
      <c r="K27" s="34">
        <f>Bachillerato!W27</f>
        <v>57</v>
      </c>
      <c r="L27" s="34">
        <f>Bachillerato!X27</f>
        <v>50</v>
      </c>
      <c r="M27" s="34">
        <f>Bachillerato!Y27</f>
        <v>75</v>
      </c>
      <c r="N27" s="34">
        <f>Bachillerato!Z27</f>
        <v>48</v>
      </c>
      <c r="O27" s="34">
        <f>Bachillerato!AA27</f>
        <v>54</v>
      </c>
      <c r="P27" s="34">
        <f>Bachillerato!AB27</f>
        <v>23</v>
      </c>
      <c r="Q27" s="34">
        <f t="shared" ref="Q27:Q38" si="4">SUM(C27:E27)</f>
        <v>106</v>
      </c>
      <c r="R27" s="34">
        <f t="shared" ref="R27:R38" si="5">SUM(F27:J27)</f>
        <v>186</v>
      </c>
      <c r="S27" s="34">
        <f t="shared" ref="S27:S38" si="6">SUM(K27:P27)</f>
        <v>307</v>
      </c>
      <c r="T27" s="34">
        <f t="shared" ref="T27:T38" si="7">SUM(Q27:S27)</f>
        <v>599</v>
      </c>
    </row>
    <row r="28" spans="1:20">
      <c r="A28" s="251"/>
      <c r="B28" s="23" t="s">
        <v>24</v>
      </c>
      <c r="C28" s="34">
        <f>Preescolar!Q28</f>
        <v>58</v>
      </c>
      <c r="D28" s="34">
        <f>Preescolar!R28</f>
        <v>29</v>
      </c>
      <c r="E28" s="34">
        <f>Preescolar!S28</f>
        <v>24</v>
      </c>
      <c r="F28" s="34">
        <f>Primaria!U28</f>
        <v>43</v>
      </c>
      <c r="G28" s="34">
        <f>Primaria!V28</f>
        <v>29</v>
      </c>
      <c r="H28" s="34">
        <f>Primaria!W28</f>
        <v>41</v>
      </c>
      <c r="I28" s="34">
        <f>Primaria!X28</f>
        <v>41</v>
      </c>
      <c r="J28" s="34">
        <f>Primaria!Y28</f>
        <v>40</v>
      </c>
      <c r="K28" s="34">
        <f>Bachillerato!W28</f>
        <v>58</v>
      </c>
      <c r="L28" s="34">
        <f>Bachillerato!X28</f>
        <v>50</v>
      </c>
      <c r="M28" s="34">
        <f>Bachillerato!Y28</f>
        <v>75</v>
      </c>
      <c r="N28" s="34">
        <f>Bachillerato!Z28</f>
        <v>50</v>
      </c>
      <c r="O28" s="34">
        <f>Bachillerato!AA28</f>
        <v>54</v>
      </c>
      <c r="P28" s="34">
        <f>Bachillerato!AB28</f>
        <v>24</v>
      </c>
      <c r="Q28" s="34">
        <f t="shared" si="4"/>
        <v>111</v>
      </c>
      <c r="R28" s="34">
        <f t="shared" si="5"/>
        <v>194</v>
      </c>
      <c r="S28" s="34">
        <f t="shared" si="6"/>
        <v>311</v>
      </c>
      <c r="T28" s="34">
        <f t="shared" si="7"/>
        <v>616</v>
      </c>
    </row>
    <row r="29" spans="1:20">
      <c r="A29" s="251"/>
      <c r="B29" s="23" t="s">
        <v>34</v>
      </c>
      <c r="C29" s="34">
        <f>Preescolar!Q29</f>
        <v>61</v>
      </c>
      <c r="D29" s="34">
        <f>Preescolar!R29</f>
        <v>31</v>
      </c>
      <c r="E29" s="34">
        <f>Preescolar!S29</f>
        <v>24</v>
      </c>
      <c r="F29" s="34">
        <f>Primaria!U29</f>
        <v>43</v>
      </c>
      <c r="G29" s="34">
        <f>Primaria!V29</f>
        <v>30</v>
      </c>
      <c r="H29" s="34">
        <f>Primaria!W29</f>
        <v>42</v>
      </c>
      <c r="I29" s="34">
        <f>Primaria!X29</f>
        <v>42</v>
      </c>
      <c r="J29" s="34">
        <f>Primaria!Y29</f>
        <v>42</v>
      </c>
      <c r="K29" s="34">
        <f>Bachillerato!W29</f>
        <v>60</v>
      </c>
      <c r="L29" s="34">
        <f>Bachillerato!X29</f>
        <v>51</v>
      </c>
      <c r="M29" s="34">
        <f>Bachillerato!Y29</f>
        <v>75</v>
      </c>
      <c r="N29" s="34">
        <f>Bachillerato!Z29</f>
        <v>51</v>
      </c>
      <c r="O29" s="34">
        <f>Bachillerato!AA29</f>
        <v>58</v>
      </c>
      <c r="P29" s="34">
        <f>Bachillerato!AB29</f>
        <v>24</v>
      </c>
      <c r="Q29" s="34">
        <f t="shared" si="4"/>
        <v>116</v>
      </c>
      <c r="R29" s="34">
        <f t="shared" si="5"/>
        <v>199</v>
      </c>
      <c r="S29" s="34">
        <f t="shared" si="6"/>
        <v>319</v>
      </c>
      <c r="T29" s="34">
        <f t="shared" si="7"/>
        <v>634</v>
      </c>
    </row>
    <row r="30" spans="1:20">
      <c r="A30" s="251"/>
      <c r="B30" s="23" t="s">
        <v>38</v>
      </c>
      <c r="C30" s="34">
        <f>Preescolar!Q30</f>
        <v>64</v>
      </c>
      <c r="D30" s="34">
        <f>Preescolar!R30</f>
        <v>34</v>
      </c>
      <c r="E30" s="34">
        <f>Preescolar!S30</f>
        <v>25</v>
      </c>
      <c r="F30" s="34">
        <f>Primaria!U30</f>
        <v>44</v>
      </c>
      <c r="G30" s="34">
        <f>Primaria!V30</f>
        <v>36</v>
      </c>
      <c r="H30" s="34">
        <f>Primaria!W30</f>
        <v>44</v>
      </c>
      <c r="I30" s="34">
        <f>Primaria!X30</f>
        <v>43</v>
      </c>
      <c r="J30" s="34">
        <f>Primaria!Y30</f>
        <v>46</v>
      </c>
      <c r="K30" s="34">
        <f>Bachillerato!W30</f>
        <v>63</v>
      </c>
      <c r="L30" s="34">
        <f>Bachillerato!X30</f>
        <v>51</v>
      </c>
      <c r="M30" s="34">
        <f>Bachillerato!Y30</f>
        <v>77</v>
      </c>
      <c r="N30" s="34">
        <f>Bachillerato!Z30</f>
        <v>55</v>
      </c>
      <c r="O30" s="34">
        <f>Bachillerato!AA30</f>
        <v>59</v>
      </c>
      <c r="P30" s="34">
        <f>Bachillerato!AB30</f>
        <v>24</v>
      </c>
      <c r="Q30" s="34">
        <f t="shared" si="4"/>
        <v>123</v>
      </c>
      <c r="R30" s="34">
        <f t="shared" si="5"/>
        <v>213</v>
      </c>
      <c r="S30" s="34">
        <f t="shared" si="6"/>
        <v>329</v>
      </c>
      <c r="T30" s="34">
        <f t="shared" si="7"/>
        <v>665</v>
      </c>
    </row>
    <row r="31" spans="1:20">
      <c r="A31" s="251"/>
      <c r="B31" s="23" t="s">
        <v>47</v>
      </c>
      <c r="C31" s="34">
        <f>Preescolar!Q31</f>
        <v>66</v>
      </c>
      <c r="D31" s="34">
        <f>Preescolar!R31</f>
        <v>34</v>
      </c>
      <c r="E31" s="34">
        <f>Preescolar!S31</f>
        <v>25</v>
      </c>
      <c r="F31" s="34">
        <f>Primaria!U31</f>
        <v>48</v>
      </c>
      <c r="G31" s="34">
        <f>Primaria!V31</f>
        <v>40</v>
      </c>
      <c r="H31" s="34">
        <f>Primaria!W31</f>
        <v>48</v>
      </c>
      <c r="I31" s="34">
        <f>Primaria!X31</f>
        <v>45</v>
      </c>
      <c r="J31" s="34">
        <f>Primaria!Y31</f>
        <v>47</v>
      </c>
      <c r="K31" s="34">
        <f>Bachillerato!W31</f>
        <v>67</v>
      </c>
      <c r="L31" s="34">
        <f>Bachillerato!X31</f>
        <v>54</v>
      </c>
      <c r="M31" s="34">
        <f>Bachillerato!Y31</f>
        <v>81</v>
      </c>
      <c r="N31" s="34">
        <f>Bachillerato!Z31</f>
        <v>55</v>
      </c>
      <c r="O31" s="34">
        <f>Bachillerato!AA31</f>
        <v>60</v>
      </c>
      <c r="P31" s="34">
        <f>Bachillerato!AB31</f>
        <v>24</v>
      </c>
      <c r="Q31" s="34">
        <f t="shared" si="4"/>
        <v>125</v>
      </c>
      <c r="R31" s="34">
        <f t="shared" si="5"/>
        <v>228</v>
      </c>
      <c r="S31" s="34">
        <f t="shared" si="6"/>
        <v>341</v>
      </c>
      <c r="T31" s="34">
        <f t="shared" si="7"/>
        <v>694</v>
      </c>
    </row>
    <row r="32" spans="1:20">
      <c r="A32" s="251"/>
      <c r="B32" s="23" t="s">
        <v>57</v>
      </c>
      <c r="C32" s="34">
        <f>Preescolar!Q32</f>
        <v>67</v>
      </c>
      <c r="D32" s="34">
        <f>Preescolar!R32</f>
        <v>36</v>
      </c>
      <c r="E32" s="34">
        <f>Preescolar!S32</f>
        <v>25</v>
      </c>
      <c r="F32" s="34">
        <f>Primaria!U32</f>
        <v>51</v>
      </c>
      <c r="G32" s="34">
        <f>Primaria!V32</f>
        <v>41</v>
      </c>
      <c r="H32" s="34">
        <f>Primaria!W32</f>
        <v>49</v>
      </c>
      <c r="I32" s="34">
        <f>Primaria!X32</f>
        <v>48</v>
      </c>
      <c r="J32" s="34">
        <f>Primaria!Y32</f>
        <v>47</v>
      </c>
      <c r="K32" s="34">
        <f>Bachillerato!W32</f>
        <v>69</v>
      </c>
      <c r="L32" s="34">
        <f>Bachillerato!X32</f>
        <v>56</v>
      </c>
      <c r="M32" s="34">
        <f>Bachillerato!Y32</f>
        <v>81</v>
      </c>
      <c r="N32" s="34">
        <f>Bachillerato!Z32</f>
        <v>56</v>
      </c>
      <c r="O32" s="34">
        <f>Bachillerato!AA32</f>
        <v>62</v>
      </c>
      <c r="P32" s="34">
        <f>Bachillerato!AB32</f>
        <v>24</v>
      </c>
      <c r="Q32" s="34">
        <f t="shared" si="4"/>
        <v>128</v>
      </c>
      <c r="R32" s="34">
        <f t="shared" si="5"/>
        <v>236</v>
      </c>
      <c r="S32" s="34">
        <f t="shared" si="6"/>
        <v>348</v>
      </c>
      <c r="T32" s="34">
        <f t="shared" si="7"/>
        <v>712</v>
      </c>
    </row>
    <row r="33" spans="1:20">
      <c r="A33" s="251"/>
      <c r="B33" s="23" t="s">
        <v>62</v>
      </c>
      <c r="C33" s="34">
        <f>Preescolar!Q33</f>
        <v>71</v>
      </c>
      <c r="D33" s="34">
        <f>Preescolar!R33</f>
        <v>37</v>
      </c>
      <c r="E33" s="34">
        <f>Preescolar!S33</f>
        <v>25</v>
      </c>
      <c r="F33" s="34">
        <f>Primaria!U33</f>
        <v>52</v>
      </c>
      <c r="G33" s="34">
        <f>Primaria!V33</f>
        <v>41</v>
      </c>
      <c r="H33" s="34">
        <f>Primaria!W33</f>
        <v>53</v>
      </c>
      <c r="I33" s="34">
        <f>Primaria!X33</f>
        <v>48</v>
      </c>
      <c r="J33" s="34">
        <f>Primaria!Y33</f>
        <v>49</v>
      </c>
      <c r="K33" s="34">
        <f>Bachillerato!W33</f>
        <v>74</v>
      </c>
      <c r="L33" s="34">
        <f>Bachillerato!X33</f>
        <v>59</v>
      </c>
      <c r="M33" s="34">
        <f>Bachillerato!Y33</f>
        <v>84</v>
      </c>
      <c r="N33" s="34">
        <f>Bachillerato!Z33</f>
        <v>60</v>
      </c>
      <c r="O33" s="34">
        <f>Bachillerato!AA33</f>
        <v>65</v>
      </c>
      <c r="P33" s="34">
        <f>Bachillerato!AB33</f>
        <v>25</v>
      </c>
      <c r="Q33" s="34">
        <f t="shared" si="4"/>
        <v>133</v>
      </c>
      <c r="R33" s="34">
        <f t="shared" si="5"/>
        <v>243</v>
      </c>
      <c r="S33" s="34">
        <f t="shared" si="6"/>
        <v>367</v>
      </c>
      <c r="T33" s="34">
        <f t="shared" si="7"/>
        <v>743</v>
      </c>
    </row>
    <row r="34" spans="1:20">
      <c r="A34" s="251"/>
      <c r="B34" s="23" t="s">
        <v>68</v>
      </c>
      <c r="C34" s="34">
        <f>Preescolar!Q34</f>
        <v>73</v>
      </c>
      <c r="D34" s="34">
        <f>Preescolar!R34</f>
        <v>38</v>
      </c>
      <c r="E34" s="34">
        <f>Preescolar!S34</f>
        <v>27</v>
      </c>
      <c r="F34" s="34">
        <f>Primaria!U34</f>
        <v>56</v>
      </c>
      <c r="G34" s="34">
        <f>Primaria!V34</f>
        <v>41</v>
      </c>
      <c r="H34" s="34">
        <f>Primaria!W34</f>
        <v>54</v>
      </c>
      <c r="I34" s="34">
        <f>Primaria!X34</f>
        <v>49</v>
      </c>
      <c r="J34" s="34">
        <f>Primaria!Y34</f>
        <v>52</v>
      </c>
      <c r="K34" s="34">
        <f>Bachillerato!W34</f>
        <v>78</v>
      </c>
      <c r="L34" s="34">
        <f>Bachillerato!X34</f>
        <v>64</v>
      </c>
      <c r="M34" s="34">
        <f>Bachillerato!Y34</f>
        <v>85</v>
      </c>
      <c r="N34" s="34">
        <f>Bachillerato!Z34</f>
        <v>63</v>
      </c>
      <c r="O34" s="34">
        <f>Bachillerato!AA34</f>
        <v>65</v>
      </c>
      <c r="P34" s="34">
        <f>Bachillerato!AB34</f>
        <v>27</v>
      </c>
      <c r="Q34" s="34">
        <f t="shared" si="4"/>
        <v>138</v>
      </c>
      <c r="R34" s="34">
        <f t="shared" si="5"/>
        <v>252</v>
      </c>
      <c r="S34" s="34">
        <f t="shared" si="6"/>
        <v>382</v>
      </c>
      <c r="T34" s="34">
        <f t="shared" si="7"/>
        <v>772</v>
      </c>
    </row>
    <row r="35" spans="1:20">
      <c r="A35" s="251"/>
      <c r="B35" s="23" t="s">
        <v>77</v>
      </c>
      <c r="C35" s="34">
        <f>Preescolar!Q35</f>
        <v>81</v>
      </c>
      <c r="D35" s="34">
        <f>Preescolar!R35</f>
        <v>42</v>
      </c>
      <c r="E35" s="34">
        <f>Preescolar!S35</f>
        <v>28</v>
      </c>
      <c r="F35" s="34">
        <f>Primaria!U35</f>
        <v>58</v>
      </c>
      <c r="G35" s="34">
        <f>Primaria!V35</f>
        <v>44</v>
      </c>
      <c r="H35" s="34">
        <f>Primaria!W35</f>
        <v>54</v>
      </c>
      <c r="I35" s="34">
        <f>Primaria!X35</f>
        <v>51</v>
      </c>
      <c r="J35" s="34">
        <f>Primaria!Y35</f>
        <v>54</v>
      </c>
      <c r="K35" s="34">
        <f>Bachillerato!W35</f>
        <v>81</v>
      </c>
      <c r="L35" s="34">
        <f>Bachillerato!X35</f>
        <v>71</v>
      </c>
      <c r="M35" s="34">
        <f>Bachillerato!Y35</f>
        <v>87</v>
      </c>
      <c r="N35" s="34">
        <f>Bachillerato!Z35</f>
        <v>65</v>
      </c>
      <c r="O35" s="34">
        <f>Bachillerato!AA35</f>
        <v>68</v>
      </c>
      <c r="P35" s="34">
        <f>Bachillerato!AB35</f>
        <v>29</v>
      </c>
      <c r="Q35" s="34">
        <f t="shared" si="4"/>
        <v>151</v>
      </c>
      <c r="R35" s="34">
        <f t="shared" si="5"/>
        <v>261</v>
      </c>
      <c r="S35" s="34">
        <f t="shared" si="6"/>
        <v>401</v>
      </c>
      <c r="T35" s="34">
        <f t="shared" si="7"/>
        <v>813</v>
      </c>
    </row>
    <row r="36" spans="1:20">
      <c r="A36" s="251"/>
      <c r="B36" s="23" t="s">
        <v>84</v>
      </c>
      <c r="C36" s="34">
        <f>Preescolar!Q36</f>
        <v>84</v>
      </c>
      <c r="D36" s="34">
        <f>Preescolar!R36</f>
        <v>43</v>
      </c>
      <c r="E36" s="34">
        <f>Preescolar!S36</f>
        <v>28</v>
      </c>
      <c r="F36" s="34">
        <f>Primaria!U36</f>
        <v>59</v>
      </c>
      <c r="G36" s="34">
        <f>Primaria!V36</f>
        <v>46</v>
      </c>
      <c r="H36" s="34">
        <f>Primaria!W36</f>
        <v>56</v>
      </c>
      <c r="I36" s="34">
        <f>Primaria!X36</f>
        <v>53</v>
      </c>
      <c r="J36" s="34">
        <f>Primaria!Y36</f>
        <v>56</v>
      </c>
      <c r="K36" s="34">
        <f>Bachillerato!W36</f>
        <v>82</v>
      </c>
      <c r="L36" s="34">
        <f>Bachillerato!X36</f>
        <v>74</v>
      </c>
      <c r="M36" s="34">
        <f>Bachillerato!Y36</f>
        <v>87</v>
      </c>
      <c r="N36" s="34">
        <f>Bachillerato!Z36</f>
        <v>67</v>
      </c>
      <c r="O36" s="34">
        <f>Bachillerato!AA36</f>
        <v>71</v>
      </c>
      <c r="P36" s="34">
        <f>Bachillerato!AB36</f>
        <v>29</v>
      </c>
      <c r="Q36" s="34">
        <f t="shared" si="4"/>
        <v>155</v>
      </c>
      <c r="R36" s="34">
        <f t="shared" si="5"/>
        <v>270</v>
      </c>
      <c r="S36" s="34">
        <f t="shared" si="6"/>
        <v>410</v>
      </c>
      <c r="T36" s="34">
        <f t="shared" si="7"/>
        <v>835</v>
      </c>
    </row>
    <row r="37" spans="1:20">
      <c r="A37" s="251"/>
      <c r="B37" s="23" t="s">
        <v>87</v>
      </c>
      <c r="C37" s="34">
        <f>Preescolar!Q37</f>
        <v>88</v>
      </c>
      <c r="D37" s="34">
        <f>Preescolar!R37</f>
        <v>44</v>
      </c>
      <c r="E37" s="34">
        <f>Preescolar!S37</f>
        <v>29</v>
      </c>
      <c r="F37" s="34">
        <f>Primaria!U37</f>
        <v>61</v>
      </c>
      <c r="G37" s="34">
        <f>Primaria!V37</f>
        <v>46</v>
      </c>
      <c r="H37" s="34">
        <f>Primaria!W37</f>
        <v>61</v>
      </c>
      <c r="I37" s="34">
        <f>Primaria!X37</f>
        <v>54</v>
      </c>
      <c r="J37" s="34">
        <f>Primaria!Y37</f>
        <v>56</v>
      </c>
      <c r="K37" s="34">
        <f>Bachillerato!W37</f>
        <v>84</v>
      </c>
      <c r="L37" s="34">
        <f>Bachillerato!X37</f>
        <v>76</v>
      </c>
      <c r="M37" s="34">
        <f>Bachillerato!Y37</f>
        <v>90</v>
      </c>
      <c r="N37" s="34">
        <f>Bachillerato!Z37</f>
        <v>72</v>
      </c>
      <c r="O37" s="34">
        <f>Bachillerato!AA37</f>
        <v>73</v>
      </c>
      <c r="P37" s="34">
        <f>Bachillerato!AB37</f>
        <v>30</v>
      </c>
      <c r="Q37" s="34">
        <f t="shared" si="4"/>
        <v>161</v>
      </c>
      <c r="R37" s="34">
        <f t="shared" si="5"/>
        <v>278</v>
      </c>
      <c r="S37" s="34">
        <f t="shared" si="6"/>
        <v>425</v>
      </c>
      <c r="T37" s="34">
        <f t="shared" si="7"/>
        <v>864</v>
      </c>
    </row>
    <row r="38" spans="1:20">
      <c r="A38" s="251"/>
      <c r="B38" s="23" t="s">
        <v>173</v>
      </c>
      <c r="C38" s="34">
        <f>Preescolar!Q38</f>
        <v>90</v>
      </c>
      <c r="D38" s="34">
        <f>Preescolar!R38</f>
        <v>44</v>
      </c>
      <c r="E38" s="34">
        <f>Preescolar!S38</f>
        <v>31</v>
      </c>
      <c r="F38" s="34">
        <f>Primaria!U38</f>
        <v>63</v>
      </c>
      <c r="G38" s="34">
        <f>Primaria!V38</f>
        <v>46</v>
      </c>
      <c r="H38" s="34">
        <f>Primaria!W38</f>
        <v>63</v>
      </c>
      <c r="I38" s="34">
        <f>Primaria!X38</f>
        <v>55</v>
      </c>
      <c r="J38" s="34">
        <f>Primaria!Y38</f>
        <v>58</v>
      </c>
      <c r="K38" s="34">
        <f>Bachillerato!W38</f>
        <v>86</v>
      </c>
      <c r="L38" s="34">
        <f>Bachillerato!X38</f>
        <v>78</v>
      </c>
      <c r="M38" s="34">
        <f>Bachillerato!Y38</f>
        <v>93</v>
      </c>
      <c r="N38" s="34">
        <f>Bachillerato!Z38</f>
        <v>75</v>
      </c>
      <c r="O38" s="34">
        <f>Bachillerato!AA38</f>
        <v>77</v>
      </c>
      <c r="P38" s="34">
        <f>Bachillerato!AB38</f>
        <v>30</v>
      </c>
      <c r="Q38" s="34">
        <f t="shared" si="4"/>
        <v>165</v>
      </c>
      <c r="R38" s="34">
        <f t="shared" si="5"/>
        <v>285</v>
      </c>
      <c r="S38" s="34">
        <f t="shared" si="6"/>
        <v>439</v>
      </c>
      <c r="T38" s="34">
        <f t="shared" si="7"/>
        <v>889</v>
      </c>
    </row>
    <row r="39" spans="1:20">
      <c r="C39" s="66">
        <f>C38/C158</f>
        <v>12.857142857142858</v>
      </c>
      <c r="D39" s="66">
        <f t="shared" ref="D39:T39" si="8">D38/D158</f>
        <v>7.333333333333333</v>
      </c>
      <c r="E39" s="66">
        <f t="shared" si="8"/>
        <v>3.875</v>
      </c>
      <c r="F39" s="66">
        <f t="shared" si="8"/>
        <v>6.3</v>
      </c>
      <c r="G39" s="66">
        <f t="shared" si="8"/>
        <v>5.1111111111111107</v>
      </c>
      <c r="H39" s="66">
        <f t="shared" si="8"/>
        <v>4.5</v>
      </c>
      <c r="I39" s="66">
        <f t="shared" si="8"/>
        <v>6.875</v>
      </c>
      <c r="J39" s="66">
        <f t="shared" si="8"/>
        <v>3.8666666666666667</v>
      </c>
      <c r="K39" s="66">
        <f t="shared" si="8"/>
        <v>5.0588235294117645</v>
      </c>
      <c r="L39" s="66">
        <f t="shared" si="8"/>
        <v>7.8</v>
      </c>
      <c r="M39" s="66">
        <f t="shared" si="8"/>
        <v>5.8125</v>
      </c>
      <c r="N39" s="66">
        <f t="shared" si="8"/>
        <v>5.3571428571428568</v>
      </c>
      <c r="O39" s="66">
        <f t="shared" si="8"/>
        <v>5.1333333333333337</v>
      </c>
      <c r="P39" s="66">
        <f t="shared" si="8"/>
        <v>3.75</v>
      </c>
      <c r="Q39" s="66">
        <f t="shared" si="8"/>
        <v>7.8571428571428568</v>
      </c>
      <c r="R39" s="66">
        <f t="shared" si="8"/>
        <v>5.0892857142857144</v>
      </c>
      <c r="S39" s="66">
        <f t="shared" si="8"/>
        <v>5.4874999999999998</v>
      </c>
      <c r="T39" s="66">
        <f t="shared" si="8"/>
        <v>5.6624203821656049</v>
      </c>
    </row>
    <row r="40" spans="1:20"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</row>
    <row r="41" spans="1:20">
      <c r="B41" s="260" t="s">
        <v>1431</v>
      </c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</row>
    <row r="42" spans="1:20">
      <c r="B42" s="22" t="s">
        <v>1421</v>
      </c>
      <c r="C42" s="32" t="s">
        <v>18</v>
      </c>
      <c r="D42" s="32" t="s">
        <v>32</v>
      </c>
      <c r="E42" s="32" t="s">
        <v>15</v>
      </c>
      <c r="F42" s="22" t="s">
        <v>324</v>
      </c>
      <c r="G42" s="22" t="s">
        <v>326</v>
      </c>
      <c r="H42" s="22" t="s">
        <v>321</v>
      </c>
      <c r="I42" s="22" t="s">
        <v>319</v>
      </c>
      <c r="J42" s="22" t="s">
        <v>329</v>
      </c>
      <c r="K42" s="22" t="s">
        <v>760</v>
      </c>
      <c r="L42" s="22" t="s">
        <v>763</v>
      </c>
      <c r="M42" s="22" t="s">
        <v>753</v>
      </c>
      <c r="N42" s="22" t="s">
        <v>757</v>
      </c>
      <c r="O42" s="22" t="s">
        <v>771</v>
      </c>
      <c r="P42" s="22" t="s">
        <v>755</v>
      </c>
      <c r="Q42" s="67" t="s">
        <v>1433</v>
      </c>
      <c r="R42" s="67" t="s">
        <v>1434</v>
      </c>
      <c r="S42" s="67" t="s">
        <v>1435</v>
      </c>
      <c r="T42" s="67" t="s">
        <v>1436</v>
      </c>
    </row>
    <row r="43" spans="1:20">
      <c r="A43" s="251">
        <f>A3</f>
        <v>2023</v>
      </c>
      <c r="B43" s="23" t="s">
        <v>13</v>
      </c>
      <c r="C43" s="34"/>
      <c r="D43" s="34"/>
      <c r="E43" s="34"/>
      <c r="F43" s="23"/>
      <c r="G43" s="23"/>
      <c r="H43" s="23"/>
      <c r="I43" s="23"/>
      <c r="J43" s="34">
        <f>Primaria!U43</f>
        <v>0</v>
      </c>
      <c r="K43" s="34">
        <f>Bachillerato!W43</f>
        <v>1</v>
      </c>
      <c r="L43" s="34">
        <f>Bachillerato!X43</f>
        <v>2</v>
      </c>
      <c r="M43" s="34">
        <f>Bachillerato!Y43</f>
        <v>3</v>
      </c>
      <c r="N43" s="34">
        <f>Bachillerato!Z43</f>
        <v>1</v>
      </c>
      <c r="O43" s="34">
        <f>Bachillerato!AA43</f>
        <v>1</v>
      </c>
      <c r="P43" s="34">
        <f>Bachillerato!AB43</f>
        <v>2</v>
      </c>
      <c r="Q43" s="34">
        <f t="shared" ref="Q43:Q66" si="9">SUM(C43:E43)</f>
        <v>0</v>
      </c>
      <c r="R43" s="34">
        <f t="shared" ref="R43:R66" si="10">SUM(F43:J43)</f>
        <v>0</v>
      </c>
      <c r="S43" s="34">
        <f t="shared" ref="S43:S66" si="11">SUM(K43:P43)</f>
        <v>10</v>
      </c>
      <c r="T43" s="34">
        <f t="shared" ref="T43:T66" si="12">SUM(Q43:S43)</f>
        <v>10</v>
      </c>
    </row>
    <row r="44" spans="1:20">
      <c r="A44" s="251"/>
      <c r="B44" s="23" t="s">
        <v>24</v>
      </c>
      <c r="C44" s="34"/>
      <c r="D44" s="34"/>
      <c r="E44" s="34"/>
      <c r="F44" s="23"/>
      <c r="G44" s="23"/>
      <c r="H44" s="23"/>
      <c r="I44" s="23"/>
      <c r="J44" s="34">
        <f>Primaria!U44</f>
        <v>0</v>
      </c>
      <c r="K44" s="34">
        <f>Bachillerato!W44</f>
        <v>2</v>
      </c>
      <c r="L44" s="34">
        <f>Bachillerato!X44</f>
        <v>2</v>
      </c>
      <c r="M44" s="34">
        <f>Bachillerato!Y44</f>
        <v>3</v>
      </c>
      <c r="N44" s="34">
        <f>Bachillerato!Z44</f>
        <v>1</v>
      </c>
      <c r="O44" s="34">
        <f>Bachillerato!AA44</f>
        <v>3</v>
      </c>
      <c r="P44" s="34">
        <f>Bachillerato!AB44</f>
        <v>2</v>
      </c>
      <c r="Q44" s="34">
        <f t="shared" si="9"/>
        <v>0</v>
      </c>
      <c r="R44" s="34">
        <f t="shared" si="10"/>
        <v>0</v>
      </c>
      <c r="S44" s="34">
        <f t="shared" si="11"/>
        <v>13</v>
      </c>
      <c r="T44" s="34">
        <f t="shared" si="12"/>
        <v>13</v>
      </c>
    </row>
    <row r="45" spans="1:20">
      <c r="A45" s="251"/>
      <c r="B45" s="23" t="s">
        <v>34</v>
      </c>
      <c r="C45" s="34"/>
      <c r="D45" s="34"/>
      <c r="E45" s="34"/>
      <c r="F45" s="23"/>
      <c r="G45" s="23"/>
      <c r="H45" s="23"/>
      <c r="I45" s="23"/>
      <c r="J45" s="34">
        <f>Primaria!U45</f>
        <v>1</v>
      </c>
      <c r="K45" s="34">
        <f>Bachillerato!W45</f>
        <v>3</v>
      </c>
      <c r="L45" s="34">
        <f>Bachillerato!X45</f>
        <v>2</v>
      </c>
      <c r="M45" s="34">
        <f>Bachillerato!Y45</f>
        <v>3</v>
      </c>
      <c r="N45" s="34">
        <f>Bachillerato!Z45</f>
        <v>2</v>
      </c>
      <c r="O45" s="34">
        <f>Bachillerato!AA45</f>
        <v>4</v>
      </c>
      <c r="P45" s="34">
        <f>Bachillerato!AB45</f>
        <v>4</v>
      </c>
      <c r="Q45" s="34">
        <f t="shared" si="9"/>
        <v>0</v>
      </c>
      <c r="R45" s="34">
        <f t="shared" si="10"/>
        <v>1</v>
      </c>
      <c r="S45" s="34">
        <f t="shared" si="11"/>
        <v>18</v>
      </c>
      <c r="T45" s="34">
        <f t="shared" si="12"/>
        <v>19</v>
      </c>
    </row>
    <row r="46" spans="1:20">
      <c r="A46" s="251"/>
      <c r="B46" s="23" t="s">
        <v>38</v>
      </c>
      <c r="C46" s="34"/>
      <c r="D46" s="34"/>
      <c r="E46" s="34"/>
      <c r="F46" s="23"/>
      <c r="G46" s="23"/>
      <c r="H46" s="23"/>
      <c r="I46" s="23"/>
      <c r="J46" s="34">
        <f>Primaria!U46</f>
        <v>1</v>
      </c>
      <c r="K46" s="34">
        <f>Bachillerato!W46</f>
        <v>3</v>
      </c>
      <c r="L46" s="34">
        <f>Bachillerato!X46</f>
        <v>3</v>
      </c>
      <c r="M46" s="34">
        <f>Bachillerato!Y46</f>
        <v>4</v>
      </c>
      <c r="N46" s="34">
        <f>Bachillerato!Z46</f>
        <v>2</v>
      </c>
      <c r="O46" s="34">
        <f>Bachillerato!AA46</f>
        <v>5</v>
      </c>
      <c r="P46" s="34">
        <f>Bachillerato!AB46</f>
        <v>5</v>
      </c>
      <c r="Q46" s="34">
        <f t="shared" si="9"/>
        <v>0</v>
      </c>
      <c r="R46" s="34">
        <f t="shared" si="10"/>
        <v>1</v>
      </c>
      <c r="S46" s="34">
        <f t="shared" si="11"/>
        <v>22</v>
      </c>
      <c r="T46" s="34">
        <f t="shared" si="12"/>
        <v>23</v>
      </c>
    </row>
    <row r="47" spans="1:20">
      <c r="A47" s="251"/>
      <c r="B47" s="23" t="s">
        <v>47</v>
      </c>
      <c r="C47" s="34"/>
      <c r="D47" s="34"/>
      <c r="E47" s="34"/>
      <c r="F47" s="23"/>
      <c r="G47" s="23"/>
      <c r="H47" s="23"/>
      <c r="I47" s="23"/>
      <c r="J47" s="34">
        <f>Primaria!U47</f>
        <v>1</v>
      </c>
      <c r="K47" s="34">
        <f>Bachillerato!W47</f>
        <v>3</v>
      </c>
      <c r="L47" s="34">
        <f>Bachillerato!X47</f>
        <v>5</v>
      </c>
      <c r="M47" s="34">
        <f>Bachillerato!Y47</f>
        <v>6</v>
      </c>
      <c r="N47" s="34">
        <f>Bachillerato!Z47</f>
        <v>2</v>
      </c>
      <c r="O47" s="34">
        <f>Bachillerato!AA47</f>
        <v>5</v>
      </c>
      <c r="P47" s="34">
        <f>Bachillerato!AB47</f>
        <v>6</v>
      </c>
      <c r="Q47" s="34">
        <f t="shared" si="9"/>
        <v>0</v>
      </c>
      <c r="R47" s="34">
        <f t="shared" si="10"/>
        <v>1</v>
      </c>
      <c r="S47" s="34">
        <f t="shared" si="11"/>
        <v>27</v>
      </c>
      <c r="T47" s="34">
        <f t="shared" si="12"/>
        <v>28</v>
      </c>
    </row>
    <row r="48" spans="1:20">
      <c r="A48" s="251"/>
      <c r="B48" s="23" t="s">
        <v>57</v>
      </c>
      <c r="C48" s="34"/>
      <c r="D48" s="34"/>
      <c r="E48" s="34"/>
      <c r="F48" s="23"/>
      <c r="G48" s="23"/>
      <c r="H48" s="23"/>
      <c r="I48" s="23"/>
      <c r="J48" s="34">
        <f>Primaria!U48</f>
        <v>1</v>
      </c>
      <c r="K48" s="34">
        <f>Bachillerato!W48</f>
        <v>4</v>
      </c>
      <c r="L48" s="34">
        <f>Bachillerato!X48</f>
        <v>6</v>
      </c>
      <c r="M48" s="34">
        <f>Bachillerato!Y48</f>
        <v>7</v>
      </c>
      <c r="N48" s="34">
        <f>Bachillerato!Z48</f>
        <v>2</v>
      </c>
      <c r="O48" s="34">
        <f>Bachillerato!AA48</f>
        <v>5</v>
      </c>
      <c r="P48" s="34">
        <f>Bachillerato!AB48</f>
        <v>6</v>
      </c>
      <c r="Q48" s="34">
        <f t="shared" si="9"/>
        <v>0</v>
      </c>
      <c r="R48" s="34">
        <f t="shared" si="10"/>
        <v>1</v>
      </c>
      <c r="S48" s="34">
        <f t="shared" si="11"/>
        <v>30</v>
      </c>
      <c r="T48" s="34">
        <f t="shared" si="12"/>
        <v>31</v>
      </c>
    </row>
    <row r="49" spans="1:20">
      <c r="A49" s="251"/>
      <c r="B49" s="23" t="s">
        <v>62</v>
      </c>
      <c r="C49" s="34"/>
      <c r="D49" s="34"/>
      <c r="E49" s="34"/>
      <c r="F49" s="23"/>
      <c r="G49" s="23"/>
      <c r="H49" s="23"/>
      <c r="I49" s="23"/>
      <c r="J49" s="34">
        <f>Primaria!U49</f>
        <v>2</v>
      </c>
      <c r="K49" s="34">
        <f>Bachillerato!W49</f>
        <v>5</v>
      </c>
      <c r="L49" s="34">
        <f>Bachillerato!X49</f>
        <v>7</v>
      </c>
      <c r="M49" s="34">
        <f>Bachillerato!Y49</f>
        <v>8</v>
      </c>
      <c r="N49" s="34">
        <f>Bachillerato!Z49</f>
        <v>5</v>
      </c>
      <c r="O49" s="34">
        <f>Bachillerato!AA49</f>
        <v>5</v>
      </c>
      <c r="P49" s="34">
        <f>Bachillerato!AB49</f>
        <v>6</v>
      </c>
      <c r="Q49" s="34">
        <f t="shared" si="9"/>
        <v>0</v>
      </c>
      <c r="R49" s="34">
        <f t="shared" si="10"/>
        <v>2</v>
      </c>
      <c r="S49" s="34">
        <f t="shared" si="11"/>
        <v>36</v>
      </c>
      <c r="T49" s="34">
        <f t="shared" si="12"/>
        <v>38</v>
      </c>
    </row>
    <row r="50" spans="1:20">
      <c r="A50" s="251"/>
      <c r="B50" s="23" t="s">
        <v>68</v>
      </c>
      <c r="C50" s="34"/>
      <c r="D50" s="34"/>
      <c r="E50" s="34"/>
      <c r="F50" s="23"/>
      <c r="G50" s="23"/>
      <c r="H50" s="23"/>
      <c r="I50" s="23"/>
      <c r="J50" s="34">
        <f>Primaria!U50</f>
        <v>3</v>
      </c>
      <c r="K50" s="34">
        <f>Bachillerato!W50</f>
        <v>5</v>
      </c>
      <c r="L50" s="34">
        <f>Bachillerato!X50</f>
        <v>8</v>
      </c>
      <c r="M50" s="34">
        <f>Bachillerato!Y50</f>
        <v>13</v>
      </c>
      <c r="N50" s="34">
        <f>Bachillerato!Z50</f>
        <v>7</v>
      </c>
      <c r="O50" s="34">
        <f>Bachillerato!AA50</f>
        <v>6</v>
      </c>
      <c r="P50" s="34">
        <f>Bachillerato!AB50</f>
        <v>7</v>
      </c>
      <c r="Q50" s="34">
        <f t="shared" si="9"/>
        <v>0</v>
      </c>
      <c r="R50" s="34">
        <f t="shared" si="10"/>
        <v>3</v>
      </c>
      <c r="S50" s="34">
        <f t="shared" si="11"/>
        <v>46</v>
      </c>
      <c r="T50" s="34">
        <f t="shared" si="12"/>
        <v>49</v>
      </c>
    </row>
    <row r="51" spans="1:20">
      <c r="A51" s="251"/>
      <c r="B51" s="23" t="s">
        <v>77</v>
      </c>
      <c r="C51" s="34"/>
      <c r="D51" s="34"/>
      <c r="E51" s="34"/>
      <c r="F51" s="23"/>
      <c r="G51" s="23"/>
      <c r="H51" s="23"/>
      <c r="I51" s="23"/>
      <c r="J51" s="34">
        <f>Primaria!U51</f>
        <v>4</v>
      </c>
      <c r="K51" s="34">
        <f>Bachillerato!W51</f>
        <v>7</v>
      </c>
      <c r="L51" s="34">
        <f>Bachillerato!X51</f>
        <v>9</v>
      </c>
      <c r="M51" s="34">
        <f>Bachillerato!Y51</f>
        <v>14</v>
      </c>
      <c r="N51" s="34">
        <f>Bachillerato!Z51</f>
        <v>9</v>
      </c>
      <c r="O51" s="34">
        <f>Bachillerato!AA51</f>
        <v>10</v>
      </c>
      <c r="P51" s="34">
        <f>Bachillerato!AB51</f>
        <v>8</v>
      </c>
      <c r="Q51" s="34">
        <f t="shared" si="9"/>
        <v>0</v>
      </c>
      <c r="R51" s="34">
        <f t="shared" si="10"/>
        <v>4</v>
      </c>
      <c r="S51" s="34">
        <f t="shared" si="11"/>
        <v>57</v>
      </c>
      <c r="T51" s="34">
        <f t="shared" si="12"/>
        <v>61</v>
      </c>
    </row>
    <row r="52" spans="1:20">
      <c r="A52" s="251"/>
      <c r="B52" s="23" t="s">
        <v>84</v>
      </c>
      <c r="C52" s="34"/>
      <c r="D52" s="34"/>
      <c r="E52" s="34"/>
      <c r="F52" s="23"/>
      <c r="G52" s="23"/>
      <c r="H52" s="23"/>
      <c r="I52" s="23"/>
      <c r="J52" s="34">
        <f>Primaria!U52</f>
        <v>5</v>
      </c>
      <c r="K52" s="34">
        <f>Bachillerato!W52</f>
        <v>9</v>
      </c>
      <c r="L52" s="34">
        <f>Bachillerato!X52</f>
        <v>9</v>
      </c>
      <c r="M52" s="34">
        <f>Bachillerato!Y52</f>
        <v>16</v>
      </c>
      <c r="N52" s="34">
        <f>Bachillerato!Z52</f>
        <v>11</v>
      </c>
      <c r="O52" s="34">
        <f>Bachillerato!AA52</f>
        <v>12</v>
      </c>
      <c r="P52" s="34">
        <f>Bachillerato!AB52</f>
        <v>10</v>
      </c>
      <c r="Q52" s="34">
        <f t="shared" si="9"/>
        <v>0</v>
      </c>
      <c r="R52" s="34">
        <f t="shared" si="10"/>
        <v>5</v>
      </c>
      <c r="S52" s="34">
        <f t="shared" si="11"/>
        <v>67</v>
      </c>
      <c r="T52" s="34">
        <f t="shared" si="12"/>
        <v>72</v>
      </c>
    </row>
    <row r="53" spans="1:20">
      <c r="A53" s="251"/>
      <c r="B53" s="23" t="s">
        <v>87</v>
      </c>
      <c r="C53" s="34"/>
      <c r="D53" s="34"/>
      <c r="E53" s="34"/>
      <c r="F53" s="23"/>
      <c r="G53" s="23"/>
      <c r="H53" s="23"/>
      <c r="I53" s="23"/>
      <c r="J53" s="34">
        <f>Primaria!U53</f>
        <v>6</v>
      </c>
      <c r="K53" s="34">
        <f>Bachillerato!W53</f>
        <v>9</v>
      </c>
      <c r="L53" s="34">
        <f>Bachillerato!X53</f>
        <v>9</v>
      </c>
      <c r="M53" s="34">
        <f>Bachillerato!Y53</f>
        <v>16</v>
      </c>
      <c r="N53" s="34">
        <f>Bachillerato!Z53</f>
        <v>13</v>
      </c>
      <c r="O53" s="34">
        <f>Bachillerato!AA53</f>
        <v>15</v>
      </c>
      <c r="P53" s="34">
        <f>Bachillerato!AB53</f>
        <v>10</v>
      </c>
      <c r="Q53" s="34">
        <f t="shared" si="9"/>
        <v>0</v>
      </c>
      <c r="R53" s="34">
        <f t="shared" si="10"/>
        <v>6</v>
      </c>
      <c r="S53" s="34">
        <f t="shared" si="11"/>
        <v>72</v>
      </c>
      <c r="T53" s="34">
        <f t="shared" si="12"/>
        <v>78</v>
      </c>
    </row>
    <row r="54" spans="1:20">
      <c r="A54" s="251"/>
      <c r="B54" s="23" t="s">
        <v>173</v>
      </c>
      <c r="C54" s="34"/>
      <c r="D54" s="34"/>
      <c r="E54" s="34"/>
      <c r="F54" s="23"/>
      <c r="G54" s="23"/>
      <c r="H54" s="23"/>
      <c r="I54" s="23"/>
      <c r="J54" s="34">
        <f>Primaria!U54</f>
        <v>6</v>
      </c>
      <c r="K54" s="34">
        <f>Bachillerato!W54</f>
        <v>10</v>
      </c>
      <c r="L54" s="34">
        <f>Bachillerato!X54</f>
        <v>9</v>
      </c>
      <c r="M54" s="34">
        <f>Bachillerato!Y54</f>
        <v>18</v>
      </c>
      <c r="N54" s="34">
        <f>Bachillerato!Z54</f>
        <v>14</v>
      </c>
      <c r="O54" s="34">
        <f>Bachillerato!AA54</f>
        <v>16</v>
      </c>
      <c r="P54" s="34">
        <f>Bachillerato!AB54</f>
        <v>10</v>
      </c>
      <c r="Q54" s="34">
        <f t="shared" si="9"/>
        <v>0</v>
      </c>
      <c r="R54" s="34">
        <f t="shared" si="10"/>
        <v>6</v>
      </c>
      <c r="S54" s="34">
        <f t="shared" si="11"/>
        <v>77</v>
      </c>
      <c r="T54" s="34">
        <f t="shared" si="12"/>
        <v>83</v>
      </c>
    </row>
    <row r="55" spans="1:20" ht="14.45" customHeight="1">
      <c r="A55" s="251">
        <f>A15</f>
        <v>2024</v>
      </c>
      <c r="B55" s="23" t="s">
        <v>13</v>
      </c>
      <c r="C55" s="34"/>
      <c r="D55" s="34"/>
      <c r="E55" s="34"/>
      <c r="F55" s="23"/>
      <c r="G55" s="23"/>
      <c r="H55" s="23"/>
      <c r="I55" s="23"/>
      <c r="J55" s="34">
        <f>Primaria!U55</f>
        <v>6</v>
      </c>
      <c r="K55" s="34">
        <f>Bachillerato!W55</f>
        <v>10</v>
      </c>
      <c r="L55" s="34">
        <f>Bachillerato!X55</f>
        <v>10</v>
      </c>
      <c r="M55" s="34">
        <f>Bachillerato!Y55</f>
        <v>21</v>
      </c>
      <c r="N55" s="34">
        <f>Bachillerato!Z55</f>
        <v>14</v>
      </c>
      <c r="O55" s="34">
        <f>Bachillerato!AA55</f>
        <v>17</v>
      </c>
      <c r="P55" s="34">
        <f>Bachillerato!AB55</f>
        <v>10</v>
      </c>
      <c r="Q55" s="34">
        <f t="shared" si="9"/>
        <v>0</v>
      </c>
      <c r="R55" s="34">
        <f t="shared" si="10"/>
        <v>6</v>
      </c>
      <c r="S55" s="34">
        <f t="shared" si="11"/>
        <v>82</v>
      </c>
      <c r="T55" s="34">
        <f t="shared" si="12"/>
        <v>88</v>
      </c>
    </row>
    <row r="56" spans="1:20">
      <c r="A56" s="251"/>
      <c r="B56" s="23" t="s">
        <v>24</v>
      </c>
      <c r="C56" s="34"/>
      <c r="D56" s="34"/>
      <c r="E56" s="34"/>
      <c r="F56" s="23"/>
      <c r="G56" s="23"/>
      <c r="H56" s="23"/>
      <c r="I56" s="23"/>
      <c r="J56" s="34">
        <f>Primaria!U56</f>
        <v>6</v>
      </c>
      <c r="K56" s="34">
        <f>Bachillerato!W56</f>
        <v>10</v>
      </c>
      <c r="L56" s="34">
        <f>Bachillerato!X56</f>
        <v>12</v>
      </c>
      <c r="M56" s="34">
        <f>Bachillerato!Y56</f>
        <v>22</v>
      </c>
      <c r="N56" s="34">
        <f>Bachillerato!Z56</f>
        <v>14</v>
      </c>
      <c r="O56" s="34">
        <f>Bachillerato!AA56</f>
        <v>19</v>
      </c>
      <c r="P56" s="34">
        <f>Bachillerato!AB56</f>
        <v>11</v>
      </c>
      <c r="Q56" s="34">
        <f t="shared" si="9"/>
        <v>0</v>
      </c>
      <c r="R56" s="34">
        <f t="shared" si="10"/>
        <v>6</v>
      </c>
      <c r="S56" s="34">
        <f t="shared" si="11"/>
        <v>88</v>
      </c>
      <c r="T56" s="34">
        <f t="shared" si="12"/>
        <v>94</v>
      </c>
    </row>
    <row r="57" spans="1:20">
      <c r="A57" s="251"/>
      <c r="B57" s="23" t="s">
        <v>34</v>
      </c>
      <c r="C57" s="34"/>
      <c r="D57" s="34"/>
      <c r="E57" s="34"/>
      <c r="F57" s="23"/>
      <c r="G57" s="23"/>
      <c r="H57" s="23"/>
      <c r="I57" s="23"/>
      <c r="J57" s="34">
        <f>Primaria!U57</f>
        <v>6</v>
      </c>
      <c r="K57" s="34">
        <f>Bachillerato!W57</f>
        <v>10</v>
      </c>
      <c r="L57" s="34">
        <f>Bachillerato!X57</f>
        <v>12</v>
      </c>
      <c r="M57" s="34">
        <f>Bachillerato!Y57</f>
        <v>22</v>
      </c>
      <c r="N57" s="34">
        <f>Bachillerato!Z57</f>
        <v>15</v>
      </c>
      <c r="O57" s="34">
        <f>Bachillerato!AA57</f>
        <v>20</v>
      </c>
      <c r="P57" s="34">
        <f>Bachillerato!AB57</f>
        <v>11</v>
      </c>
      <c r="Q57" s="34">
        <f t="shared" si="9"/>
        <v>0</v>
      </c>
      <c r="R57" s="34">
        <f t="shared" si="10"/>
        <v>6</v>
      </c>
      <c r="S57" s="34">
        <f t="shared" si="11"/>
        <v>90</v>
      </c>
      <c r="T57" s="34">
        <f t="shared" si="12"/>
        <v>96</v>
      </c>
    </row>
    <row r="58" spans="1:20">
      <c r="A58" s="251"/>
      <c r="B58" s="23" t="s">
        <v>38</v>
      </c>
      <c r="C58" s="34"/>
      <c r="D58" s="34"/>
      <c r="E58" s="34"/>
      <c r="F58" s="23"/>
      <c r="G58" s="23"/>
      <c r="H58" s="23"/>
      <c r="I58" s="23"/>
      <c r="J58" s="34">
        <f>Primaria!U58</f>
        <v>7</v>
      </c>
      <c r="K58" s="34">
        <f>Bachillerato!W58</f>
        <v>11</v>
      </c>
      <c r="L58" s="34">
        <f>Bachillerato!X58</f>
        <v>12</v>
      </c>
      <c r="M58" s="34">
        <f>Bachillerato!Y58</f>
        <v>24</v>
      </c>
      <c r="N58" s="34">
        <f>Bachillerato!Z58</f>
        <v>16</v>
      </c>
      <c r="O58" s="34">
        <f>Bachillerato!AA58</f>
        <v>22</v>
      </c>
      <c r="P58" s="34">
        <f>Bachillerato!AB58</f>
        <v>12</v>
      </c>
      <c r="Q58" s="34">
        <f t="shared" si="9"/>
        <v>0</v>
      </c>
      <c r="R58" s="34">
        <f t="shared" si="10"/>
        <v>7</v>
      </c>
      <c r="S58" s="34">
        <f t="shared" si="11"/>
        <v>97</v>
      </c>
      <c r="T58" s="34">
        <f t="shared" si="12"/>
        <v>104</v>
      </c>
    </row>
    <row r="59" spans="1:20">
      <c r="A59" s="251"/>
      <c r="B59" s="23" t="s">
        <v>47</v>
      </c>
      <c r="C59" s="34"/>
      <c r="D59" s="34"/>
      <c r="E59" s="34"/>
      <c r="F59" s="23"/>
      <c r="G59" s="23"/>
      <c r="H59" s="23"/>
      <c r="I59" s="23"/>
      <c r="J59" s="34">
        <f>Primaria!U59</f>
        <v>7</v>
      </c>
      <c r="K59" s="34">
        <f>Bachillerato!W59</f>
        <v>11</v>
      </c>
      <c r="L59" s="34">
        <f>Bachillerato!X59</f>
        <v>12</v>
      </c>
      <c r="M59" s="34">
        <f>Bachillerato!Y59</f>
        <v>25</v>
      </c>
      <c r="N59" s="34">
        <f>Bachillerato!Z59</f>
        <v>16</v>
      </c>
      <c r="O59" s="34">
        <f>Bachillerato!AA59</f>
        <v>24</v>
      </c>
      <c r="P59" s="34">
        <f>Bachillerato!AB59</f>
        <v>12</v>
      </c>
      <c r="Q59" s="34">
        <f t="shared" si="9"/>
        <v>0</v>
      </c>
      <c r="R59" s="34">
        <f t="shared" si="10"/>
        <v>7</v>
      </c>
      <c r="S59" s="34">
        <f t="shared" si="11"/>
        <v>100</v>
      </c>
      <c r="T59" s="34">
        <f t="shared" si="12"/>
        <v>107</v>
      </c>
    </row>
    <row r="60" spans="1:20">
      <c r="A60" s="251"/>
      <c r="B60" s="23" t="s">
        <v>57</v>
      </c>
      <c r="C60" s="34"/>
      <c r="D60" s="34"/>
      <c r="E60" s="34"/>
      <c r="F60" s="23"/>
      <c r="G60" s="23"/>
      <c r="H60" s="23"/>
      <c r="I60" s="23"/>
      <c r="J60" s="34">
        <f>Primaria!U60</f>
        <v>8</v>
      </c>
      <c r="K60" s="34">
        <f>Bachillerato!W60</f>
        <v>11</v>
      </c>
      <c r="L60" s="34">
        <f>Bachillerato!X60</f>
        <v>12</v>
      </c>
      <c r="M60" s="34">
        <f>Bachillerato!Y60</f>
        <v>26</v>
      </c>
      <c r="N60" s="34">
        <f>Bachillerato!Z60</f>
        <v>16</v>
      </c>
      <c r="O60" s="34">
        <f>Bachillerato!AA60</f>
        <v>24</v>
      </c>
      <c r="P60" s="34">
        <f>Bachillerato!AB60</f>
        <v>12</v>
      </c>
      <c r="Q60" s="34">
        <f t="shared" si="9"/>
        <v>0</v>
      </c>
      <c r="R60" s="34">
        <f t="shared" si="10"/>
        <v>8</v>
      </c>
      <c r="S60" s="34">
        <f t="shared" si="11"/>
        <v>101</v>
      </c>
      <c r="T60" s="34">
        <f t="shared" si="12"/>
        <v>109</v>
      </c>
    </row>
    <row r="61" spans="1:20">
      <c r="A61" s="251"/>
      <c r="B61" s="23" t="s">
        <v>62</v>
      </c>
      <c r="C61" s="34"/>
      <c r="D61" s="34"/>
      <c r="E61" s="34"/>
      <c r="F61" s="23"/>
      <c r="G61" s="23"/>
      <c r="H61" s="23"/>
      <c r="I61" s="23"/>
      <c r="J61" s="34">
        <f>Primaria!U61</f>
        <v>9</v>
      </c>
      <c r="K61" s="34">
        <f>Bachillerato!W61</f>
        <v>12</v>
      </c>
      <c r="L61" s="34">
        <f>Bachillerato!X61</f>
        <v>13</v>
      </c>
      <c r="M61" s="34">
        <f>Bachillerato!Y61</f>
        <v>30</v>
      </c>
      <c r="N61" s="34">
        <f>Bachillerato!Z61</f>
        <v>17</v>
      </c>
      <c r="O61" s="34">
        <f>Bachillerato!AA61</f>
        <v>24</v>
      </c>
      <c r="P61" s="34">
        <f>Bachillerato!AB61</f>
        <v>12</v>
      </c>
      <c r="Q61" s="34">
        <f t="shared" si="9"/>
        <v>0</v>
      </c>
      <c r="R61" s="34">
        <f t="shared" si="10"/>
        <v>9</v>
      </c>
      <c r="S61" s="34">
        <f t="shared" si="11"/>
        <v>108</v>
      </c>
      <c r="T61" s="34">
        <f t="shared" si="12"/>
        <v>117</v>
      </c>
    </row>
    <row r="62" spans="1:20">
      <c r="A62" s="251"/>
      <c r="B62" s="23" t="s">
        <v>68</v>
      </c>
      <c r="C62" s="34"/>
      <c r="D62" s="34"/>
      <c r="E62" s="34"/>
      <c r="F62" s="23"/>
      <c r="G62" s="23"/>
      <c r="H62" s="23"/>
      <c r="I62" s="23"/>
      <c r="J62" s="34">
        <f>Primaria!U62</f>
        <v>10</v>
      </c>
      <c r="K62" s="34">
        <f>Bachillerato!W62</f>
        <v>13</v>
      </c>
      <c r="L62" s="34">
        <f>Bachillerato!X62</f>
        <v>14</v>
      </c>
      <c r="M62" s="34">
        <f>Bachillerato!Y62</f>
        <v>31</v>
      </c>
      <c r="N62" s="34">
        <f>Bachillerato!Z62</f>
        <v>21</v>
      </c>
      <c r="O62" s="34">
        <f>Bachillerato!AA62</f>
        <v>26</v>
      </c>
      <c r="P62" s="34">
        <f>Bachillerato!AB62</f>
        <v>13</v>
      </c>
      <c r="Q62" s="34">
        <f t="shared" si="9"/>
        <v>0</v>
      </c>
      <c r="R62" s="34">
        <f t="shared" si="10"/>
        <v>10</v>
      </c>
      <c r="S62" s="34">
        <f t="shared" si="11"/>
        <v>118</v>
      </c>
      <c r="T62" s="34">
        <f t="shared" si="12"/>
        <v>128</v>
      </c>
    </row>
    <row r="63" spans="1:20">
      <c r="A63" s="251"/>
      <c r="B63" s="23" t="s">
        <v>77</v>
      </c>
      <c r="C63" s="34"/>
      <c r="D63" s="34"/>
      <c r="E63" s="34"/>
      <c r="F63" s="23"/>
      <c r="G63" s="23"/>
      <c r="H63" s="23"/>
      <c r="I63" s="23"/>
      <c r="J63" s="34">
        <f>Primaria!U63</f>
        <v>11</v>
      </c>
      <c r="K63" s="34">
        <f>Bachillerato!W63</f>
        <v>13</v>
      </c>
      <c r="L63" s="34">
        <f>Bachillerato!X63</f>
        <v>14</v>
      </c>
      <c r="M63" s="34">
        <f>Bachillerato!Y63</f>
        <v>32</v>
      </c>
      <c r="N63" s="34">
        <f>Bachillerato!Z63</f>
        <v>21</v>
      </c>
      <c r="O63" s="34">
        <f>Bachillerato!AA63</f>
        <v>27</v>
      </c>
      <c r="P63" s="34">
        <f>Bachillerato!AB63</f>
        <v>13</v>
      </c>
      <c r="Q63" s="34">
        <f t="shared" si="9"/>
        <v>0</v>
      </c>
      <c r="R63" s="34">
        <f t="shared" si="10"/>
        <v>11</v>
      </c>
      <c r="S63" s="34">
        <f t="shared" si="11"/>
        <v>120</v>
      </c>
      <c r="T63" s="34">
        <f t="shared" si="12"/>
        <v>131</v>
      </c>
    </row>
    <row r="64" spans="1:20">
      <c r="A64" s="251"/>
      <c r="B64" s="23" t="s">
        <v>84</v>
      </c>
      <c r="C64" s="34"/>
      <c r="D64" s="34"/>
      <c r="E64" s="34"/>
      <c r="F64" s="23"/>
      <c r="G64" s="23"/>
      <c r="H64" s="23"/>
      <c r="I64" s="23"/>
      <c r="J64" s="34">
        <f>Primaria!U64</f>
        <v>13</v>
      </c>
      <c r="K64" s="34">
        <f>Bachillerato!W64</f>
        <v>14</v>
      </c>
      <c r="L64" s="34">
        <f>Bachillerato!X64</f>
        <v>15</v>
      </c>
      <c r="M64" s="34">
        <f>Bachillerato!Y64</f>
        <v>35</v>
      </c>
      <c r="N64" s="34">
        <f>Bachillerato!Z64</f>
        <v>23</v>
      </c>
      <c r="O64" s="34">
        <f>Bachillerato!AA64</f>
        <v>27</v>
      </c>
      <c r="P64" s="34">
        <f>Bachillerato!AB64</f>
        <v>13</v>
      </c>
      <c r="Q64" s="34">
        <f t="shared" si="9"/>
        <v>0</v>
      </c>
      <c r="R64" s="34">
        <f t="shared" si="10"/>
        <v>13</v>
      </c>
      <c r="S64" s="34">
        <f t="shared" si="11"/>
        <v>127</v>
      </c>
      <c r="T64" s="34">
        <f t="shared" si="12"/>
        <v>140</v>
      </c>
    </row>
    <row r="65" spans="1:20">
      <c r="A65" s="251"/>
      <c r="B65" s="23" t="s">
        <v>87</v>
      </c>
      <c r="C65" s="34"/>
      <c r="D65" s="34"/>
      <c r="E65" s="34"/>
      <c r="F65" s="23"/>
      <c r="G65" s="23"/>
      <c r="H65" s="23"/>
      <c r="I65" s="23"/>
      <c r="J65" s="34">
        <f>Primaria!U65</f>
        <v>13</v>
      </c>
      <c r="K65" s="34">
        <f>Bachillerato!W65</f>
        <v>14</v>
      </c>
      <c r="L65" s="34">
        <f>Bachillerato!X65</f>
        <v>16</v>
      </c>
      <c r="M65" s="34">
        <f>Bachillerato!Y65</f>
        <v>38</v>
      </c>
      <c r="N65" s="34">
        <f>Bachillerato!Z65</f>
        <v>23</v>
      </c>
      <c r="O65" s="34">
        <f>Bachillerato!AA65</f>
        <v>27</v>
      </c>
      <c r="P65" s="34">
        <f>Bachillerato!AB65</f>
        <v>13</v>
      </c>
      <c r="Q65" s="34">
        <f t="shared" si="9"/>
        <v>0</v>
      </c>
      <c r="R65" s="34">
        <f t="shared" si="10"/>
        <v>13</v>
      </c>
      <c r="S65" s="34">
        <f t="shared" si="11"/>
        <v>131</v>
      </c>
      <c r="T65" s="34">
        <f t="shared" si="12"/>
        <v>144</v>
      </c>
    </row>
    <row r="66" spans="1:20">
      <c r="A66" s="251"/>
      <c r="B66" s="23" t="s">
        <v>173</v>
      </c>
      <c r="C66" s="34"/>
      <c r="D66" s="34"/>
      <c r="E66" s="34"/>
      <c r="F66" s="23"/>
      <c r="G66" s="23"/>
      <c r="H66" s="23"/>
      <c r="I66" s="23"/>
      <c r="J66" s="34">
        <f>Primaria!U66</f>
        <v>16</v>
      </c>
      <c r="K66" s="34">
        <f>Bachillerato!W66</f>
        <v>15</v>
      </c>
      <c r="L66" s="34">
        <f>Bachillerato!X66</f>
        <v>17</v>
      </c>
      <c r="M66" s="34">
        <f>Bachillerato!Y66</f>
        <v>39</v>
      </c>
      <c r="N66" s="34">
        <f>Bachillerato!Z66</f>
        <v>24</v>
      </c>
      <c r="O66" s="34">
        <f>Bachillerato!AA66</f>
        <v>28</v>
      </c>
      <c r="P66" s="34">
        <f>Bachillerato!AB66</f>
        <v>13</v>
      </c>
      <c r="Q66" s="34">
        <f t="shared" si="9"/>
        <v>0</v>
      </c>
      <c r="R66" s="34">
        <f t="shared" si="10"/>
        <v>16</v>
      </c>
      <c r="S66" s="34">
        <f t="shared" si="11"/>
        <v>136</v>
      </c>
      <c r="T66" s="34">
        <f t="shared" si="12"/>
        <v>152</v>
      </c>
    </row>
    <row r="67" spans="1:20" ht="14.45" customHeight="1">
      <c r="A67" s="251">
        <f>A27</f>
        <v>2025</v>
      </c>
      <c r="B67" s="23" t="s">
        <v>13</v>
      </c>
      <c r="C67" s="34"/>
      <c r="D67" s="34"/>
      <c r="E67" s="34"/>
      <c r="F67" s="23"/>
      <c r="G67" s="23"/>
      <c r="H67" s="23"/>
      <c r="I67" s="23"/>
      <c r="J67" s="34">
        <f>Primaria!U67</f>
        <v>16</v>
      </c>
      <c r="K67" s="34">
        <f>Bachillerato!W67</f>
        <v>16</v>
      </c>
      <c r="L67" s="34">
        <f>Bachillerato!X67</f>
        <v>17</v>
      </c>
      <c r="M67" s="34">
        <f>Bachillerato!Y67</f>
        <v>40</v>
      </c>
      <c r="N67" s="34">
        <f>Bachillerato!Z67</f>
        <v>27</v>
      </c>
      <c r="O67" s="34">
        <f>Bachillerato!AA67</f>
        <v>28</v>
      </c>
      <c r="P67" s="34">
        <f>Bachillerato!AB67</f>
        <v>13</v>
      </c>
      <c r="Q67" s="34">
        <f t="shared" ref="Q67:Q78" si="13">SUM(C67:E67)</f>
        <v>0</v>
      </c>
      <c r="R67" s="34">
        <f t="shared" ref="R67:R78" si="14">SUM(F67:J67)</f>
        <v>16</v>
      </c>
      <c r="S67" s="34">
        <f t="shared" ref="S67:S78" si="15">SUM(K67:P67)</f>
        <v>141</v>
      </c>
      <c r="T67" s="34">
        <f t="shared" ref="T67:T78" si="16">SUM(Q67:S67)</f>
        <v>157</v>
      </c>
    </row>
    <row r="68" spans="1:20">
      <c r="A68" s="251"/>
      <c r="B68" s="23" t="s">
        <v>24</v>
      </c>
      <c r="C68" s="34"/>
      <c r="D68" s="34"/>
      <c r="E68" s="34"/>
      <c r="F68" s="23"/>
      <c r="G68" s="23"/>
      <c r="H68" s="23"/>
      <c r="I68" s="23"/>
      <c r="J68" s="34">
        <f>Primaria!U68</f>
        <v>17</v>
      </c>
      <c r="K68" s="34">
        <f>Bachillerato!W68</f>
        <v>16</v>
      </c>
      <c r="L68" s="34">
        <f>Bachillerato!X68</f>
        <v>17</v>
      </c>
      <c r="M68" s="34">
        <f>Bachillerato!Y68</f>
        <v>42</v>
      </c>
      <c r="N68" s="34">
        <f>Bachillerato!Z68</f>
        <v>27</v>
      </c>
      <c r="O68" s="34">
        <f>Bachillerato!AA68</f>
        <v>28</v>
      </c>
      <c r="P68" s="34">
        <f>Bachillerato!AB68</f>
        <v>13</v>
      </c>
      <c r="Q68" s="34">
        <f t="shared" si="13"/>
        <v>0</v>
      </c>
      <c r="R68" s="34">
        <f t="shared" si="14"/>
        <v>17</v>
      </c>
      <c r="S68" s="34">
        <f t="shared" si="15"/>
        <v>143</v>
      </c>
      <c r="T68" s="34">
        <f t="shared" si="16"/>
        <v>160</v>
      </c>
    </row>
    <row r="69" spans="1:20">
      <c r="A69" s="251"/>
      <c r="B69" s="23" t="s">
        <v>34</v>
      </c>
      <c r="C69" s="34"/>
      <c r="D69" s="34"/>
      <c r="E69" s="34"/>
      <c r="F69" s="23"/>
      <c r="G69" s="23"/>
      <c r="H69" s="23"/>
      <c r="I69" s="23"/>
      <c r="J69" s="34">
        <f>Primaria!U69</f>
        <v>17</v>
      </c>
      <c r="K69" s="34">
        <f>Bachillerato!W69</f>
        <v>17</v>
      </c>
      <c r="L69" s="34">
        <f>Bachillerato!X69</f>
        <v>18</v>
      </c>
      <c r="M69" s="34">
        <f>Bachillerato!Y69</f>
        <v>42</v>
      </c>
      <c r="N69" s="34">
        <f>Bachillerato!Z69</f>
        <v>28</v>
      </c>
      <c r="O69" s="34">
        <f>Bachillerato!AA69</f>
        <v>30</v>
      </c>
      <c r="P69" s="34">
        <f>Bachillerato!AB69</f>
        <v>13</v>
      </c>
      <c r="Q69" s="34">
        <f t="shared" si="13"/>
        <v>0</v>
      </c>
      <c r="R69" s="34">
        <f t="shared" si="14"/>
        <v>17</v>
      </c>
      <c r="S69" s="34">
        <f t="shared" si="15"/>
        <v>148</v>
      </c>
      <c r="T69" s="34">
        <f t="shared" si="16"/>
        <v>165</v>
      </c>
    </row>
    <row r="70" spans="1:20">
      <c r="A70" s="251"/>
      <c r="B70" s="23" t="s">
        <v>38</v>
      </c>
      <c r="C70" s="34"/>
      <c r="D70" s="34"/>
      <c r="E70" s="34"/>
      <c r="F70" s="23"/>
      <c r="G70" s="23"/>
      <c r="H70" s="23"/>
      <c r="I70" s="23"/>
      <c r="J70" s="34">
        <f>Primaria!U70</f>
        <v>18</v>
      </c>
      <c r="K70" s="34">
        <f>Bachillerato!W70</f>
        <v>21</v>
      </c>
      <c r="L70" s="34">
        <f>Bachillerato!X70</f>
        <v>18</v>
      </c>
      <c r="M70" s="34">
        <f>Bachillerato!Y70</f>
        <v>42</v>
      </c>
      <c r="N70" s="34">
        <f>Bachillerato!Z70</f>
        <v>29</v>
      </c>
      <c r="O70" s="34">
        <f>Bachillerato!AA70</f>
        <v>32</v>
      </c>
      <c r="P70" s="34">
        <f>Bachillerato!AB70</f>
        <v>13</v>
      </c>
      <c r="Q70" s="34">
        <f t="shared" si="13"/>
        <v>0</v>
      </c>
      <c r="R70" s="34">
        <f t="shared" si="14"/>
        <v>18</v>
      </c>
      <c r="S70" s="34">
        <f t="shared" si="15"/>
        <v>155</v>
      </c>
      <c r="T70" s="34">
        <f t="shared" si="16"/>
        <v>173</v>
      </c>
    </row>
    <row r="71" spans="1:20">
      <c r="A71" s="251"/>
      <c r="B71" s="23" t="s">
        <v>47</v>
      </c>
      <c r="C71" s="34"/>
      <c r="D71" s="34"/>
      <c r="E71" s="34"/>
      <c r="F71" s="23"/>
      <c r="G71" s="23"/>
      <c r="H71" s="23"/>
      <c r="I71" s="23"/>
      <c r="J71" s="34">
        <f>Primaria!U71</f>
        <v>18</v>
      </c>
      <c r="K71" s="34">
        <f>Bachillerato!W71</f>
        <v>21</v>
      </c>
      <c r="L71" s="34">
        <f>Bachillerato!X71</f>
        <v>19</v>
      </c>
      <c r="M71" s="34">
        <f>Bachillerato!Y71</f>
        <v>44</v>
      </c>
      <c r="N71" s="34">
        <f>Bachillerato!Z71</f>
        <v>29</v>
      </c>
      <c r="O71" s="34">
        <f>Bachillerato!AA71</f>
        <v>33</v>
      </c>
      <c r="P71" s="34">
        <f>Bachillerato!AB71</f>
        <v>13</v>
      </c>
      <c r="Q71" s="34">
        <f t="shared" si="13"/>
        <v>0</v>
      </c>
      <c r="R71" s="34">
        <f t="shared" si="14"/>
        <v>18</v>
      </c>
      <c r="S71" s="34">
        <f t="shared" si="15"/>
        <v>159</v>
      </c>
      <c r="T71" s="34">
        <f t="shared" si="16"/>
        <v>177</v>
      </c>
    </row>
    <row r="72" spans="1:20">
      <c r="A72" s="251"/>
      <c r="B72" s="23" t="s">
        <v>57</v>
      </c>
      <c r="C72" s="34"/>
      <c r="D72" s="34"/>
      <c r="E72" s="34"/>
      <c r="F72" s="23"/>
      <c r="G72" s="23"/>
      <c r="H72" s="23"/>
      <c r="I72" s="23"/>
      <c r="J72" s="34">
        <f>Primaria!U72</f>
        <v>18</v>
      </c>
      <c r="K72" s="34">
        <f>Bachillerato!W72</f>
        <v>24</v>
      </c>
      <c r="L72" s="34">
        <f>Bachillerato!X72</f>
        <v>19</v>
      </c>
      <c r="M72" s="34">
        <f>Bachillerato!Y72</f>
        <v>44</v>
      </c>
      <c r="N72" s="34">
        <f>Bachillerato!Z72</f>
        <v>30</v>
      </c>
      <c r="O72" s="34">
        <f>Bachillerato!AA72</f>
        <v>34</v>
      </c>
      <c r="P72" s="34">
        <f>Bachillerato!AB72</f>
        <v>13</v>
      </c>
      <c r="Q72" s="34">
        <f t="shared" si="13"/>
        <v>0</v>
      </c>
      <c r="R72" s="34">
        <f t="shared" si="14"/>
        <v>18</v>
      </c>
      <c r="S72" s="34">
        <f t="shared" si="15"/>
        <v>164</v>
      </c>
      <c r="T72" s="34">
        <f t="shared" si="16"/>
        <v>182</v>
      </c>
    </row>
    <row r="73" spans="1:20">
      <c r="A73" s="251"/>
      <c r="B73" s="23" t="s">
        <v>62</v>
      </c>
      <c r="C73" s="34"/>
      <c r="D73" s="34"/>
      <c r="E73" s="34"/>
      <c r="F73" s="23"/>
      <c r="G73" s="23"/>
      <c r="H73" s="23"/>
      <c r="I73" s="23"/>
      <c r="J73" s="34">
        <f>Primaria!U73</f>
        <v>18</v>
      </c>
      <c r="K73" s="34">
        <f>Bachillerato!W73</f>
        <v>25</v>
      </c>
      <c r="L73" s="34">
        <f>Bachillerato!X73</f>
        <v>21</v>
      </c>
      <c r="M73" s="34">
        <f>Bachillerato!Y73</f>
        <v>45</v>
      </c>
      <c r="N73" s="34">
        <f>Bachillerato!Z73</f>
        <v>30</v>
      </c>
      <c r="O73" s="34">
        <f>Bachillerato!AA73</f>
        <v>36</v>
      </c>
      <c r="P73" s="34">
        <f>Bachillerato!AB73</f>
        <v>14</v>
      </c>
      <c r="Q73" s="34">
        <f t="shared" si="13"/>
        <v>0</v>
      </c>
      <c r="R73" s="34">
        <f t="shared" si="14"/>
        <v>18</v>
      </c>
      <c r="S73" s="34">
        <f t="shared" si="15"/>
        <v>171</v>
      </c>
      <c r="T73" s="34">
        <f t="shared" si="16"/>
        <v>189</v>
      </c>
    </row>
    <row r="74" spans="1:20">
      <c r="A74" s="251"/>
      <c r="B74" s="23" t="s">
        <v>68</v>
      </c>
      <c r="C74" s="34"/>
      <c r="D74" s="34"/>
      <c r="E74" s="34"/>
      <c r="F74" s="23"/>
      <c r="G74" s="23"/>
      <c r="H74" s="23"/>
      <c r="I74" s="23"/>
      <c r="J74" s="34">
        <f>Primaria!U74</f>
        <v>20</v>
      </c>
      <c r="K74" s="34">
        <f>Bachillerato!W74</f>
        <v>26</v>
      </c>
      <c r="L74" s="34">
        <f>Bachillerato!X74</f>
        <v>23</v>
      </c>
      <c r="M74" s="34">
        <f>Bachillerato!Y74</f>
        <v>47</v>
      </c>
      <c r="N74" s="34">
        <f>Bachillerato!Z74</f>
        <v>31</v>
      </c>
      <c r="O74" s="34">
        <f>Bachillerato!AA74</f>
        <v>36</v>
      </c>
      <c r="P74" s="34">
        <f>Bachillerato!AB74</f>
        <v>15</v>
      </c>
      <c r="Q74" s="34">
        <f t="shared" si="13"/>
        <v>0</v>
      </c>
      <c r="R74" s="34">
        <f t="shared" si="14"/>
        <v>20</v>
      </c>
      <c r="S74" s="34">
        <f t="shared" si="15"/>
        <v>178</v>
      </c>
      <c r="T74" s="34">
        <f t="shared" si="16"/>
        <v>198</v>
      </c>
    </row>
    <row r="75" spans="1:20">
      <c r="A75" s="251"/>
      <c r="B75" s="23" t="s">
        <v>77</v>
      </c>
      <c r="C75" s="34"/>
      <c r="D75" s="34"/>
      <c r="E75" s="34"/>
      <c r="F75" s="23"/>
      <c r="G75" s="23"/>
      <c r="H75" s="23"/>
      <c r="I75" s="23"/>
      <c r="J75" s="34">
        <f>Primaria!U75</f>
        <v>23</v>
      </c>
      <c r="K75" s="34">
        <f>Bachillerato!W75</f>
        <v>28</v>
      </c>
      <c r="L75" s="34">
        <f>Bachillerato!X75</f>
        <v>26</v>
      </c>
      <c r="M75" s="34">
        <f>Bachillerato!Y75</f>
        <v>47</v>
      </c>
      <c r="N75" s="34">
        <f>Bachillerato!Z75</f>
        <v>32</v>
      </c>
      <c r="O75" s="34">
        <f>Bachillerato!AA75</f>
        <v>37</v>
      </c>
      <c r="P75" s="34">
        <f>Bachillerato!AB75</f>
        <v>16</v>
      </c>
      <c r="Q75" s="34">
        <f t="shared" si="13"/>
        <v>0</v>
      </c>
      <c r="R75" s="34">
        <f t="shared" si="14"/>
        <v>23</v>
      </c>
      <c r="S75" s="34">
        <f t="shared" si="15"/>
        <v>186</v>
      </c>
      <c r="T75" s="34">
        <f t="shared" si="16"/>
        <v>209</v>
      </c>
    </row>
    <row r="76" spans="1:20">
      <c r="A76" s="251"/>
      <c r="B76" s="23" t="s">
        <v>84</v>
      </c>
      <c r="C76" s="34"/>
      <c r="D76" s="34"/>
      <c r="E76" s="34"/>
      <c r="F76" s="23"/>
      <c r="G76" s="23"/>
      <c r="H76" s="23"/>
      <c r="I76" s="23"/>
      <c r="J76" s="34">
        <f>Primaria!U76</f>
        <v>23</v>
      </c>
      <c r="K76" s="34">
        <f>Bachillerato!W76</f>
        <v>29</v>
      </c>
      <c r="L76" s="34">
        <f>Bachillerato!X76</f>
        <v>26</v>
      </c>
      <c r="M76" s="34">
        <f>Bachillerato!Y76</f>
        <v>47</v>
      </c>
      <c r="N76" s="34">
        <f>Bachillerato!Z76</f>
        <v>33</v>
      </c>
      <c r="O76" s="34">
        <f>Bachillerato!AA76</f>
        <v>40</v>
      </c>
      <c r="P76" s="34">
        <f>Bachillerato!AB76</f>
        <v>16</v>
      </c>
      <c r="Q76" s="34">
        <f t="shared" si="13"/>
        <v>0</v>
      </c>
      <c r="R76" s="34">
        <f t="shared" si="14"/>
        <v>23</v>
      </c>
      <c r="S76" s="34">
        <f t="shared" si="15"/>
        <v>191</v>
      </c>
      <c r="T76" s="34">
        <f t="shared" si="16"/>
        <v>214</v>
      </c>
    </row>
    <row r="77" spans="1:20">
      <c r="A77" s="251"/>
      <c r="B77" s="23" t="s">
        <v>87</v>
      </c>
      <c r="C77" s="34"/>
      <c r="D77" s="34"/>
      <c r="E77" s="34"/>
      <c r="F77" s="23"/>
      <c r="G77" s="23"/>
      <c r="H77" s="23"/>
      <c r="I77" s="23"/>
      <c r="J77" s="34">
        <f>Primaria!U77</f>
        <v>24</v>
      </c>
      <c r="K77" s="34">
        <f>Bachillerato!W77</f>
        <v>29</v>
      </c>
      <c r="L77" s="34">
        <f>Bachillerato!X77</f>
        <v>29</v>
      </c>
      <c r="M77" s="34">
        <f>Bachillerato!Y77</f>
        <v>48</v>
      </c>
      <c r="N77" s="34">
        <f>Bachillerato!Z77</f>
        <v>36</v>
      </c>
      <c r="O77" s="34">
        <f>Bachillerato!AA77</f>
        <v>40</v>
      </c>
      <c r="P77" s="34">
        <f>Bachillerato!AB77</f>
        <v>16</v>
      </c>
      <c r="Q77" s="34">
        <f t="shared" si="13"/>
        <v>0</v>
      </c>
      <c r="R77" s="34">
        <f t="shared" si="14"/>
        <v>24</v>
      </c>
      <c r="S77" s="34">
        <f t="shared" si="15"/>
        <v>198</v>
      </c>
      <c r="T77" s="34">
        <f t="shared" si="16"/>
        <v>222</v>
      </c>
    </row>
    <row r="78" spans="1:20">
      <c r="A78" s="251"/>
      <c r="B78" s="23" t="s">
        <v>173</v>
      </c>
      <c r="C78" s="34"/>
      <c r="D78" s="34"/>
      <c r="E78" s="34"/>
      <c r="F78" s="23"/>
      <c r="G78" s="23"/>
      <c r="H78" s="23"/>
      <c r="I78" s="23"/>
      <c r="J78" s="34">
        <f>Primaria!U78</f>
        <v>24</v>
      </c>
      <c r="K78" s="34">
        <f>Bachillerato!W78</f>
        <v>30</v>
      </c>
      <c r="L78" s="34">
        <f>Bachillerato!X78</f>
        <v>30</v>
      </c>
      <c r="M78" s="34">
        <f>Bachillerato!Y78</f>
        <v>49</v>
      </c>
      <c r="N78" s="34">
        <f>Bachillerato!Z78</f>
        <v>37</v>
      </c>
      <c r="O78" s="34">
        <f>Bachillerato!AA78</f>
        <v>42</v>
      </c>
      <c r="P78" s="34">
        <f>Bachillerato!AB78</f>
        <v>16</v>
      </c>
      <c r="Q78" s="34">
        <f t="shared" si="13"/>
        <v>0</v>
      </c>
      <c r="R78" s="34">
        <f t="shared" si="14"/>
        <v>24</v>
      </c>
      <c r="S78" s="34">
        <f t="shared" si="15"/>
        <v>204</v>
      </c>
      <c r="T78" s="34">
        <f t="shared" si="16"/>
        <v>228</v>
      </c>
    </row>
    <row r="79" spans="1:20">
      <c r="J79" s="66">
        <f>J78/J158</f>
        <v>1.6</v>
      </c>
      <c r="K79" s="66">
        <f t="shared" ref="K79:P79" si="17">K78/K158</f>
        <v>1.7647058823529411</v>
      </c>
      <c r="L79" s="66">
        <f t="shared" si="17"/>
        <v>3</v>
      </c>
      <c r="M79" s="66">
        <f t="shared" si="17"/>
        <v>3.0625</v>
      </c>
      <c r="N79" s="66">
        <f t="shared" si="17"/>
        <v>2.6428571428571428</v>
      </c>
      <c r="O79" s="66">
        <f t="shared" si="17"/>
        <v>2.8</v>
      </c>
      <c r="P79" s="66">
        <f t="shared" si="17"/>
        <v>2</v>
      </c>
      <c r="Q79" s="66">
        <f t="shared" ref="Q79" si="18">Q78/Q158</f>
        <v>0</v>
      </c>
      <c r="R79" s="66">
        <f t="shared" ref="R79" si="19">R78/R158</f>
        <v>0.42857142857142855</v>
      </c>
      <c r="S79" s="66">
        <f t="shared" ref="S79" si="20">S78/S158</f>
        <v>2.5499999999999998</v>
      </c>
      <c r="T79" s="66">
        <f t="shared" ref="T79" si="21">T78/T158</f>
        <v>1.4522292993630572</v>
      </c>
    </row>
    <row r="80" spans="1:20"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</row>
    <row r="81" spans="1:20">
      <c r="B81" s="260" t="s">
        <v>1425</v>
      </c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</row>
    <row r="82" spans="1:20">
      <c r="B82" s="22" t="s">
        <v>1421</v>
      </c>
      <c r="C82" s="32" t="s">
        <v>18</v>
      </c>
      <c r="D82" s="32" t="s">
        <v>32</v>
      </c>
      <c r="E82" s="32" t="s">
        <v>15</v>
      </c>
      <c r="F82" s="22" t="s">
        <v>324</v>
      </c>
      <c r="G82" s="22" t="s">
        <v>326</v>
      </c>
      <c r="H82" s="22" t="s">
        <v>321</v>
      </c>
      <c r="I82" s="22" t="s">
        <v>319</v>
      </c>
      <c r="J82" s="22" t="s">
        <v>329</v>
      </c>
      <c r="K82" s="22" t="s">
        <v>760</v>
      </c>
      <c r="L82" s="22" t="s">
        <v>763</v>
      </c>
      <c r="M82" s="22" t="s">
        <v>753</v>
      </c>
      <c r="N82" s="22" t="s">
        <v>757</v>
      </c>
      <c r="O82" s="22" t="s">
        <v>771</v>
      </c>
      <c r="P82" s="22" t="s">
        <v>755</v>
      </c>
      <c r="Q82" s="67" t="s">
        <v>1433</v>
      </c>
      <c r="R82" s="67" t="s">
        <v>1434</v>
      </c>
      <c r="S82" s="67" t="s">
        <v>1435</v>
      </c>
      <c r="T82" s="67" t="s">
        <v>1436</v>
      </c>
    </row>
    <row r="83" spans="1:20">
      <c r="A83" s="251">
        <f>A3</f>
        <v>2023</v>
      </c>
      <c r="B83" s="23" t="s">
        <v>13</v>
      </c>
      <c r="C83" s="34">
        <f>Preescolar!Q43</f>
        <v>0</v>
      </c>
      <c r="D83" s="34">
        <f>Preescolar!R43</f>
        <v>0</v>
      </c>
      <c r="E83" s="34">
        <f>Preescolar!S43</f>
        <v>1</v>
      </c>
      <c r="F83" s="34">
        <f>Primaria!U83</f>
        <v>0</v>
      </c>
      <c r="G83" s="34">
        <f>Primaria!V83</f>
        <v>0</v>
      </c>
      <c r="H83" s="34">
        <f>Primaria!W83</f>
        <v>0</v>
      </c>
      <c r="I83" s="34">
        <f>Primaria!X83</f>
        <v>0</v>
      </c>
      <c r="J83" s="34">
        <f>Primaria!Y83</f>
        <v>0</v>
      </c>
      <c r="K83" s="34">
        <f>Bachillerato!W83</f>
        <v>1</v>
      </c>
      <c r="L83" s="34">
        <f>Bachillerato!X83</f>
        <v>0</v>
      </c>
      <c r="M83" s="34">
        <f>Bachillerato!Y83</f>
        <v>0</v>
      </c>
      <c r="N83" s="34">
        <f>Bachillerato!Z83</f>
        <v>1</v>
      </c>
      <c r="O83" s="34">
        <f>Bachillerato!AA83</f>
        <v>0</v>
      </c>
      <c r="P83" s="34">
        <f>Bachillerato!AB83</f>
        <v>2</v>
      </c>
      <c r="Q83" s="34">
        <f t="shared" ref="Q83:Q106" si="22">SUM(C83:E83)</f>
        <v>1</v>
      </c>
      <c r="R83" s="34">
        <f t="shared" ref="R83:R106" si="23">SUM(F83:J83)</f>
        <v>0</v>
      </c>
      <c r="S83" s="34">
        <f t="shared" ref="S83:S106" si="24">SUM(K83:P83)</f>
        <v>4</v>
      </c>
      <c r="T83" s="34">
        <f t="shared" ref="T83:T106" si="25">SUM(Q83:S83)</f>
        <v>5</v>
      </c>
    </row>
    <row r="84" spans="1:20">
      <c r="A84" s="251"/>
      <c r="B84" s="23" t="s">
        <v>24</v>
      </c>
      <c r="C84" s="34">
        <f>Preescolar!Q44</f>
        <v>0</v>
      </c>
      <c r="D84" s="34">
        <f>Preescolar!R44</f>
        <v>0</v>
      </c>
      <c r="E84" s="34">
        <f>Preescolar!S44</f>
        <v>1</v>
      </c>
      <c r="F84" s="34">
        <f>Primaria!U84</f>
        <v>0</v>
      </c>
      <c r="G84" s="34">
        <f>Primaria!V84</f>
        <v>0</v>
      </c>
      <c r="H84" s="34">
        <f>Primaria!W84</f>
        <v>0</v>
      </c>
      <c r="I84" s="34">
        <f>Primaria!X84</f>
        <v>0</v>
      </c>
      <c r="J84" s="34">
        <f>Primaria!Y84</f>
        <v>0</v>
      </c>
      <c r="K84" s="34">
        <f>Bachillerato!W84</f>
        <v>1</v>
      </c>
      <c r="L84" s="34">
        <f>Bachillerato!X84</f>
        <v>2</v>
      </c>
      <c r="M84" s="34">
        <f>Bachillerato!Y84</f>
        <v>2</v>
      </c>
      <c r="N84" s="34">
        <f>Bachillerato!Z84</f>
        <v>1</v>
      </c>
      <c r="O84" s="34">
        <f>Bachillerato!AA84</f>
        <v>0</v>
      </c>
      <c r="P84" s="34">
        <f>Bachillerato!AB84</f>
        <v>2</v>
      </c>
      <c r="Q84" s="34">
        <f t="shared" si="22"/>
        <v>1</v>
      </c>
      <c r="R84" s="34">
        <f t="shared" si="23"/>
        <v>0</v>
      </c>
      <c r="S84" s="34">
        <f t="shared" si="24"/>
        <v>8</v>
      </c>
      <c r="T84" s="34">
        <f t="shared" si="25"/>
        <v>9</v>
      </c>
    </row>
    <row r="85" spans="1:20">
      <c r="A85" s="251"/>
      <c r="B85" s="23" t="s">
        <v>34</v>
      </c>
      <c r="C85" s="34">
        <f>Preescolar!Q45</f>
        <v>0</v>
      </c>
      <c r="D85" s="34">
        <f>Preescolar!R45</f>
        <v>0</v>
      </c>
      <c r="E85" s="34">
        <f>Preescolar!S45</f>
        <v>1</v>
      </c>
      <c r="F85" s="34">
        <f>Primaria!U85</f>
        <v>0</v>
      </c>
      <c r="G85" s="34">
        <f>Primaria!V85</f>
        <v>0</v>
      </c>
      <c r="H85" s="34">
        <f>Primaria!W85</f>
        <v>0</v>
      </c>
      <c r="I85" s="34">
        <f>Primaria!X85</f>
        <v>0</v>
      </c>
      <c r="J85" s="34">
        <f>Primaria!Y85</f>
        <v>1</v>
      </c>
      <c r="K85" s="34">
        <f>Bachillerato!W85</f>
        <v>3</v>
      </c>
      <c r="L85" s="34">
        <f>Bachillerato!X85</f>
        <v>2</v>
      </c>
      <c r="M85" s="34">
        <f>Bachillerato!Y85</f>
        <v>2</v>
      </c>
      <c r="N85" s="34">
        <f>Bachillerato!Z85</f>
        <v>1</v>
      </c>
      <c r="O85" s="34">
        <f>Bachillerato!AA85</f>
        <v>2</v>
      </c>
      <c r="P85" s="34">
        <f>Bachillerato!AB85</f>
        <v>2</v>
      </c>
      <c r="Q85" s="34">
        <f t="shared" si="22"/>
        <v>1</v>
      </c>
      <c r="R85" s="34">
        <f t="shared" si="23"/>
        <v>1</v>
      </c>
      <c r="S85" s="34">
        <f t="shared" si="24"/>
        <v>12</v>
      </c>
      <c r="T85" s="34">
        <f t="shared" si="25"/>
        <v>14</v>
      </c>
    </row>
    <row r="86" spans="1:20">
      <c r="A86" s="251"/>
      <c r="B86" s="23" t="s">
        <v>38</v>
      </c>
      <c r="C86" s="34">
        <f>Preescolar!Q46</f>
        <v>0</v>
      </c>
      <c r="D86" s="34">
        <f>Preescolar!R46</f>
        <v>0</v>
      </c>
      <c r="E86" s="34">
        <f>Preescolar!S46</f>
        <v>1</v>
      </c>
      <c r="F86" s="34">
        <f>Primaria!U86</f>
        <v>1</v>
      </c>
      <c r="G86" s="34">
        <f>Primaria!V86</f>
        <v>0</v>
      </c>
      <c r="H86" s="34">
        <f>Primaria!W86</f>
        <v>0</v>
      </c>
      <c r="I86" s="34">
        <f>Primaria!X86</f>
        <v>0</v>
      </c>
      <c r="J86" s="34">
        <f>Primaria!Y86</f>
        <v>1</v>
      </c>
      <c r="K86" s="34">
        <f>Bachillerato!W86</f>
        <v>3</v>
      </c>
      <c r="L86" s="34">
        <f>Bachillerato!X86</f>
        <v>2</v>
      </c>
      <c r="M86" s="34">
        <f>Bachillerato!Y86</f>
        <v>2</v>
      </c>
      <c r="N86" s="34">
        <f>Bachillerato!Z86</f>
        <v>1</v>
      </c>
      <c r="O86" s="34">
        <f>Bachillerato!AA86</f>
        <v>3</v>
      </c>
      <c r="P86" s="34">
        <f>Bachillerato!AB86</f>
        <v>2</v>
      </c>
      <c r="Q86" s="34">
        <f t="shared" si="22"/>
        <v>1</v>
      </c>
      <c r="R86" s="34">
        <f t="shared" si="23"/>
        <v>2</v>
      </c>
      <c r="S86" s="34">
        <f t="shared" si="24"/>
        <v>13</v>
      </c>
      <c r="T86" s="34">
        <f t="shared" si="25"/>
        <v>16</v>
      </c>
    </row>
    <row r="87" spans="1:20">
      <c r="A87" s="251"/>
      <c r="B87" s="23" t="s">
        <v>47</v>
      </c>
      <c r="C87" s="34">
        <f>Preescolar!Q47</f>
        <v>0</v>
      </c>
      <c r="D87" s="34">
        <f>Preescolar!R47</f>
        <v>0</v>
      </c>
      <c r="E87" s="34">
        <f>Preescolar!S47</f>
        <v>1</v>
      </c>
      <c r="F87" s="34">
        <f>Primaria!U87</f>
        <v>1</v>
      </c>
      <c r="G87" s="34">
        <f>Primaria!V87</f>
        <v>2</v>
      </c>
      <c r="H87" s="34">
        <f>Primaria!W87</f>
        <v>0</v>
      </c>
      <c r="I87" s="34">
        <f>Primaria!X87</f>
        <v>0</v>
      </c>
      <c r="J87" s="34">
        <f>Primaria!Y87</f>
        <v>1</v>
      </c>
      <c r="K87" s="34">
        <f>Bachillerato!W87</f>
        <v>3</v>
      </c>
      <c r="L87" s="34">
        <f>Bachillerato!X87</f>
        <v>3</v>
      </c>
      <c r="M87" s="34">
        <f>Bachillerato!Y87</f>
        <v>3</v>
      </c>
      <c r="N87" s="34">
        <f>Bachillerato!Z87</f>
        <v>1</v>
      </c>
      <c r="O87" s="34">
        <f>Bachillerato!AA87</f>
        <v>3</v>
      </c>
      <c r="P87" s="34">
        <f>Bachillerato!AB87</f>
        <v>4</v>
      </c>
      <c r="Q87" s="34">
        <f t="shared" si="22"/>
        <v>1</v>
      </c>
      <c r="R87" s="34">
        <f t="shared" si="23"/>
        <v>4</v>
      </c>
      <c r="S87" s="34">
        <f t="shared" si="24"/>
        <v>17</v>
      </c>
      <c r="T87" s="34">
        <f t="shared" si="25"/>
        <v>22</v>
      </c>
    </row>
    <row r="88" spans="1:20">
      <c r="A88" s="251"/>
      <c r="B88" s="23" t="s">
        <v>57</v>
      </c>
      <c r="C88" s="34">
        <f>Preescolar!Q48</f>
        <v>0</v>
      </c>
      <c r="D88" s="34">
        <f>Preescolar!R48</f>
        <v>0</v>
      </c>
      <c r="E88" s="34">
        <f>Preescolar!S48</f>
        <v>1</v>
      </c>
      <c r="F88" s="34">
        <f>Primaria!U88</f>
        <v>1</v>
      </c>
      <c r="G88" s="34">
        <f>Primaria!V88</f>
        <v>2</v>
      </c>
      <c r="H88" s="34">
        <f>Primaria!W88</f>
        <v>1</v>
      </c>
      <c r="I88" s="34">
        <f>Primaria!X88</f>
        <v>0</v>
      </c>
      <c r="J88" s="34">
        <f>Primaria!Y88</f>
        <v>2</v>
      </c>
      <c r="K88" s="34">
        <f>Bachillerato!W88</f>
        <v>4</v>
      </c>
      <c r="L88" s="34">
        <f>Bachillerato!X88</f>
        <v>4</v>
      </c>
      <c r="M88" s="34">
        <f>Bachillerato!Y88</f>
        <v>3</v>
      </c>
      <c r="N88" s="34">
        <f>Bachillerato!Z88</f>
        <v>1</v>
      </c>
      <c r="O88" s="34">
        <f>Bachillerato!AA88</f>
        <v>3</v>
      </c>
      <c r="P88" s="34">
        <f>Bachillerato!AB88</f>
        <v>5</v>
      </c>
      <c r="Q88" s="34">
        <f t="shared" si="22"/>
        <v>1</v>
      </c>
      <c r="R88" s="34">
        <f t="shared" si="23"/>
        <v>6</v>
      </c>
      <c r="S88" s="34">
        <f t="shared" si="24"/>
        <v>20</v>
      </c>
      <c r="T88" s="34">
        <f t="shared" si="25"/>
        <v>27</v>
      </c>
    </row>
    <row r="89" spans="1:20">
      <c r="A89" s="251"/>
      <c r="B89" s="23" t="s">
        <v>62</v>
      </c>
      <c r="C89" s="34">
        <f>Preescolar!Q49</f>
        <v>1</v>
      </c>
      <c r="D89" s="34">
        <f>Preescolar!R49</f>
        <v>1</v>
      </c>
      <c r="E89" s="34">
        <f>Preescolar!S49</f>
        <v>2</v>
      </c>
      <c r="F89" s="34">
        <f>Primaria!U89</f>
        <v>3</v>
      </c>
      <c r="G89" s="34">
        <f>Primaria!V89</f>
        <v>3</v>
      </c>
      <c r="H89" s="34">
        <f>Primaria!W89</f>
        <v>2</v>
      </c>
      <c r="I89" s="34">
        <f>Primaria!X89</f>
        <v>1</v>
      </c>
      <c r="J89" s="34">
        <f>Primaria!Y89</f>
        <v>3</v>
      </c>
      <c r="K89" s="34">
        <f>Bachillerato!W89</f>
        <v>5</v>
      </c>
      <c r="L89" s="34">
        <f>Bachillerato!X89</f>
        <v>5</v>
      </c>
      <c r="M89" s="34">
        <f>Bachillerato!Y89</f>
        <v>6</v>
      </c>
      <c r="N89" s="34">
        <f>Bachillerato!Z89</f>
        <v>3</v>
      </c>
      <c r="O89" s="34">
        <f>Bachillerato!AA89</f>
        <v>3</v>
      </c>
      <c r="P89" s="34">
        <f>Bachillerato!AB89</f>
        <v>5</v>
      </c>
      <c r="Q89" s="34">
        <f t="shared" si="22"/>
        <v>4</v>
      </c>
      <c r="R89" s="34">
        <f t="shared" si="23"/>
        <v>12</v>
      </c>
      <c r="S89" s="34">
        <f t="shared" si="24"/>
        <v>27</v>
      </c>
      <c r="T89" s="34">
        <f t="shared" si="25"/>
        <v>43</v>
      </c>
    </row>
    <row r="90" spans="1:20">
      <c r="A90" s="251"/>
      <c r="B90" s="23" t="s">
        <v>68</v>
      </c>
      <c r="C90" s="34">
        <f>Preescolar!Q50</f>
        <v>1</v>
      </c>
      <c r="D90" s="34">
        <f>Preescolar!R50</f>
        <v>1</v>
      </c>
      <c r="E90" s="34">
        <f>Preescolar!S50</f>
        <v>2</v>
      </c>
      <c r="F90" s="34">
        <f>Primaria!U90</f>
        <v>4</v>
      </c>
      <c r="G90" s="34">
        <f>Primaria!V90</f>
        <v>3</v>
      </c>
      <c r="H90" s="34">
        <f>Primaria!W90</f>
        <v>2</v>
      </c>
      <c r="I90" s="34">
        <f>Primaria!X90</f>
        <v>1</v>
      </c>
      <c r="J90" s="34">
        <f>Primaria!Y90</f>
        <v>3</v>
      </c>
      <c r="K90" s="34">
        <f>Bachillerato!W90</f>
        <v>5</v>
      </c>
      <c r="L90" s="34">
        <f>Bachillerato!X90</f>
        <v>6</v>
      </c>
      <c r="M90" s="34">
        <f>Bachillerato!Y90</f>
        <v>8</v>
      </c>
      <c r="N90" s="34">
        <f>Bachillerato!Z90</f>
        <v>4</v>
      </c>
      <c r="O90" s="34">
        <f>Bachillerato!AA90</f>
        <v>4</v>
      </c>
      <c r="P90" s="34">
        <f>Bachillerato!AB90</f>
        <v>5</v>
      </c>
      <c r="Q90" s="34">
        <f t="shared" si="22"/>
        <v>4</v>
      </c>
      <c r="R90" s="34">
        <f t="shared" si="23"/>
        <v>13</v>
      </c>
      <c r="S90" s="34">
        <f t="shared" si="24"/>
        <v>32</v>
      </c>
      <c r="T90" s="34">
        <f t="shared" si="25"/>
        <v>49</v>
      </c>
    </row>
    <row r="91" spans="1:20">
      <c r="A91" s="251"/>
      <c r="B91" s="23" t="s">
        <v>77</v>
      </c>
      <c r="C91" s="34">
        <f>Preescolar!Q51</f>
        <v>1</v>
      </c>
      <c r="D91" s="34">
        <f>Preescolar!R51</f>
        <v>1</v>
      </c>
      <c r="E91" s="34">
        <f>Preescolar!S51</f>
        <v>2</v>
      </c>
      <c r="F91" s="34">
        <f>Primaria!U91</f>
        <v>4</v>
      </c>
      <c r="G91" s="34">
        <f>Primaria!V91</f>
        <v>3</v>
      </c>
      <c r="H91" s="34">
        <f>Primaria!W91</f>
        <v>3</v>
      </c>
      <c r="I91" s="34">
        <f>Primaria!X91</f>
        <v>3</v>
      </c>
      <c r="J91" s="34">
        <f>Primaria!Y91</f>
        <v>4</v>
      </c>
      <c r="K91" s="34">
        <f>Bachillerato!W91</f>
        <v>6</v>
      </c>
      <c r="L91" s="34">
        <f>Bachillerato!X91</f>
        <v>6</v>
      </c>
      <c r="M91" s="34">
        <f>Bachillerato!Y91</f>
        <v>9</v>
      </c>
      <c r="N91" s="34">
        <f>Bachillerato!Z91</f>
        <v>5</v>
      </c>
      <c r="O91" s="34">
        <f>Bachillerato!AA91</f>
        <v>7</v>
      </c>
      <c r="P91" s="34">
        <f>Bachillerato!AB91</f>
        <v>5</v>
      </c>
      <c r="Q91" s="34">
        <f t="shared" si="22"/>
        <v>4</v>
      </c>
      <c r="R91" s="34">
        <f t="shared" si="23"/>
        <v>17</v>
      </c>
      <c r="S91" s="34">
        <f t="shared" si="24"/>
        <v>38</v>
      </c>
      <c r="T91" s="34">
        <f t="shared" si="25"/>
        <v>59</v>
      </c>
    </row>
    <row r="92" spans="1:20">
      <c r="A92" s="251"/>
      <c r="B92" s="23" t="s">
        <v>84</v>
      </c>
      <c r="C92" s="34">
        <f>Preescolar!Q52</f>
        <v>2</v>
      </c>
      <c r="D92" s="34">
        <f>Preescolar!R52</f>
        <v>1</v>
      </c>
      <c r="E92" s="34">
        <f>Preescolar!S52</f>
        <v>5</v>
      </c>
      <c r="F92" s="34">
        <f>Primaria!U92</f>
        <v>5</v>
      </c>
      <c r="G92" s="34">
        <f>Primaria!V92</f>
        <v>3</v>
      </c>
      <c r="H92" s="34">
        <f>Primaria!W92</f>
        <v>3</v>
      </c>
      <c r="I92" s="34">
        <f>Primaria!X92</f>
        <v>3</v>
      </c>
      <c r="J92" s="34">
        <f>Primaria!Y92</f>
        <v>4</v>
      </c>
      <c r="K92" s="34">
        <f>Bachillerato!W92</f>
        <v>6</v>
      </c>
      <c r="L92" s="34">
        <f>Bachillerato!X92</f>
        <v>7</v>
      </c>
      <c r="M92" s="34">
        <f>Bachillerato!Y92</f>
        <v>9</v>
      </c>
      <c r="N92" s="34">
        <f>Bachillerato!Z92</f>
        <v>6</v>
      </c>
      <c r="O92" s="34">
        <f>Bachillerato!AA92</f>
        <v>8</v>
      </c>
      <c r="P92" s="34">
        <f>Bachillerato!AB92</f>
        <v>5</v>
      </c>
      <c r="Q92" s="34">
        <f t="shared" si="22"/>
        <v>8</v>
      </c>
      <c r="R92" s="34">
        <f t="shared" si="23"/>
        <v>18</v>
      </c>
      <c r="S92" s="34">
        <f t="shared" si="24"/>
        <v>41</v>
      </c>
      <c r="T92" s="34">
        <f t="shared" si="25"/>
        <v>67</v>
      </c>
    </row>
    <row r="93" spans="1:20">
      <c r="A93" s="251"/>
      <c r="B93" s="23" t="s">
        <v>87</v>
      </c>
      <c r="C93" s="34">
        <f>Preescolar!Q53</f>
        <v>2</v>
      </c>
      <c r="D93" s="34">
        <f>Preescolar!R53</f>
        <v>1</v>
      </c>
      <c r="E93" s="34">
        <f>Preescolar!S53</f>
        <v>5</v>
      </c>
      <c r="F93" s="34">
        <f>Primaria!U93</f>
        <v>5</v>
      </c>
      <c r="G93" s="34">
        <f>Primaria!V93</f>
        <v>5</v>
      </c>
      <c r="H93" s="34">
        <f>Primaria!W93</f>
        <v>4</v>
      </c>
      <c r="I93" s="34">
        <f>Primaria!X93</f>
        <v>4</v>
      </c>
      <c r="J93" s="34">
        <f>Primaria!Y93</f>
        <v>7</v>
      </c>
      <c r="K93" s="34">
        <f>Bachillerato!W93</f>
        <v>8</v>
      </c>
      <c r="L93" s="34">
        <f>Bachillerato!X93</f>
        <v>8</v>
      </c>
      <c r="M93" s="34">
        <f>Bachillerato!Y93</f>
        <v>10</v>
      </c>
      <c r="N93" s="34">
        <f>Bachillerato!Z93</f>
        <v>8</v>
      </c>
      <c r="O93" s="34">
        <f>Bachillerato!AA93</f>
        <v>9</v>
      </c>
      <c r="P93" s="34">
        <f>Bachillerato!AB93</f>
        <v>7</v>
      </c>
      <c r="Q93" s="34">
        <f t="shared" si="22"/>
        <v>8</v>
      </c>
      <c r="R93" s="34">
        <f t="shared" si="23"/>
        <v>25</v>
      </c>
      <c r="S93" s="34">
        <f t="shared" si="24"/>
        <v>50</v>
      </c>
      <c r="T93" s="34">
        <f t="shared" si="25"/>
        <v>83</v>
      </c>
    </row>
    <row r="94" spans="1:20">
      <c r="A94" s="251"/>
      <c r="B94" s="23" t="s">
        <v>173</v>
      </c>
      <c r="C94" s="34">
        <f>Preescolar!Q54</f>
        <v>2</v>
      </c>
      <c r="D94" s="34">
        <f>Preescolar!R54</f>
        <v>1</v>
      </c>
      <c r="E94" s="34">
        <f>Preescolar!S54</f>
        <v>5</v>
      </c>
      <c r="F94" s="34">
        <f>Primaria!U94</f>
        <v>5</v>
      </c>
      <c r="G94" s="34">
        <f>Primaria!V94</f>
        <v>5</v>
      </c>
      <c r="H94" s="34">
        <f>Primaria!W94</f>
        <v>4</v>
      </c>
      <c r="I94" s="34">
        <f>Primaria!X94</f>
        <v>4</v>
      </c>
      <c r="J94" s="34">
        <f>Primaria!Y94</f>
        <v>7</v>
      </c>
      <c r="K94" s="34">
        <f>Bachillerato!W94</f>
        <v>8</v>
      </c>
      <c r="L94" s="34">
        <f>Bachillerato!X94</f>
        <v>8</v>
      </c>
      <c r="M94" s="34">
        <f>Bachillerato!Y94</f>
        <v>10</v>
      </c>
      <c r="N94" s="34">
        <f>Bachillerato!Z94</f>
        <v>8</v>
      </c>
      <c r="O94" s="34">
        <f>Bachillerato!AA94</f>
        <v>9</v>
      </c>
      <c r="P94" s="34">
        <f>Bachillerato!AB94</f>
        <v>7</v>
      </c>
      <c r="Q94" s="34">
        <f t="shared" si="22"/>
        <v>8</v>
      </c>
      <c r="R94" s="34">
        <f t="shared" si="23"/>
        <v>25</v>
      </c>
      <c r="S94" s="34">
        <f t="shared" si="24"/>
        <v>50</v>
      </c>
      <c r="T94" s="34">
        <f t="shared" si="25"/>
        <v>83</v>
      </c>
    </row>
    <row r="95" spans="1:20" ht="14.45" customHeight="1">
      <c r="A95" s="251">
        <f>A15</f>
        <v>2024</v>
      </c>
      <c r="B95" s="23" t="s">
        <v>13</v>
      </c>
      <c r="C95" s="34">
        <f>Preescolar!Q55</f>
        <v>2</v>
      </c>
      <c r="D95" s="34">
        <f>Preescolar!R55</f>
        <v>1</v>
      </c>
      <c r="E95" s="34">
        <f>Preescolar!S55</f>
        <v>6</v>
      </c>
      <c r="F95" s="34">
        <f>Primaria!U95</f>
        <v>6</v>
      </c>
      <c r="G95" s="34">
        <f>Primaria!V95</f>
        <v>6</v>
      </c>
      <c r="H95" s="34">
        <f>Primaria!W95</f>
        <v>4</v>
      </c>
      <c r="I95" s="34">
        <f>Primaria!X95</f>
        <v>5</v>
      </c>
      <c r="J95" s="34">
        <f>Primaria!Y95</f>
        <v>7</v>
      </c>
      <c r="K95" s="34">
        <f>Bachillerato!W95</f>
        <v>10</v>
      </c>
      <c r="L95" s="34">
        <f>Bachillerato!X95</f>
        <v>8</v>
      </c>
      <c r="M95" s="34">
        <f>Bachillerato!Y95</f>
        <v>15</v>
      </c>
      <c r="N95" s="34">
        <f>Bachillerato!Z95</f>
        <v>11</v>
      </c>
      <c r="O95" s="34">
        <f>Bachillerato!AA95</f>
        <v>12</v>
      </c>
      <c r="P95" s="34">
        <f>Bachillerato!AB95</f>
        <v>7</v>
      </c>
      <c r="Q95" s="34">
        <f t="shared" si="22"/>
        <v>9</v>
      </c>
      <c r="R95" s="34">
        <f t="shared" si="23"/>
        <v>28</v>
      </c>
      <c r="S95" s="34">
        <f t="shared" si="24"/>
        <v>63</v>
      </c>
      <c r="T95" s="34">
        <f t="shared" si="25"/>
        <v>100</v>
      </c>
    </row>
    <row r="96" spans="1:20">
      <c r="A96" s="251"/>
      <c r="B96" s="23" t="s">
        <v>24</v>
      </c>
      <c r="C96" s="34">
        <f>Preescolar!Q56</f>
        <v>2</v>
      </c>
      <c r="D96" s="34">
        <f>Preescolar!R56</f>
        <v>1</v>
      </c>
      <c r="E96" s="34">
        <f>Preescolar!S56</f>
        <v>6</v>
      </c>
      <c r="F96" s="34">
        <f>Primaria!U96</f>
        <v>7</v>
      </c>
      <c r="G96" s="34">
        <f>Primaria!V96</f>
        <v>6</v>
      </c>
      <c r="H96" s="34">
        <f>Primaria!W96</f>
        <v>4</v>
      </c>
      <c r="I96" s="34">
        <f>Primaria!X96</f>
        <v>5</v>
      </c>
      <c r="J96" s="34">
        <f>Primaria!Y96</f>
        <v>7</v>
      </c>
      <c r="K96" s="34">
        <f>Bachillerato!W96</f>
        <v>10</v>
      </c>
      <c r="L96" s="34">
        <f>Bachillerato!X96</f>
        <v>10</v>
      </c>
      <c r="M96" s="34">
        <f>Bachillerato!Y96</f>
        <v>15</v>
      </c>
      <c r="N96" s="34">
        <f>Bachillerato!Z96</f>
        <v>11</v>
      </c>
      <c r="O96" s="34">
        <f>Bachillerato!AA96</f>
        <v>13</v>
      </c>
      <c r="P96" s="34">
        <f>Bachillerato!AB96</f>
        <v>8</v>
      </c>
      <c r="Q96" s="34">
        <f t="shared" si="22"/>
        <v>9</v>
      </c>
      <c r="R96" s="34">
        <f t="shared" si="23"/>
        <v>29</v>
      </c>
      <c r="S96" s="34">
        <f t="shared" si="24"/>
        <v>67</v>
      </c>
      <c r="T96" s="34">
        <f t="shared" si="25"/>
        <v>105</v>
      </c>
    </row>
    <row r="97" spans="1:20">
      <c r="A97" s="251"/>
      <c r="B97" s="23" t="s">
        <v>34</v>
      </c>
      <c r="C97" s="34">
        <f>Preescolar!Q57</f>
        <v>2</v>
      </c>
      <c r="D97" s="34">
        <f>Preescolar!R57</f>
        <v>1</v>
      </c>
      <c r="E97" s="34">
        <f>Preescolar!S57</f>
        <v>6</v>
      </c>
      <c r="F97" s="34">
        <f>Primaria!U97</f>
        <v>7</v>
      </c>
      <c r="G97" s="34">
        <f>Primaria!V97</f>
        <v>6</v>
      </c>
      <c r="H97" s="34">
        <f>Primaria!W97</f>
        <v>4</v>
      </c>
      <c r="I97" s="34">
        <f>Primaria!X97</f>
        <v>5</v>
      </c>
      <c r="J97" s="34">
        <f>Primaria!Y97</f>
        <v>7</v>
      </c>
      <c r="K97" s="34">
        <f>Bachillerato!W97</f>
        <v>10</v>
      </c>
      <c r="L97" s="34">
        <f>Bachillerato!X97</f>
        <v>10</v>
      </c>
      <c r="M97" s="34">
        <f>Bachillerato!Y97</f>
        <v>16</v>
      </c>
      <c r="N97" s="34">
        <f>Bachillerato!Z97</f>
        <v>11</v>
      </c>
      <c r="O97" s="34">
        <f>Bachillerato!AA97</f>
        <v>13</v>
      </c>
      <c r="P97" s="34">
        <f>Bachillerato!AB97</f>
        <v>8</v>
      </c>
      <c r="Q97" s="34">
        <f t="shared" si="22"/>
        <v>9</v>
      </c>
      <c r="R97" s="34">
        <f t="shared" si="23"/>
        <v>29</v>
      </c>
      <c r="S97" s="34">
        <f t="shared" si="24"/>
        <v>68</v>
      </c>
      <c r="T97" s="34">
        <f t="shared" si="25"/>
        <v>106</v>
      </c>
    </row>
    <row r="98" spans="1:20">
      <c r="A98" s="251"/>
      <c r="B98" s="23" t="s">
        <v>38</v>
      </c>
      <c r="C98" s="34">
        <f>Preescolar!Q58</f>
        <v>2</v>
      </c>
      <c r="D98" s="34">
        <f>Preescolar!R58</f>
        <v>1</v>
      </c>
      <c r="E98" s="34">
        <f>Preescolar!S58</f>
        <v>6</v>
      </c>
      <c r="F98" s="34">
        <f>Primaria!U98</f>
        <v>7</v>
      </c>
      <c r="G98" s="34">
        <f>Primaria!V98</f>
        <v>6</v>
      </c>
      <c r="H98" s="34">
        <f>Primaria!W98</f>
        <v>6</v>
      </c>
      <c r="I98" s="34">
        <f>Primaria!X98</f>
        <v>5</v>
      </c>
      <c r="J98" s="34">
        <f>Primaria!Y98</f>
        <v>8</v>
      </c>
      <c r="K98" s="34">
        <f>Bachillerato!W98</f>
        <v>11</v>
      </c>
      <c r="L98" s="34">
        <f>Bachillerato!X98</f>
        <v>10</v>
      </c>
      <c r="M98" s="34">
        <f>Bachillerato!Y98</f>
        <v>16</v>
      </c>
      <c r="N98" s="34">
        <f>Bachillerato!Z98</f>
        <v>11</v>
      </c>
      <c r="O98" s="34">
        <f>Bachillerato!AA98</f>
        <v>15</v>
      </c>
      <c r="P98" s="34">
        <f>Bachillerato!AB98</f>
        <v>8</v>
      </c>
      <c r="Q98" s="34">
        <f t="shared" si="22"/>
        <v>9</v>
      </c>
      <c r="R98" s="34">
        <f t="shared" si="23"/>
        <v>32</v>
      </c>
      <c r="S98" s="34">
        <f t="shared" si="24"/>
        <v>71</v>
      </c>
      <c r="T98" s="34">
        <f t="shared" si="25"/>
        <v>112</v>
      </c>
    </row>
    <row r="99" spans="1:20">
      <c r="A99" s="251"/>
      <c r="B99" s="23" t="s">
        <v>47</v>
      </c>
      <c r="C99" s="34">
        <f>Preescolar!Q59</f>
        <v>2</v>
      </c>
      <c r="D99" s="34">
        <f>Preescolar!R59</f>
        <v>1</v>
      </c>
      <c r="E99" s="34">
        <f>Preescolar!S59</f>
        <v>6</v>
      </c>
      <c r="F99" s="34">
        <f>Primaria!U99</f>
        <v>7</v>
      </c>
      <c r="G99" s="34">
        <f>Primaria!V99</f>
        <v>7</v>
      </c>
      <c r="H99" s="34">
        <f>Primaria!W99</f>
        <v>6</v>
      </c>
      <c r="I99" s="34">
        <f>Primaria!X99</f>
        <v>5</v>
      </c>
      <c r="J99" s="34">
        <f>Primaria!Y99</f>
        <v>8</v>
      </c>
      <c r="K99" s="34">
        <f>Bachillerato!W99</f>
        <v>11</v>
      </c>
      <c r="L99" s="34">
        <f>Bachillerato!X99</f>
        <v>10</v>
      </c>
      <c r="M99" s="34">
        <f>Bachillerato!Y99</f>
        <v>17</v>
      </c>
      <c r="N99" s="34">
        <f>Bachillerato!Z99</f>
        <v>11</v>
      </c>
      <c r="O99" s="34">
        <f>Bachillerato!AA99</f>
        <v>16</v>
      </c>
      <c r="P99" s="34">
        <f>Bachillerato!AB99</f>
        <v>9</v>
      </c>
      <c r="Q99" s="34">
        <f t="shared" si="22"/>
        <v>9</v>
      </c>
      <c r="R99" s="34">
        <f t="shared" si="23"/>
        <v>33</v>
      </c>
      <c r="S99" s="34">
        <f t="shared" si="24"/>
        <v>74</v>
      </c>
      <c r="T99" s="34">
        <f t="shared" si="25"/>
        <v>116</v>
      </c>
    </row>
    <row r="100" spans="1:20">
      <c r="A100" s="251"/>
      <c r="B100" s="23" t="s">
        <v>57</v>
      </c>
      <c r="C100" s="34">
        <f>Preescolar!Q60</f>
        <v>2</v>
      </c>
      <c r="D100" s="34">
        <f>Preescolar!R60</f>
        <v>1</v>
      </c>
      <c r="E100" s="34">
        <f>Preescolar!S60</f>
        <v>6</v>
      </c>
      <c r="F100" s="34">
        <f>Primaria!U100</f>
        <v>7</v>
      </c>
      <c r="G100" s="34">
        <f>Primaria!V100</f>
        <v>7</v>
      </c>
      <c r="H100" s="34">
        <f>Primaria!W100</f>
        <v>6</v>
      </c>
      <c r="I100" s="34">
        <f>Primaria!X100</f>
        <v>5</v>
      </c>
      <c r="J100" s="34">
        <f>Primaria!Y100</f>
        <v>8</v>
      </c>
      <c r="K100" s="34">
        <f>Bachillerato!W100</f>
        <v>11</v>
      </c>
      <c r="L100" s="34">
        <f>Bachillerato!X100</f>
        <v>10</v>
      </c>
      <c r="M100" s="34">
        <f>Bachillerato!Y100</f>
        <v>17</v>
      </c>
      <c r="N100" s="34">
        <f>Bachillerato!Z100</f>
        <v>11</v>
      </c>
      <c r="O100" s="34">
        <f>Bachillerato!AA100</f>
        <v>17</v>
      </c>
      <c r="P100" s="34">
        <f>Bachillerato!AB100</f>
        <v>9</v>
      </c>
      <c r="Q100" s="34">
        <f t="shared" si="22"/>
        <v>9</v>
      </c>
      <c r="R100" s="34">
        <f t="shared" si="23"/>
        <v>33</v>
      </c>
      <c r="S100" s="34">
        <f t="shared" si="24"/>
        <v>75</v>
      </c>
      <c r="T100" s="34">
        <f t="shared" si="25"/>
        <v>117</v>
      </c>
    </row>
    <row r="101" spans="1:20">
      <c r="A101" s="251"/>
      <c r="B101" s="23" t="s">
        <v>62</v>
      </c>
      <c r="C101" s="34">
        <f>Preescolar!Q61</f>
        <v>2</v>
      </c>
      <c r="D101" s="34">
        <f>Preescolar!R61</f>
        <v>2</v>
      </c>
      <c r="E101" s="34">
        <f>Preescolar!S61</f>
        <v>7</v>
      </c>
      <c r="F101" s="34">
        <f>Primaria!U101</f>
        <v>8</v>
      </c>
      <c r="G101" s="34">
        <f>Primaria!V101</f>
        <v>10</v>
      </c>
      <c r="H101" s="34">
        <f>Primaria!W101</f>
        <v>7</v>
      </c>
      <c r="I101" s="34">
        <f>Primaria!X101</f>
        <v>7</v>
      </c>
      <c r="J101" s="34">
        <f>Primaria!Y101</f>
        <v>9</v>
      </c>
      <c r="K101" s="34">
        <f>Bachillerato!W101</f>
        <v>11</v>
      </c>
      <c r="L101" s="34">
        <f>Bachillerato!X101</f>
        <v>10</v>
      </c>
      <c r="M101" s="34">
        <f>Bachillerato!Y101</f>
        <v>20</v>
      </c>
      <c r="N101" s="34">
        <f>Bachillerato!Z101</f>
        <v>11</v>
      </c>
      <c r="O101" s="34">
        <f>Bachillerato!AA101</f>
        <v>17</v>
      </c>
      <c r="P101" s="34">
        <f>Bachillerato!AB101</f>
        <v>9</v>
      </c>
      <c r="Q101" s="34">
        <f t="shared" si="22"/>
        <v>11</v>
      </c>
      <c r="R101" s="34">
        <f t="shared" si="23"/>
        <v>41</v>
      </c>
      <c r="S101" s="34">
        <f t="shared" si="24"/>
        <v>78</v>
      </c>
      <c r="T101" s="34">
        <f t="shared" si="25"/>
        <v>130</v>
      </c>
    </row>
    <row r="102" spans="1:20">
      <c r="A102" s="251"/>
      <c r="B102" s="23" t="s">
        <v>68</v>
      </c>
      <c r="C102" s="34">
        <f>Preescolar!Q62</f>
        <v>2</v>
      </c>
      <c r="D102" s="34">
        <f>Preescolar!R62</f>
        <v>3</v>
      </c>
      <c r="E102" s="34">
        <f>Preescolar!S62</f>
        <v>7</v>
      </c>
      <c r="F102" s="34">
        <f>Primaria!U102</f>
        <v>8</v>
      </c>
      <c r="G102" s="34">
        <f>Primaria!V102</f>
        <v>10</v>
      </c>
      <c r="H102" s="34">
        <f>Primaria!W102</f>
        <v>7</v>
      </c>
      <c r="I102" s="34">
        <f>Primaria!X102</f>
        <v>7</v>
      </c>
      <c r="J102" s="34">
        <f>Primaria!Y102</f>
        <v>9</v>
      </c>
      <c r="K102" s="34">
        <f>Bachillerato!W102</f>
        <v>12</v>
      </c>
      <c r="L102" s="34">
        <f>Bachillerato!X102</f>
        <v>10</v>
      </c>
      <c r="M102" s="34">
        <f>Bachillerato!Y102</f>
        <v>21</v>
      </c>
      <c r="N102" s="34">
        <f>Bachillerato!Z102</f>
        <v>13</v>
      </c>
      <c r="O102" s="34">
        <f>Bachillerato!AA102</f>
        <v>17</v>
      </c>
      <c r="P102" s="34">
        <f>Bachillerato!AB102</f>
        <v>9</v>
      </c>
      <c r="Q102" s="34">
        <f t="shared" si="22"/>
        <v>12</v>
      </c>
      <c r="R102" s="34">
        <f t="shared" si="23"/>
        <v>41</v>
      </c>
      <c r="S102" s="34">
        <f t="shared" si="24"/>
        <v>82</v>
      </c>
      <c r="T102" s="34">
        <f t="shared" si="25"/>
        <v>135</v>
      </c>
    </row>
    <row r="103" spans="1:20">
      <c r="A103" s="251"/>
      <c r="B103" s="23" t="s">
        <v>77</v>
      </c>
      <c r="C103" s="34">
        <f>Preescolar!Q63</f>
        <v>2</v>
      </c>
      <c r="D103" s="34">
        <f>Preescolar!R63</f>
        <v>3</v>
      </c>
      <c r="E103" s="34">
        <f>Preescolar!S63</f>
        <v>7</v>
      </c>
      <c r="F103" s="34">
        <f>Primaria!U103</f>
        <v>8</v>
      </c>
      <c r="G103" s="34">
        <f>Primaria!V103</f>
        <v>10</v>
      </c>
      <c r="H103" s="34">
        <f>Primaria!W103</f>
        <v>7</v>
      </c>
      <c r="I103" s="34">
        <f>Primaria!X103</f>
        <v>7</v>
      </c>
      <c r="J103" s="34">
        <f>Primaria!Y103</f>
        <v>11</v>
      </c>
      <c r="K103" s="34">
        <f>Bachillerato!W103</f>
        <v>12</v>
      </c>
      <c r="L103" s="34">
        <f>Bachillerato!X103</f>
        <v>10</v>
      </c>
      <c r="M103" s="34">
        <f>Bachillerato!Y103</f>
        <v>22</v>
      </c>
      <c r="N103" s="34">
        <f>Bachillerato!Z103</f>
        <v>13</v>
      </c>
      <c r="O103" s="34">
        <f>Bachillerato!AA103</f>
        <v>18</v>
      </c>
      <c r="P103" s="34">
        <f>Bachillerato!AB103</f>
        <v>9</v>
      </c>
      <c r="Q103" s="34">
        <f t="shared" si="22"/>
        <v>12</v>
      </c>
      <c r="R103" s="34">
        <f t="shared" si="23"/>
        <v>43</v>
      </c>
      <c r="S103" s="34">
        <f t="shared" si="24"/>
        <v>84</v>
      </c>
      <c r="T103" s="34">
        <f t="shared" si="25"/>
        <v>139</v>
      </c>
    </row>
    <row r="104" spans="1:20">
      <c r="A104" s="251"/>
      <c r="B104" s="23" t="s">
        <v>84</v>
      </c>
      <c r="C104" s="34">
        <f>Preescolar!Q64</f>
        <v>2</v>
      </c>
      <c r="D104" s="34">
        <f>Preescolar!R64</f>
        <v>4</v>
      </c>
      <c r="E104" s="34">
        <f>Preescolar!S64</f>
        <v>7</v>
      </c>
      <c r="F104" s="34">
        <f>Primaria!U104</f>
        <v>8</v>
      </c>
      <c r="G104" s="34">
        <f>Primaria!V104</f>
        <v>11</v>
      </c>
      <c r="H104" s="34">
        <f>Primaria!W104</f>
        <v>8</v>
      </c>
      <c r="I104" s="34">
        <f>Primaria!X104</f>
        <v>7</v>
      </c>
      <c r="J104" s="34">
        <f>Primaria!Y104</f>
        <v>12</v>
      </c>
      <c r="K104" s="34">
        <f>Bachillerato!W104</f>
        <v>12</v>
      </c>
      <c r="L104" s="34">
        <f>Bachillerato!X104</f>
        <v>11</v>
      </c>
      <c r="M104" s="34">
        <f>Bachillerato!Y104</f>
        <v>22</v>
      </c>
      <c r="N104" s="34">
        <f>Bachillerato!Z104</f>
        <v>13</v>
      </c>
      <c r="O104" s="34">
        <f>Bachillerato!AA104</f>
        <v>18</v>
      </c>
      <c r="P104" s="34">
        <f>Bachillerato!AB104</f>
        <v>9</v>
      </c>
      <c r="Q104" s="34">
        <f t="shared" si="22"/>
        <v>13</v>
      </c>
      <c r="R104" s="34">
        <f t="shared" si="23"/>
        <v>46</v>
      </c>
      <c r="S104" s="34">
        <f t="shared" si="24"/>
        <v>85</v>
      </c>
      <c r="T104" s="34">
        <f t="shared" si="25"/>
        <v>144</v>
      </c>
    </row>
    <row r="105" spans="1:20">
      <c r="A105" s="251"/>
      <c r="B105" s="23" t="s">
        <v>87</v>
      </c>
      <c r="C105" s="34">
        <f>Preescolar!Q65</f>
        <v>4</v>
      </c>
      <c r="D105" s="34">
        <f>Preescolar!R65</f>
        <v>4</v>
      </c>
      <c r="E105" s="34">
        <f>Preescolar!S65</f>
        <v>7</v>
      </c>
      <c r="F105" s="34">
        <f>Primaria!U105</f>
        <v>8</v>
      </c>
      <c r="G105" s="34">
        <f>Primaria!V105</f>
        <v>11</v>
      </c>
      <c r="H105" s="34">
        <f>Primaria!W105</f>
        <v>10</v>
      </c>
      <c r="I105" s="34">
        <f>Primaria!X105</f>
        <v>8</v>
      </c>
      <c r="J105" s="34">
        <f>Primaria!Y105</f>
        <v>12</v>
      </c>
      <c r="K105" s="34">
        <f>Bachillerato!W105</f>
        <v>13</v>
      </c>
      <c r="L105" s="34">
        <f>Bachillerato!X105</f>
        <v>11</v>
      </c>
      <c r="M105" s="34">
        <f>Bachillerato!Y105</f>
        <v>26</v>
      </c>
      <c r="N105" s="34">
        <f>Bachillerato!Z105</f>
        <v>15</v>
      </c>
      <c r="O105" s="34">
        <f>Bachillerato!AA105</f>
        <v>18</v>
      </c>
      <c r="P105" s="34">
        <f>Bachillerato!AB105</f>
        <v>9</v>
      </c>
      <c r="Q105" s="34">
        <f t="shared" si="22"/>
        <v>15</v>
      </c>
      <c r="R105" s="34">
        <f t="shared" si="23"/>
        <v>49</v>
      </c>
      <c r="S105" s="34">
        <f t="shared" si="24"/>
        <v>92</v>
      </c>
      <c r="T105" s="34">
        <f t="shared" si="25"/>
        <v>156</v>
      </c>
    </row>
    <row r="106" spans="1:20">
      <c r="A106" s="251"/>
      <c r="B106" s="23" t="s">
        <v>173</v>
      </c>
      <c r="C106" s="34">
        <f>Preescolar!Q66</f>
        <v>4</v>
      </c>
      <c r="D106" s="34">
        <f>Preescolar!R66</f>
        <v>4</v>
      </c>
      <c r="E106" s="34">
        <f>Preescolar!S66</f>
        <v>7</v>
      </c>
      <c r="F106" s="34">
        <f>Primaria!U106</f>
        <v>8</v>
      </c>
      <c r="G106" s="34">
        <f>Primaria!V106</f>
        <v>11</v>
      </c>
      <c r="H106" s="34">
        <f>Primaria!W106</f>
        <v>10</v>
      </c>
      <c r="I106" s="34">
        <f>Primaria!X106</f>
        <v>8</v>
      </c>
      <c r="J106" s="34">
        <f>Primaria!Y106</f>
        <v>12</v>
      </c>
      <c r="K106" s="34">
        <f>Bachillerato!W106</f>
        <v>13</v>
      </c>
      <c r="L106" s="34">
        <f>Bachillerato!X106</f>
        <v>11</v>
      </c>
      <c r="M106" s="34">
        <f>Bachillerato!Y106</f>
        <v>27</v>
      </c>
      <c r="N106" s="34">
        <f>Bachillerato!Z106</f>
        <v>15</v>
      </c>
      <c r="O106" s="34">
        <f>Bachillerato!AA106</f>
        <v>18</v>
      </c>
      <c r="P106" s="34">
        <f>Bachillerato!AB106</f>
        <v>9</v>
      </c>
      <c r="Q106" s="34">
        <f t="shared" si="22"/>
        <v>15</v>
      </c>
      <c r="R106" s="34">
        <f t="shared" si="23"/>
        <v>49</v>
      </c>
      <c r="S106" s="34">
        <f t="shared" si="24"/>
        <v>93</v>
      </c>
      <c r="T106" s="34">
        <f t="shared" si="25"/>
        <v>157</v>
      </c>
    </row>
    <row r="107" spans="1:20" ht="14.45" customHeight="1">
      <c r="A107" s="251">
        <f>A27</f>
        <v>2025</v>
      </c>
      <c r="B107" s="23" t="s">
        <v>13</v>
      </c>
      <c r="C107" s="34">
        <f>Preescolar!Q67</f>
        <v>5</v>
      </c>
      <c r="D107" s="34">
        <f>Preescolar!R67</f>
        <v>5</v>
      </c>
      <c r="E107" s="34">
        <f>Preescolar!S67</f>
        <v>10</v>
      </c>
      <c r="F107" s="34">
        <f>Primaria!U107</f>
        <v>9</v>
      </c>
      <c r="G107" s="34">
        <f>Primaria!V107</f>
        <v>12</v>
      </c>
      <c r="H107" s="34">
        <f>Primaria!W107</f>
        <v>12</v>
      </c>
      <c r="I107" s="34">
        <f>Primaria!X107</f>
        <v>8</v>
      </c>
      <c r="J107" s="34">
        <f>Primaria!Y107</f>
        <v>14</v>
      </c>
      <c r="K107" s="34">
        <f>Bachillerato!W107</f>
        <v>14</v>
      </c>
      <c r="L107" s="34">
        <f>Bachillerato!X107</f>
        <v>12</v>
      </c>
      <c r="M107" s="34">
        <f>Bachillerato!Y107</f>
        <v>27</v>
      </c>
      <c r="N107" s="34">
        <f>Bachillerato!Z107</f>
        <v>16</v>
      </c>
      <c r="O107" s="34">
        <f>Bachillerato!AA107</f>
        <v>19</v>
      </c>
      <c r="P107" s="34">
        <f>Bachillerato!AB107</f>
        <v>9</v>
      </c>
      <c r="Q107" s="34">
        <f t="shared" ref="Q107:Q118" si="26">SUM(C107:E107)</f>
        <v>20</v>
      </c>
      <c r="R107" s="34">
        <f t="shared" ref="R107:R118" si="27">SUM(F107:J107)</f>
        <v>55</v>
      </c>
      <c r="S107" s="34">
        <f t="shared" ref="S107:S118" si="28">SUM(K107:P107)</f>
        <v>97</v>
      </c>
      <c r="T107" s="34">
        <f t="shared" ref="T107:T118" si="29">SUM(Q107:S107)</f>
        <v>172</v>
      </c>
    </row>
    <row r="108" spans="1:20">
      <c r="A108" s="251"/>
      <c r="B108" s="23" t="s">
        <v>24</v>
      </c>
      <c r="C108" s="34">
        <f>Preescolar!Q68</f>
        <v>5</v>
      </c>
      <c r="D108" s="34">
        <f>Preescolar!R68</f>
        <v>5</v>
      </c>
      <c r="E108" s="34">
        <f>Preescolar!S68</f>
        <v>10</v>
      </c>
      <c r="F108" s="34">
        <f>Primaria!U108</f>
        <v>9</v>
      </c>
      <c r="G108" s="34">
        <f>Primaria!V108</f>
        <v>12</v>
      </c>
      <c r="H108" s="34">
        <f>Primaria!W108</f>
        <v>12</v>
      </c>
      <c r="I108" s="34">
        <f>Primaria!X108</f>
        <v>9</v>
      </c>
      <c r="J108" s="34">
        <f>Primaria!Y108</f>
        <v>15</v>
      </c>
      <c r="K108" s="34">
        <f>Bachillerato!W108</f>
        <v>14</v>
      </c>
      <c r="L108" s="34">
        <f>Bachillerato!X108</f>
        <v>12</v>
      </c>
      <c r="M108" s="34">
        <f>Bachillerato!Y108</f>
        <v>29</v>
      </c>
      <c r="N108" s="34">
        <f>Bachillerato!Z108</f>
        <v>18</v>
      </c>
      <c r="O108" s="34">
        <f>Bachillerato!AA108</f>
        <v>19</v>
      </c>
      <c r="P108" s="34">
        <f>Bachillerato!AB108</f>
        <v>9</v>
      </c>
      <c r="Q108" s="34">
        <f t="shared" si="26"/>
        <v>20</v>
      </c>
      <c r="R108" s="34">
        <f t="shared" si="27"/>
        <v>57</v>
      </c>
      <c r="S108" s="34">
        <f t="shared" si="28"/>
        <v>101</v>
      </c>
      <c r="T108" s="34">
        <f t="shared" si="29"/>
        <v>178</v>
      </c>
    </row>
    <row r="109" spans="1:20">
      <c r="A109" s="251"/>
      <c r="B109" s="23" t="s">
        <v>34</v>
      </c>
      <c r="C109" s="34">
        <f>Preescolar!Q69</f>
        <v>5</v>
      </c>
      <c r="D109" s="34">
        <f>Preescolar!R69</f>
        <v>5</v>
      </c>
      <c r="E109" s="34">
        <f>Preescolar!S69</f>
        <v>10</v>
      </c>
      <c r="F109" s="34">
        <f>Primaria!U109</f>
        <v>9</v>
      </c>
      <c r="G109" s="34">
        <f>Primaria!V109</f>
        <v>12</v>
      </c>
      <c r="H109" s="34">
        <f>Primaria!W109</f>
        <v>13</v>
      </c>
      <c r="I109" s="34">
        <f>Primaria!X109</f>
        <v>11</v>
      </c>
      <c r="J109" s="34">
        <f>Primaria!Y109</f>
        <v>16</v>
      </c>
      <c r="K109" s="34">
        <f>Bachillerato!W109</f>
        <v>15</v>
      </c>
      <c r="L109" s="34">
        <f>Bachillerato!X109</f>
        <v>12</v>
      </c>
      <c r="M109" s="34">
        <f>Bachillerato!Y109</f>
        <v>30</v>
      </c>
      <c r="N109" s="34">
        <f>Bachillerato!Z109</f>
        <v>19</v>
      </c>
      <c r="O109" s="34">
        <f>Bachillerato!AA109</f>
        <v>19</v>
      </c>
      <c r="P109" s="34">
        <f>Bachillerato!AB109</f>
        <v>9</v>
      </c>
      <c r="Q109" s="34">
        <f t="shared" si="26"/>
        <v>20</v>
      </c>
      <c r="R109" s="34">
        <f t="shared" si="27"/>
        <v>61</v>
      </c>
      <c r="S109" s="34">
        <f t="shared" si="28"/>
        <v>104</v>
      </c>
      <c r="T109" s="34">
        <f t="shared" si="29"/>
        <v>185</v>
      </c>
    </row>
    <row r="110" spans="1:20">
      <c r="A110" s="251"/>
      <c r="B110" s="23" t="s">
        <v>38</v>
      </c>
      <c r="C110" s="34">
        <f>Preescolar!Q70</f>
        <v>5</v>
      </c>
      <c r="D110" s="34">
        <f>Preescolar!R70</f>
        <v>6</v>
      </c>
      <c r="E110" s="34">
        <f>Preescolar!S70</f>
        <v>10</v>
      </c>
      <c r="F110" s="34">
        <f>Primaria!U110</f>
        <v>9</v>
      </c>
      <c r="G110" s="34">
        <f>Primaria!V110</f>
        <v>13</v>
      </c>
      <c r="H110" s="34">
        <f>Primaria!W110</f>
        <v>13</v>
      </c>
      <c r="I110" s="34">
        <f>Primaria!X110</f>
        <v>11</v>
      </c>
      <c r="J110" s="34">
        <f>Primaria!Y110</f>
        <v>16</v>
      </c>
      <c r="K110" s="34">
        <f>Bachillerato!W110</f>
        <v>15</v>
      </c>
      <c r="L110" s="34">
        <f>Bachillerato!X110</f>
        <v>12</v>
      </c>
      <c r="M110" s="34">
        <f>Bachillerato!Y110</f>
        <v>30</v>
      </c>
      <c r="N110" s="34">
        <f>Bachillerato!Z110</f>
        <v>20</v>
      </c>
      <c r="O110" s="34">
        <f>Bachillerato!AA110</f>
        <v>21</v>
      </c>
      <c r="P110" s="34">
        <f>Bachillerato!AB110</f>
        <v>9</v>
      </c>
      <c r="Q110" s="34">
        <f t="shared" si="26"/>
        <v>21</v>
      </c>
      <c r="R110" s="34">
        <f t="shared" si="27"/>
        <v>62</v>
      </c>
      <c r="S110" s="34">
        <f t="shared" si="28"/>
        <v>107</v>
      </c>
      <c r="T110" s="34">
        <f t="shared" si="29"/>
        <v>190</v>
      </c>
    </row>
    <row r="111" spans="1:20">
      <c r="A111" s="251"/>
      <c r="B111" s="23" t="s">
        <v>47</v>
      </c>
      <c r="C111" s="34">
        <f>Preescolar!Q71</f>
        <v>5</v>
      </c>
      <c r="D111" s="34">
        <f>Preescolar!R71</f>
        <v>6</v>
      </c>
      <c r="E111" s="34">
        <f>Preescolar!S71</f>
        <v>11</v>
      </c>
      <c r="F111" s="34">
        <f>Primaria!U111</f>
        <v>11</v>
      </c>
      <c r="G111" s="34">
        <f>Primaria!V111</f>
        <v>13</v>
      </c>
      <c r="H111" s="34">
        <f>Primaria!W111</f>
        <v>13</v>
      </c>
      <c r="I111" s="34">
        <f>Primaria!X111</f>
        <v>11</v>
      </c>
      <c r="J111" s="34">
        <f>Primaria!Y111</f>
        <v>16</v>
      </c>
      <c r="K111" s="34">
        <f>Bachillerato!W111</f>
        <v>15</v>
      </c>
      <c r="L111" s="34">
        <f>Bachillerato!X111</f>
        <v>12</v>
      </c>
      <c r="M111" s="34">
        <f>Bachillerato!Y111</f>
        <v>30</v>
      </c>
      <c r="N111" s="34">
        <f>Bachillerato!Z111</f>
        <v>20</v>
      </c>
      <c r="O111" s="34">
        <f>Bachillerato!AA111</f>
        <v>22</v>
      </c>
      <c r="P111" s="34">
        <f>Bachillerato!AB111</f>
        <v>9</v>
      </c>
      <c r="Q111" s="34">
        <f t="shared" si="26"/>
        <v>22</v>
      </c>
      <c r="R111" s="34">
        <f t="shared" si="27"/>
        <v>64</v>
      </c>
      <c r="S111" s="34">
        <f t="shared" si="28"/>
        <v>108</v>
      </c>
      <c r="T111" s="34">
        <f t="shared" si="29"/>
        <v>194</v>
      </c>
    </row>
    <row r="112" spans="1:20">
      <c r="A112" s="251"/>
      <c r="B112" s="23" t="s">
        <v>57</v>
      </c>
      <c r="C112" s="34">
        <f>Preescolar!Q72</f>
        <v>5</v>
      </c>
      <c r="D112" s="34">
        <f>Preescolar!R72</f>
        <v>6</v>
      </c>
      <c r="E112" s="34">
        <f>Preescolar!S72</f>
        <v>11</v>
      </c>
      <c r="F112" s="34">
        <f>Primaria!U112</f>
        <v>11</v>
      </c>
      <c r="G112" s="34">
        <f>Primaria!V112</f>
        <v>13</v>
      </c>
      <c r="H112" s="34">
        <f>Primaria!W112</f>
        <v>13</v>
      </c>
      <c r="I112" s="34">
        <f>Primaria!X112</f>
        <v>11</v>
      </c>
      <c r="J112" s="34">
        <f>Primaria!Y112</f>
        <v>16</v>
      </c>
      <c r="K112" s="34">
        <f>Bachillerato!W112</f>
        <v>17</v>
      </c>
      <c r="L112" s="34">
        <f>Bachillerato!X112</f>
        <v>13</v>
      </c>
      <c r="M112" s="34">
        <f>Bachillerato!Y112</f>
        <v>31</v>
      </c>
      <c r="N112" s="34">
        <f>Bachillerato!Z112</f>
        <v>20</v>
      </c>
      <c r="O112" s="34">
        <f>Bachillerato!AA112</f>
        <v>22</v>
      </c>
      <c r="P112" s="34">
        <f>Bachillerato!AB112</f>
        <v>9</v>
      </c>
      <c r="Q112" s="34">
        <f t="shared" si="26"/>
        <v>22</v>
      </c>
      <c r="R112" s="34">
        <f t="shared" si="27"/>
        <v>64</v>
      </c>
      <c r="S112" s="34">
        <f t="shared" si="28"/>
        <v>112</v>
      </c>
      <c r="T112" s="34">
        <f t="shared" si="29"/>
        <v>198</v>
      </c>
    </row>
    <row r="113" spans="1:21">
      <c r="A113" s="251"/>
      <c r="B113" s="23" t="s">
        <v>62</v>
      </c>
      <c r="C113" s="34">
        <f>Preescolar!Q73</f>
        <v>6</v>
      </c>
      <c r="D113" s="34">
        <f>Preescolar!R73</f>
        <v>7</v>
      </c>
      <c r="E113" s="34">
        <f>Preescolar!S73</f>
        <v>11</v>
      </c>
      <c r="F113" s="34">
        <f>Primaria!U113</f>
        <v>13</v>
      </c>
      <c r="G113" s="34">
        <f>Primaria!V113</f>
        <v>14</v>
      </c>
      <c r="H113" s="34">
        <f>Primaria!W113</f>
        <v>15</v>
      </c>
      <c r="I113" s="34">
        <f>Primaria!X113</f>
        <v>12</v>
      </c>
      <c r="J113" s="34">
        <f>Primaria!Y113</f>
        <v>16</v>
      </c>
      <c r="K113" s="34">
        <f>Bachillerato!W113</f>
        <v>18</v>
      </c>
      <c r="L113" s="34">
        <f>Bachillerato!X113</f>
        <v>15</v>
      </c>
      <c r="M113" s="34">
        <f>Bachillerato!Y113</f>
        <v>31</v>
      </c>
      <c r="N113" s="34">
        <f>Bachillerato!Z113</f>
        <v>20</v>
      </c>
      <c r="O113" s="34">
        <f>Bachillerato!AA113</f>
        <v>24</v>
      </c>
      <c r="P113" s="34">
        <f>Bachillerato!AB113</f>
        <v>9</v>
      </c>
      <c r="Q113" s="34">
        <f t="shared" si="26"/>
        <v>24</v>
      </c>
      <c r="R113" s="34">
        <f t="shared" si="27"/>
        <v>70</v>
      </c>
      <c r="S113" s="34">
        <f t="shared" si="28"/>
        <v>117</v>
      </c>
      <c r="T113" s="34">
        <f t="shared" si="29"/>
        <v>211</v>
      </c>
    </row>
    <row r="114" spans="1:21">
      <c r="A114" s="251"/>
      <c r="B114" s="23" t="s">
        <v>68</v>
      </c>
      <c r="C114" s="34">
        <f>Preescolar!Q74</f>
        <v>6</v>
      </c>
      <c r="D114" s="34">
        <f>Preescolar!R74</f>
        <v>7</v>
      </c>
      <c r="E114" s="34">
        <f>Preescolar!S74</f>
        <v>11</v>
      </c>
      <c r="F114" s="34">
        <f>Primaria!U114</f>
        <v>14</v>
      </c>
      <c r="G114" s="34">
        <f>Primaria!V114</f>
        <v>15</v>
      </c>
      <c r="H114" s="34">
        <f>Primaria!W114</f>
        <v>15</v>
      </c>
      <c r="I114" s="34">
        <f>Primaria!X114</f>
        <v>12</v>
      </c>
      <c r="J114" s="34">
        <f>Primaria!Y114</f>
        <v>17</v>
      </c>
      <c r="K114" s="34">
        <f>Bachillerato!W114</f>
        <v>20</v>
      </c>
      <c r="L114" s="34">
        <f>Bachillerato!X114</f>
        <v>16</v>
      </c>
      <c r="M114" s="34">
        <f>Bachillerato!Y114</f>
        <v>34</v>
      </c>
      <c r="N114" s="34">
        <f>Bachillerato!Z114</f>
        <v>21</v>
      </c>
      <c r="O114" s="34">
        <f>Bachillerato!AA114</f>
        <v>26</v>
      </c>
      <c r="P114" s="34">
        <f>Bachillerato!AB114</f>
        <v>9</v>
      </c>
      <c r="Q114" s="34">
        <f t="shared" si="26"/>
        <v>24</v>
      </c>
      <c r="R114" s="34">
        <f t="shared" si="27"/>
        <v>73</v>
      </c>
      <c r="S114" s="34">
        <f t="shared" si="28"/>
        <v>126</v>
      </c>
      <c r="T114" s="34">
        <f t="shared" si="29"/>
        <v>223</v>
      </c>
    </row>
    <row r="115" spans="1:21">
      <c r="A115" s="251"/>
      <c r="B115" s="23" t="s">
        <v>77</v>
      </c>
      <c r="C115" s="34">
        <f>Preescolar!Q75</f>
        <v>6</v>
      </c>
      <c r="D115" s="34">
        <f>Preescolar!R75</f>
        <v>8</v>
      </c>
      <c r="E115" s="34">
        <f>Preescolar!S75</f>
        <v>12</v>
      </c>
      <c r="F115" s="34">
        <f>Primaria!U115</f>
        <v>14</v>
      </c>
      <c r="G115" s="34">
        <f>Primaria!V115</f>
        <v>15</v>
      </c>
      <c r="H115" s="34">
        <f>Primaria!W115</f>
        <v>16</v>
      </c>
      <c r="I115" s="34">
        <f>Primaria!X115</f>
        <v>12</v>
      </c>
      <c r="J115" s="34">
        <f>Primaria!Y115</f>
        <v>19</v>
      </c>
      <c r="K115" s="34">
        <f>Bachillerato!W115</f>
        <v>22</v>
      </c>
      <c r="L115" s="34">
        <f>Bachillerato!X115</f>
        <v>18</v>
      </c>
      <c r="M115" s="34">
        <f>Bachillerato!Y115</f>
        <v>34</v>
      </c>
      <c r="N115" s="34">
        <f>Bachillerato!Z115</f>
        <v>23</v>
      </c>
      <c r="O115" s="34">
        <f>Bachillerato!AA115</f>
        <v>26</v>
      </c>
      <c r="P115" s="34">
        <f>Bachillerato!AB115</f>
        <v>10</v>
      </c>
      <c r="Q115" s="34">
        <f t="shared" si="26"/>
        <v>26</v>
      </c>
      <c r="R115" s="34">
        <f t="shared" si="27"/>
        <v>76</v>
      </c>
      <c r="S115" s="34">
        <f t="shared" si="28"/>
        <v>133</v>
      </c>
      <c r="T115" s="34">
        <f t="shared" si="29"/>
        <v>235</v>
      </c>
    </row>
    <row r="116" spans="1:21">
      <c r="A116" s="251"/>
      <c r="B116" s="23" t="s">
        <v>84</v>
      </c>
      <c r="C116" s="34">
        <f>Preescolar!Q76</f>
        <v>7</v>
      </c>
      <c r="D116" s="34">
        <f>Preescolar!R76</f>
        <v>9</v>
      </c>
      <c r="E116" s="34">
        <f>Preescolar!S76</f>
        <v>13</v>
      </c>
      <c r="F116" s="34">
        <f>Primaria!U116</f>
        <v>14</v>
      </c>
      <c r="G116" s="34">
        <f>Primaria!V116</f>
        <v>16</v>
      </c>
      <c r="H116" s="34">
        <f>Primaria!W116</f>
        <v>16</v>
      </c>
      <c r="I116" s="34">
        <f>Primaria!X116</f>
        <v>12</v>
      </c>
      <c r="J116" s="34">
        <f>Primaria!Y116</f>
        <v>20</v>
      </c>
      <c r="K116" s="34">
        <f>Bachillerato!W116</f>
        <v>23</v>
      </c>
      <c r="L116" s="34">
        <f>Bachillerato!X116</f>
        <v>19</v>
      </c>
      <c r="M116" s="34">
        <f>Bachillerato!Y116</f>
        <v>34</v>
      </c>
      <c r="N116" s="34">
        <f>Bachillerato!Z116</f>
        <v>23</v>
      </c>
      <c r="O116" s="34">
        <f>Bachillerato!AA116</f>
        <v>27</v>
      </c>
      <c r="P116" s="34">
        <f>Bachillerato!AB116</f>
        <v>11</v>
      </c>
      <c r="Q116" s="34">
        <f t="shared" si="26"/>
        <v>29</v>
      </c>
      <c r="R116" s="34">
        <f t="shared" si="27"/>
        <v>78</v>
      </c>
      <c r="S116" s="34">
        <f t="shared" si="28"/>
        <v>137</v>
      </c>
      <c r="T116" s="34">
        <f t="shared" si="29"/>
        <v>244</v>
      </c>
    </row>
    <row r="117" spans="1:21">
      <c r="A117" s="251"/>
      <c r="B117" s="23" t="s">
        <v>87</v>
      </c>
      <c r="C117" s="34">
        <f>Preescolar!Q77</f>
        <v>7</v>
      </c>
      <c r="D117" s="34">
        <f>Preescolar!R77</f>
        <v>9</v>
      </c>
      <c r="E117" s="34">
        <f>Preescolar!S77</f>
        <v>13</v>
      </c>
      <c r="F117" s="34">
        <f>Primaria!U117</f>
        <v>15</v>
      </c>
      <c r="G117" s="34">
        <f>Primaria!V117</f>
        <v>17</v>
      </c>
      <c r="H117" s="34">
        <f>Primaria!W117</f>
        <v>21</v>
      </c>
      <c r="I117" s="34">
        <f>Primaria!X117</f>
        <v>13</v>
      </c>
      <c r="J117" s="34">
        <f>Primaria!Y117</f>
        <v>21</v>
      </c>
      <c r="K117" s="34">
        <f>Bachillerato!W117</f>
        <v>23</v>
      </c>
      <c r="L117" s="34">
        <f>Bachillerato!X117</f>
        <v>19</v>
      </c>
      <c r="M117" s="34">
        <f>Bachillerato!Y117</f>
        <v>36</v>
      </c>
      <c r="N117" s="34">
        <f>Bachillerato!Z117</f>
        <v>27</v>
      </c>
      <c r="O117" s="34">
        <f>Bachillerato!AA117</f>
        <v>27</v>
      </c>
      <c r="P117" s="34">
        <f>Bachillerato!AB117</f>
        <v>11</v>
      </c>
      <c r="Q117" s="34">
        <f t="shared" si="26"/>
        <v>29</v>
      </c>
      <c r="R117" s="34">
        <f t="shared" si="27"/>
        <v>87</v>
      </c>
      <c r="S117" s="34">
        <f t="shared" si="28"/>
        <v>143</v>
      </c>
      <c r="T117" s="34">
        <f t="shared" si="29"/>
        <v>259</v>
      </c>
    </row>
    <row r="118" spans="1:21">
      <c r="A118" s="251"/>
      <c r="B118" s="23" t="s">
        <v>173</v>
      </c>
      <c r="C118" s="34">
        <f>Preescolar!Q78</f>
        <v>7</v>
      </c>
      <c r="D118" s="34">
        <f>Preescolar!R78</f>
        <v>9</v>
      </c>
      <c r="E118" s="34">
        <f>Preescolar!S78</f>
        <v>13</v>
      </c>
      <c r="F118" s="34">
        <f>Primaria!U118</f>
        <v>15</v>
      </c>
      <c r="G118" s="34">
        <f>Primaria!V118</f>
        <v>17</v>
      </c>
      <c r="H118" s="34">
        <f>Primaria!W118</f>
        <v>21</v>
      </c>
      <c r="I118" s="34">
        <f>Primaria!X118</f>
        <v>13</v>
      </c>
      <c r="J118" s="34">
        <f>Primaria!Y118</f>
        <v>21</v>
      </c>
      <c r="K118" s="34">
        <f>Bachillerato!W118</f>
        <v>23</v>
      </c>
      <c r="L118" s="34">
        <f>Bachillerato!X118</f>
        <v>19</v>
      </c>
      <c r="M118" s="34">
        <f>Bachillerato!Y118</f>
        <v>36</v>
      </c>
      <c r="N118" s="34">
        <f>Bachillerato!Z118</f>
        <v>27</v>
      </c>
      <c r="O118" s="34">
        <f>Bachillerato!AA118</f>
        <v>27</v>
      </c>
      <c r="P118" s="34">
        <f>Bachillerato!AB118</f>
        <v>11</v>
      </c>
      <c r="Q118" s="34">
        <f t="shared" si="26"/>
        <v>29</v>
      </c>
      <c r="R118" s="34">
        <f t="shared" si="27"/>
        <v>87</v>
      </c>
      <c r="S118" s="34">
        <f t="shared" si="28"/>
        <v>143</v>
      </c>
      <c r="T118" s="34">
        <f t="shared" si="29"/>
        <v>259</v>
      </c>
    </row>
    <row r="119" spans="1:21">
      <c r="C119" s="66">
        <f>C118/C158</f>
        <v>1</v>
      </c>
      <c r="D119" s="66">
        <f t="shared" ref="D119:T119" si="30">D118/D158</f>
        <v>1.5</v>
      </c>
      <c r="E119" s="66">
        <f t="shared" si="30"/>
        <v>1.625</v>
      </c>
      <c r="F119" s="66">
        <f t="shared" si="30"/>
        <v>1.5</v>
      </c>
      <c r="G119" s="66">
        <f t="shared" si="30"/>
        <v>1.8888888888888888</v>
      </c>
      <c r="H119" s="66">
        <f t="shared" si="30"/>
        <v>1.5</v>
      </c>
      <c r="I119" s="66">
        <f t="shared" si="30"/>
        <v>1.625</v>
      </c>
      <c r="J119" s="66">
        <f t="shared" si="30"/>
        <v>1.4</v>
      </c>
      <c r="K119" s="66">
        <f t="shared" si="30"/>
        <v>1.3529411764705883</v>
      </c>
      <c r="L119" s="66">
        <f t="shared" si="30"/>
        <v>1.9</v>
      </c>
      <c r="M119" s="66">
        <f t="shared" si="30"/>
        <v>2.25</v>
      </c>
      <c r="N119" s="66">
        <f t="shared" si="30"/>
        <v>1.9285714285714286</v>
      </c>
      <c r="O119" s="66">
        <f t="shared" si="30"/>
        <v>1.8</v>
      </c>
      <c r="P119" s="66">
        <f t="shared" si="30"/>
        <v>1.375</v>
      </c>
      <c r="Q119" s="66">
        <f t="shared" si="30"/>
        <v>1.3809523809523809</v>
      </c>
      <c r="R119" s="66">
        <f t="shared" si="30"/>
        <v>1.5535714285714286</v>
      </c>
      <c r="S119" s="66">
        <f t="shared" si="30"/>
        <v>1.7875000000000001</v>
      </c>
      <c r="T119" s="66">
        <f t="shared" si="30"/>
        <v>1.6496815286624205</v>
      </c>
      <c r="U119" s="68"/>
    </row>
    <row r="120" spans="1:21"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</row>
    <row r="121" spans="1:21">
      <c r="B121" s="260" t="s">
        <v>1428</v>
      </c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</row>
    <row r="122" spans="1:21">
      <c r="B122" s="22" t="s">
        <v>1421</v>
      </c>
      <c r="C122" s="32" t="s">
        <v>18</v>
      </c>
      <c r="D122" s="32" t="s">
        <v>32</v>
      </c>
      <c r="E122" s="32" t="s">
        <v>15</v>
      </c>
      <c r="F122" s="22" t="s">
        <v>324</v>
      </c>
      <c r="G122" s="22" t="s">
        <v>326</v>
      </c>
      <c r="H122" s="22" t="s">
        <v>321</v>
      </c>
      <c r="I122" s="22" t="s">
        <v>319</v>
      </c>
      <c r="J122" s="22" t="s">
        <v>329</v>
      </c>
      <c r="K122" s="22" t="s">
        <v>760</v>
      </c>
      <c r="L122" s="22" t="s">
        <v>763</v>
      </c>
      <c r="M122" s="22" t="s">
        <v>753</v>
      </c>
      <c r="N122" s="22" t="s">
        <v>757</v>
      </c>
      <c r="O122" s="22" t="s">
        <v>771</v>
      </c>
      <c r="P122" s="22" t="s">
        <v>755</v>
      </c>
      <c r="Q122" s="67" t="s">
        <v>1433</v>
      </c>
      <c r="R122" s="67" t="s">
        <v>1434</v>
      </c>
      <c r="S122" s="67" t="s">
        <v>1435</v>
      </c>
      <c r="T122" s="67" t="s">
        <v>1436</v>
      </c>
    </row>
    <row r="123" spans="1:21">
      <c r="A123" s="251">
        <f>A3</f>
        <v>2023</v>
      </c>
      <c r="B123" s="23" t="s">
        <v>13</v>
      </c>
      <c r="C123" s="34">
        <f>Preescolar!Q83</f>
        <v>0</v>
      </c>
      <c r="D123" s="34">
        <f>Preescolar!R83</f>
        <v>0</v>
      </c>
      <c r="E123" s="34">
        <f>Preescolar!S83</f>
        <v>0</v>
      </c>
      <c r="F123" s="34">
        <f>Primaria!U123</f>
        <v>0</v>
      </c>
      <c r="G123" s="34">
        <f>Primaria!V123</f>
        <v>0</v>
      </c>
      <c r="H123" s="34">
        <f>Primaria!W123</f>
        <v>0</v>
      </c>
      <c r="I123" s="34">
        <f>Primaria!X123</f>
        <v>0</v>
      </c>
      <c r="J123" s="34">
        <f>Primaria!Y123</f>
        <v>0</v>
      </c>
      <c r="K123" s="34">
        <f>Bachillerato!W123</f>
        <v>0</v>
      </c>
      <c r="L123" s="34">
        <f>Bachillerato!X123</f>
        <v>0</v>
      </c>
      <c r="M123" s="34">
        <f>Bachillerato!Y123</f>
        <v>0</v>
      </c>
      <c r="N123" s="34">
        <f>Bachillerato!Z123</f>
        <v>0</v>
      </c>
      <c r="O123" s="34">
        <f>Bachillerato!AA123</f>
        <v>0</v>
      </c>
      <c r="P123" s="34">
        <f>Bachillerato!AB123</f>
        <v>0</v>
      </c>
      <c r="Q123" s="34">
        <f t="shared" ref="Q123:Q146" si="31">SUM(C123:E123)</f>
        <v>0</v>
      </c>
      <c r="R123" s="34">
        <f t="shared" ref="R123:R146" si="32">SUM(F123:J123)</f>
        <v>0</v>
      </c>
      <c r="S123" s="34">
        <f t="shared" ref="S123:S146" si="33">SUM(K123:P123)</f>
        <v>0</v>
      </c>
      <c r="T123" s="34">
        <f t="shared" ref="T123:T146" si="34">SUM(Q123:S123)</f>
        <v>0</v>
      </c>
    </row>
    <row r="124" spans="1:21">
      <c r="A124" s="251"/>
      <c r="B124" s="23" t="s">
        <v>24</v>
      </c>
      <c r="C124" s="34">
        <f>Preescolar!Q84</f>
        <v>0</v>
      </c>
      <c r="D124" s="34">
        <f>Preescolar!R84</f>
        <v>0</v>
      </c>
      <c r="E124" s="34">
        <f>Preescolar!S84</f>
        <v>1</v>
      </c>
      <c r="F124" s="34">
        <f>Primaria!U124</f>
        <v>0</v>
      </c>
      <c r="G124" s="34">
        <f>Primaria!V124</f>
        <v>0</v>
      </c>
      <c r="H124" s="34">
        <f>Primaria!W124</f>
        <v>0</v>
      </c>
      <c r="I124" s="34">
        <f>Primaria!X124</f>
        <v>0</v>
      </c>
      <c r="J124" s="34">
        <f>Primaria!Y124</f>
        <v>0</v>
      </c>
      <c r="K124" s="34">
        <f>Bachillerato!W124</f>
        <v>1</v>
      </c>
      <c r="L124" s="34">
        <f>Bachillerato!X124</f>
        <v>1</v>
      </c>
      <c r="M124" s="34">
        <f>Bachillerato!Y124</f>
        <v>0</v>
      </c>
      <c r="N124" s="34">
        <f>Bachillerato!Z124</f>
        <v>0</v>
      </c>
      <c r="O124" s="34">
        <f>Bachillerato!AA124</f>
        <v>0</v>
      </c>
      <c r="P124" s="34">
        <f>Bachillerato!AB124</f>
        <v>1</v>
      </c>
      <c r="Q124" s="34">
        <f t="shared" si="31"/>
        <v>1</v>
      </c>
      <c r="R124" s="34">
        <f t="shared" si="32"/>
        <v>0</v>
      </c>
      <c r="S124" s="34">
        <f t="shared" si="33"/>
        <v>3</v>
      </c>
      <c r="T124" s="34">
        <f t="shared" si="34"/>
        <v>4</v>
      </c>
    </row>
    <row r="125" spans="1:21">
      <c r="A125" s="251"/>
      <c r="B125" s="23" t="s">
        <v>34</v>
      </c>
      <c r="C125" s="34">
        <f>Preescolar!Q85</f>
        <v>0</v>
      </c>
      <c r="D125" s="34">
        <f>Preescolar!R85</f>
        <v>0</v>
      </c>
      <c r="E125" s="34">
        <f>Preescolar!S85</f>
        <v>1</v>
      </c>
      <c r="F125" s="34">
        <f>Primaria!U125</f>
        <v>0</v>
      </c>
      <c r="G125" s="34">
        <f>Primaria!V125</f>
        <v>0</v>
      </c>
      <c r="H125" s="34">
        <f>Primaria!W125</f>
        <v>0</v>
      </c>
      <c r="I125" s="34">
        <f>Primaria!X125</f>
        <v>0</v>
      </c>
      <c r="J125" s="34">
        <f>Primaria!Y125</f>
        <v>0</v>
      </c>
      <c r="K125" s="34">
        <f>Bachillerato!W125</f>
        <v>2</v>
      </c>
      <c r="L125" s="34">
        <f>Bachillerato!X125</f>
        <v>2</v>
      </c>
      <c r="M125" s="34">
        <f>Bachillerato!Y125</f>
        <v>0</v>
      </c>
      <c r="N125" s="34">
        <f>Bachillerato!Z125</f>
        <v>0</v>
      </c>
      <c r="O125" s="34">
        <f>Bachillerato!AA125</f>
        <v>0</v>
      </c>
      <c r="P125" s="34">
        <f>Bachillerato!AB125</f>
        <v>1</v>
      </c>
      <c r="Q125" s="34">
        <f t="shared" si="31"/>
        <v>1</v>
      </c>
      <c r="R125" s="34">
        <f t="shared" si="32"/>
        <v>0</v>
      </c>
      <c r="S125" s="34">
        <f t="shared" si="33"/>
        <v>5</v>
      </c>
      <c r="T125" s="34">
        <f t="shared" si="34"/>
        <v>6</v>
      </c>
    </row>
    <row r="126" spans="1:21">
      <c r="A126" s="251"/>
      <c r="B126" s="23" t="s">
        <v>38</v>
      </c>
      <c r="C126" s="34">
        <f>Preescolar!Q86</f>
        <v>0</v>
      </c>
      <c r="D126" s="34">
        <f>Preescolar!R86</f>
        <v>0</v>
      </c>
      <c r="E126" s="34">
        <f>Preescolar!S86</f>
        <v>1</v>
      </c>
      <c r="F126" s="34">
        <f>Primaria!U126</f>
        <v>0</v>
      </c>
      <c r="G126" s="34">
        <f>Primaria!V126</f>
        <v>0</v>
      </c>
      <c r="H126" s="34">
        <f>Primaria!W126</f>
        <v>0</v>
      </c>
      <c r="I126" s="34">
        <f>Primaria!X126</f>
        <v>0</v>
      </c>
      <c r="J126" s="34">
        <f>Primaria!Y126</f>
        <v>0</v>
      </c>
      <c r="K126" s="34">
        <f>Bachillerato!W126</f>
        <v>2</v>
      </c>
      <c r="L126" s="34">
        <f>Bachillerato!X126</f>
        <v>2</v>
      </c>
      <c r="M126" s="34">
        <f>Bachillerato!Y126</f>
        <v>0</v>
      </c>
      <c r="N126" s="34">
        <f>Bachillerato!Z126</f>
        <v>0</v>
      </c>
      <c r="O126" s="34">
        <f>Bachillerato!AA126</f>
        <v>1</v>
      </c>
      <c r="P126" s="34">
        <f>Bachillerato!AB126</f>
        <v>1</v>
      </c>
      <c r="Q126" s="34">
        <f t="shared" si="31"/>
        <v>1</v>
      </c>
      <c r="R126" s="34">
        <f t="shared" si="32"/>
        <v>0</v>
      </c>
      <c r="S126" s="34">
        <f t="shared" si="33"/>
        <v>6</v>
      </c>
      <c r="T126" s="34">
        <f t="shared" si="34"/>
        <v>7</v>
      </c>
    </row>
    <row r="127" spans="1:21">
      <c r="A127" s="251"/>
      <c r="B127" s="23" t="s">
        <v>47</v>
      </c>
      <c r="C127" s="34">
        <f>Preescolar!Q87</f>
        <v>0</v>
      </c>
      <c r="D127" s="34">
        <f>Preescolar!R87</f>
        <v>0</v>
      </c>
      <c r="E127" s="34">
        <f>Preescolar!S87</f>
        <v>1</v>
      </c>
      <c r="F127" s="34">
        <f>Primaria!U127</f>
        <v>0</v>
      </c>
      <c r="G127" s="34">
        <f>Primaria!V127</f>
        <v>0</v>
      </c>
      <c r="H127" s="34">
        <f>Primaria!W127</f>
        <v>0</v>
      </c>
      <c r="I127" s="34">
        <f>Primaria!X127</f>
        <v>0</v>
      </c>
      <c r="J127" s="34">
        <f>Primaria!Y127</f>
        <v>1</v>
      </c>
      <c r="K127" s="34">
        <f>Bachillerato!W127</f>
        <v>2</v>
      </c>
      <c r="L127" s="34">
        <f>Bachillerato!X127</f>
        <v>2</v>
      </c>
      <c r="M127" s="34">
        <f>Bachillerato!Y127</f>
        <v>0</v>
      </c>
      <c r="N127" s="34">
        <f>Bachillerato!Z127</f>
        <v>0</v>
      </c>
      <c r="O127" s="34">
        <f>Bachillerato!AA127</f>
        <v>2</v>
      </c>
      <c r="P127" s="34">
        <f>Bachillerato!AB127</f>
        <v>2</v>
      </c>
      <c r="Q127" s="34">
        <f t="shared" si="31"/>
        <v>1</v>
      </c>
      <c r="R127" s="34">
        <f t="shared" si="32"/>
        <v>1</v>
      </c>
      <c r="S127" s="34">
        <f t="shared" si="33"/>
        <v>8</v>
      </c>
      <c r="T127" s="34">
        <f t="shared" si="34"/>
        <v>10</v>
      </c>
    </row>
    <row r="128" spans="1:21">
      <c r="A128" s="251"/>
      <c r="B128" s="23" t="s">
        <v>57</v>
      </c>
      <c r="C128" s="34">
        <f>Preescolar!Q88</f>
        <v>0</v>
      </c>
      <c r="D128" s="34">
        <f>Preescolar!R88</f>
        <v>0</v>
      </c>
      <c r="E128" s="34">
        <f>Preescolar!S88</f>
        <v>1</v>
      </c>
      <c r="F128" s="34">
        <f>Primaria!U128</f>
        <v>0</v>
      </c>
      <c r="G128" s="34">
        <f>Primaria!V128</f>
        <v>2</v>
      </c>
      <c r="H128" s="34">
        <f>Primaria!W128</f>
        <v>0</v>
      </c>
      <c r="I128" s="34">
        <f>Primaria!X128</f>
        <v>0</v>
      </c>
      <c r="J128" s="34">
        <f>Primaria!Y128</f>
        <v>1</v>
      </c>
      <c r="K128" s="34">
        <f>Bachillerato!W128</f>
        <v>2</v>
      </c>
      <c r="L128" s="34">
        <f>Bachillerato!X128</f>
        <v>2</v>
      </c>
      <c r="M128" s="34">
        <f>Bachillerato!Y128</f>
        <v>0</v>
      </c>
      <c r="N128" s="34">
        <f>Bachillerato!Z128</f>
        <v>0</v>
      </c>
      <c r="O128" s="34">
        <f>Bachillerato!AA128</f>
        <v>2</v>
      </c>
      <c r="P128" s="34">
        <f>Bachillerato!AB128</f>
        <v>3</v>
      </c>
      <c r="Q128" s="34">
        <f t="shared" si="31"/>
        <v>1</v>
      </c>
      <c r="R128" s="34">
        <f t="shared" si="32"/>
        <v>3</v>
      </c>
      <c r="S128" s="34">
        <f t="shared" si="33"/>
        <v>9</v>
      </c>
      <c r="T128" s="34">
        <f t="shared" si="34"/>
        <v>13</v>
      </c>
    </row>
    <row r="129" spans="1:20">
      <c r="A129" s="251"/>
      <c r="B129" s="23" t="s">
        <v>62</v>
      </c>
      <c r="C129" s="34">
        <f>Preescolar!Q89</f>
        <v>1</v>
      </c>
      <c r="D129" s="34">
        <f>Preescolar!R89</f>
        <v>0</v>
      </c>
      <c r="E129" s="34">
        <f>Preescolar!S89</f>
        <v>2</v>
      </c>
      <c r="F129" s="34">
        <f>Primaria!U129</f>
        <v>0</v>
      </c>
      <c r="G129" s="34">
        <f>Primaria!V129</f>
        <v>2</v>
      </c>
      <c r="H129" s="34">
        <f>Primaria!W129</f>
        <v>1</v>
      </c>
      <c r="I129" s="34">
        <f>Primaria!X129</f>
        <v>0</v>
      </c>
      <c r="J129" s="34">
        <f>Primaria!Y129</f>
        <v>1</v>
      </c>
      <c r="K129" s="34">
        <f>Bachillerato!W129</f>
        <v>2</v>
      </c>
      <c r="L129" s="34">
        <f>Bachillerato!X129</f>
        <v>4</v>
      </c>
      <c r="M129" s="34">
        <f>Bachillerato!Y129</f>
        <v>1</v>
      </c>
      <c r="N129" s="34">
        <f>Bachillerato!Z129</f>
        <v>0</v>
      </c>
      <c r="O129" s="34">
        <f>Bachillerato!AA129</f>
        <v>2</v>
      </c>
      <c r="P129" s="34">
        <f>Bachillerato!AB129</f>
        <v>3</v>
      </c>
      <c r="Q129" s="34">
        <f t="shared" si="31"/>
        <v>3</v>
      </c>
      <c r="R129" s="34">
        <f t="shared" si="32"/>
        <v>4</v>
      </c>
      <c r="S129" s="34">
        <f t="shared" si="33"/>
        <v>12</v>
      </c>
      <c r="T129" s="34">
        <f t="shared" si="34"/>
        <v>19</v>
      </c>
    </row>
    <row r="130" spans="1:20">
      <c r="A130" s="251"/>
      <c r="B130" s="23" t="s">
        <v>68</v>
      </c>
      <c r="C130" s="34">
        <f>Preescolar!Q90</f>
        <v>1</v>
      </c>
      <c r="D130" s="34">
        <f>Preescolar!R90</f>
        <v>1</v>
      </c>
      <c r="E130" s="34">
        <f>Preescolar!S90</f>
        <v>2</v>
      </c>
      <c r="F130" s="34">
        <f>Primaria!U130</f>
        <v>2</v>
      </c>
      <c r="G130" s="34">
        <f>Primaria!V130</f>
        <v>3</v>
      </c>
      <c r="H130" s="34">
        <f>Primaria!W130</f>
        <v>2</v>
      </c>
      <c r="I130" s="34">
        <f>Primaria!X130</f>
        <v>0</v>
      </c>
      <c r="J130" s="34">
        <f>Primaria!Y130</f>
        <v>2</v>
      </c>
      <c r="K130" s="34">
        <f>Bachillerato!W130</f>
        <v>4</v>
      </c>
      <c r="L130" s="34">
        <f>Bachillerato!X130</f>
        <v>5</v>
      </c>
      <c r="M130" s="34">
        <f>Bachillerato!Y130</f>
        <v>2</v>
      </c>
      <c r="N130" s="34">
        <f>Bachillerato!Z130</f>
        <v>1</v>
      </c>
      <c r="O130" s="34">
        <f>Bachillerato!AA130</f>
        <v>2</v>
      </c>
      <c r="P130" s="34">
        <f>Bachillerato!AB130</f>
        <v>4</v>
      </c>
      <c r="Q130" s="34">
        <f t="shared" si="31"/>
        <v>4</v>
      </c>
      <c r="R130" s="34">
        <f t="shared" si="32"/>
        <v>9</v>
      </c>
      <c r="S130" s="34">
        <f t="shared" si="33"/>
        <v>18</v>
      </c>
      <c r="T130" s="34">
        <f t="shared" si="34"/>
        <v>31</v>
      </c>
    </row>
    <row r="131" spans="1:20">
      <c r="A131" s="251"/>
      <c r="B131" s="23" t="s">
        <v>77</v>
      </c>
      <c r="C131" s="34">
        <f>Preescolar!Q91</f>
        <v>1</v>
      </c>
      <c r="D131" s="34">
        <f>Preescolar!R91</f>
        <v>1</v>
      </c>
      <c r="E131" s="34">
        <f>Preescolar!S91</f>
        <v>2</v>
      </c>
      <c r="F131" s="34">
        <f>Primaria!U131</f>
        <v>2</v>
      </c>
      <c r="G131" s="34">
        <f>Primaria!V131</f>
        <v>3</v>
      </c>
      <c r="H131" s="34">
        <f>Primaria!W131</f>
        <v>2</v>
      </c>
      <c r="I131" s="34">
        <f>Primaria!X131</f>
        <v>0</v>
      </c>
      <c r="J131" s="34">
        <f>Primaria!Y131</f>
        <v>2</v>
      </c>
      <c r="K131" s="34">
        <f>Bachillerato!W131</f>
        <v>4</v>
      </c>
      <c r="L131" s="34">
        <f>Bachillerato!X131</f>
        <v>6</v>
      </c>
      <c r="M131" s="34">
        <f>Bachillerato!Y131</f>
        <v>3</v>
      </c>
      <c r="N131" s="34">
        <f>Bachillerato!Z131</f>
        <v>1</v>
      </c>
      <c r="O131" s="34">
        <f>Bachillerato!AA131</f>
        <v>3</v>
      </c>
      <c r="P131" s="34">
        <f>Bachillerato!AB131</f>
        <v>4</v>
      </c>
      <c r="Q131" s="34">
        <f t="shared" si="31"/>
        <v>4</v>
      </c>
      <c r="R131" s="34">
        <f t="shared" si="32"/>
        <v>9</v>
      </c>
      <c r="S131" s="34">
        <f t="shared" si="33"/>
        <v>21</v>
      </c>
      <c r="T131" s="34">
        <f t="shared" si="34"/>
        <v>34</v>
      </c>
    </row>
    <row r="132" spans="1:20">
      <c r="A132" s="251"/>
      <c r="B132" s="23" t="s">
        <v>84</v>
      </c>
      <c r="C132" s="34">
        <f>Preescolar!Q92</f>
        <v>1</v>
      </c>
      <c r="D132" s="34">
        <f>Preescolar!R92</f>
        <v>1</v>
      </c>
      <c r="E132" s="34">
        <f>Preescolar!S92</f>
        <v>2</v>
      </c>
      <c r="F132" s="34">
        <f>Primaria!U132</f>
        <v>2</v>
      </c>
      <c r="G132" s="34">
        <f>Primaria!V132</f>
        <v>3</v>
      </c>
      <c r="H132" s="34">
        <f>Primaria!W132</f>
        <v>2</v>
      </c>
      <c r="I132" s="34">
        <f>Primaria!X132</f>
        <v>1</v>
      </c>
      <c r="J132" s="34">
        <f>Primaria!Y132</f>
        <v>2</v>
      </c>
      <c r="K132" s="34">
        <f>Bachillerato!W132</f>
        <v>4</v>
      </c>
      <c r="L132" s="34">
        <f>Bachillerato!X132</f>
        <v>6</v>
      </c>
      <c r="M132" s="34">
        <f>Bachillerato!Y132</f>
        <v>3</v>
      </c>
      <c r="N132" s="34">
        <f>Bachillerato!Z132</f>
        <v>2</v>
      </c>
      <c r="O132" s="34">
        <f>Bachillerato!AA132</f>
        <v>4</v>
      </c>
      <c r="P132" s="34">
        <f>Bachillerato!AB132</f>
        <v>4</v>
      </c>
      <c r="Q132" s="34">
        <f t="shared" si="31"/>
        <v>4</v>
      </c>
      <c r="R132" s="34">
        <f t="shared" si="32"/>
        <v>10</v>
      </c>
      <c r="S132" s="34">
        <f t="shared" si="33"/>
        <v>23</v>
      </c>
      <c r="T132" s="34">
        <f t="shared" si="34"/>
        <v>37</v>
      </c>
    </row>
    <row r="133" spans="1:20">
      <c r="A133" s="251"/>
      <c r="B133" s="23" t="s">
        <v>87</v>
      </c>
      <c r="C133" s="34">
        <f>Preescolar!Q93</f>
        <v>1</v>
      </c>
      <c r="D133" s="34">
        <f>Preescolar!R93</f>
        <v>1</v>
      </c>
      <c r="E133" s="34">
        <f>Preescolar!S93</f>
        <v>2</v>
      </c>
      <c r="F133" s="34">
        <f>Primaria!U133</f>
        <v>2</v>
      </c>
      <c r="G133" s="34">
        <f>Primaria!V133</f>
        <v>3</v>
      </c>
      <c r="H133" s="34">
        <f>Primaria!W133</f>
        <v>2</v>
      </c>
      <c r="I133" s="34">
        <f>Primaria!X133</f>
        <v>2</v>
      </c>
      <c r="J133" s="34">
        <f>Primaria!Y133</f>
        <v>2</v>
      </c>
      <c r="K133" s="34">
        <f>Bachillerato!W133</f>
        <v>4</v>
      </c>
      <c r="L133" s="34">
        <f>Bachillerato!X133</f>
        <v>7</v>
      </c>
      <c r="M133" s="34">
        <f>Bachillerato!Y133</f>
        <v>4</v>
      </c>
      <c r="N133" s="34">
        <f>Bachillerato!Z133</f>
        <v>2</v>
      </c>
      <c r="O133" s="34">
        <f>Bachillerato!AA133</f>
        <v>4</v>
      </c>
      <c r="P133" s="34">
        <f>Bachillerato!AB133</f>
        <v>5</v>
      </c>
      <c r="Q133" s="34">
        <f t="shared" si="31"/>
        <v>4</v>
      </c>
      <c r="R133" s="34">
        <f t="shared" si="32"/>
        <v>11</v>
      </c>
      <c r="S133" s="34">
        <f t="shared" si="33"/>
        <v>26</v>
      </c>
      <c r="T133" s="34">
        <f t="shared" si="34"/>
        <v>41</v>
      </c>
    </row>
    <row r="134" spans="1:20">
      <c r="A134" s="251"/>
      <c r="B134" s="23" t="s">
        <v>173</v>
      </c>
      <c r="C134" s="34">
        <f>Preescolar!Q94</f>
        <v>1</v>
      </c>
      <c r="D134" s="34">
        <f>Preescolar!R94</f>
        <v>1</v>
      </c>
      <c r="E134" s="34">
        <f>Preescolar!S94</f>
        <v>2</v>
      </c>
      <c r="F134" s="34">
        <f>Primaria!U134</f>
        <v>2</v>
      </c>
      <c r="G134" s="34">
        <f>Primaria!V134</f>
        <v>3</v>
      </c>
      <c r="H134" s="34">
        <f>Primaria!W134</f>
        <v>2</v>
      </c>
      <c r="I134" s="34">
        <f>Primaria!X134</f>
        <v>2</v>
      </c>
      <c r="J134" s="34">
        <f>Primaria!Y134</f>
        <v>2</v>
      </c>
      <c r="K134" s="34">
        <f>Bachillerato!W134</f>
        <v>4</v>
      </c>
      <c r="L134" s="34">
        <f>Bachillerato!X134</f>
        <v>7</v>
      </c>
      <c r="M134" s="34">
        <f>Bachillerato!Y134</f>
        <v>4</v>
      </c>
      <c r="N134" s="34">
        <f>Bachillerato!Z134</f>
        <v>2</v>
      </c>
      <c r="O134" s="34">
        <f>Bachillerato!AA134</f>
        <v>4</v>
      </c>
      <c r="P134" s="34">
        <f>Bachillerato!AB134</f>
        <v>6</v>
      </c>
      <c r="Q134" s="34">
        <f t="shared" si="31"/>
        <v>4</v>
      </c>
      <c r="R134" s="34">
        <f t="shared" si="32"/>
        <v>11</v>
      </c>
      <c r="S134" s="34">
        <f t="shared" si="33"/>
        <v>27</v>
      </c>
      <c r="T134" s="34">
        <f t="shared" si="34"/>
        <v>42</v>
      </c>
    </row>
    <row r="135" spans="1:20" ht="14.45" customHeight="1">
      <c r="A135" s="251">
        <f>A15</f>
        <v>2024</v>
      </c>
      <c r="B135" s="23" t="s">
        <v>13</v>
      </c>
      <c r="C135" s="34">
        <f>Preescolar!Q95</f>
        <v>2</v>
      </c>
      <c r="D135" s="34">
        <f>Preescolar!R95</f>
        <v>1</v>
      </c>
      <c r="E135" s="34">
        <f>Preescolar!S95</f>
        <v>4</v>
      </c>
      <c r="F135" s="34">
        <f>Primaria!U135</f>
        <v>2</v>
      </c>
      <c r="G135" s="34">
        <f>Primaria!V135</f>
        <v>4</v>
      </c>
      <c r="H135" s="34">
        <f>Primaria!W135</f>
        <v>3</v>
      </c>
      <c r="I135" s="34">
        <f>Primaria!X135</f>
        <v>2</v>
      </c>
      <c r="J135" s="34">
        <f>Primaria!Y135</f>
        <v>6</v>
      </c>
      <c r="K135" s="34">
        <f>Bachillerato!W135</f>
        <v>4</v>
      </c>
      <c r="L135" s="34">
        <f>Bachillerato!X135</f>
        <v>8</v>
      </c>
      <c r="M135" s="34">
        <f>Bachillerato!Y135</f>
        <v>4</v>
      </c>
      <c r="N135" s="34">
        <f>Bachillerato!Z135</f>
        <v>4</v>
      </c>
      <c r="O135" s="34">
        <f>Bachillerato!AA135</f>
        <v>5</v>
      </c>
      <c r="P135" s="34">
        <f>Bachillerato!AB135</f>
        <v>6</v>
      </c>
      <c r="Q135" s="34">
        <f t="shared" si="31"/>
        <v>7</v>
      </c>
      <c r="R135" s="34">
        <f t="shared" si="32"/>
        <v>17</v>
      </c>
      <c r="S135" s="34">
        <f t="shared" si="33"/>
        <v>31</v>
      </c>
      <c r="T135" s="34">
        <f t="shared" si="34"/>
        <v>55</v>
      </c>
    </row>
    <row r="136" spans="1:20">
      <c r="A136" s="251"/>
      <c r="B136" s="23" t="s">
        <v>24</v>
      </c>
      <c r="C136" s="34">
        <f>Preescolar!Q96</f>
        <v>2</v>
      </c>
      <c r="D136" s="34">
        <f>Preescolar!R96</f>
        <v>1</v>
      </c>
      <c r="E136" s="34">
        <f>Preescolar!S96</f>
        <v>5</v>
      </c>
      <c r="F136" s="34">
        <f>Primaria!U136</f>
        <v>3</v>
      </c>
      <c r="G136" s="34">
        <f>Primaria!V136</f>
        <v>4</v>
      </c>
      <c r="H136" s="34">
        <f>Primaria!W136</f>
        <v>3</v>
      </c>
      <c r="I136" s="34">
        <f>Primaria!X136</f>
        <v>3</v>
      </c>
      <c r="J136" s="34">
        <f>Primaria!Y136</f>
        <v>7</v>
      </c>
      <c r="K136" s="34">
        <f>Bachillerato!W136</f>
        <v>6</v>
      </c>
      <c r="L136" s="34">
        <f>Bachillerato!X136</f>
        <v>8</v>
      </c>
      <c r="M136" s="34">
        <f>Bachillerato!Y136</f>
        <v>7</v>
      </c>
      <c r="N136" s="34">
        <f>Bachillerato!Z136</f>
        <v>5</v>
      </c>
      <c r="O136" s="34">
        <f>Bachillerato!AA136</f>
        <v>6</v>
      </c>
      <c r="P136" s="34">
        <f>Bachillerato!AB136</f>
        <v>6</v>
      </c>
      <c r="Q136" s="34">
        <f t="shared" si="31"/>
        <v>8</v>
      </c>
      <c r="R136" s="34">
        <f t="shared" si="32"/>
        <v>20</v>
      </c>
      <c r="S136" s="34">
        <f t="shared" si="33"/>
        <v>38</v>
      </c>
      <c r="T136" s="34">
        <f t="shared" si="34"/>
        <v>66</v>
      </c>
    </row>
    <row r="137" spans="1:20">
      <c r="A137" s="251"/>
      <c r="B137" s="23" t="s">
        <v>34</v>
      </c>
      <c r="C137" s="34">
        <f>Preescolar!Q97</f>
        <v>2</v>
      </c>
      <c r="D137" s="34">
        <f>Preescolar!R97</f>
        <v>1</v>
      </c>
      <c r="E137" s="34">
        <f>Preescolar!S97</f>
        <v>5</v>
      </c>
      <c r="F137" s="34">
        <f>Primaria!U137</f>
        <v>4</v>
      </c>
      <c r="G137" s="34">
        <f>Primaria!V137</f>
        <v>4</v>
      </c>
      <c r="H137" s="34">
        <f>Primaria!W137</f>
        <v>3</v>
      </c>
      <c r="I137" s="34">
        <f>Primaria!X137</f>
        <v>3</v>
      </c>
      <c r="J137" s="34">
        <f>Primaria!Y137</f>
        <v>7</v>
      </c>
      <c r="K137" s="34">
        <f>Bachillerato!W137</f>
        <v>6</v>
      </c>
      <c r="L137" s="34">
        <f>Bachillerato!X137</f>
        <v>8</v>
      </c>
      <c r="M137" s="34">
        <f>Bachillerato!Y137</f>
        <v>8</v>
      </c>
      <c r="N137" s="34">
        <f>Bachillerato!Z137</f>
        <v>5</v>
      </c>
      <c r="O137" s="34">
        <f>Bachillerato!AA137</f>
        <v>7</v>
      </c>
      <c r="P137" s="34">
        <f>Bachillerato!AB137</f>
        <v>6</v>
      </c>
      <c r="Q137" s="34">
        <f t="shared" si="31"/>
        <v>8</v>
      </c>
      <c r="R137" s="34">
        <f t="shared" si="32"/>
        <v>21</v>
      </c>
      <c r="S137" s="34">
        <f t="shared" si="33"/>
        <v>40</v>
      </c>
      <c r="T137" s="34">
        <f t="shared" si="34"/>
        <v>69</v>
      </c>
    </row>
    <row r="138" spans="1:20">
      <c r="A138" s="251"/>
      <c r="B138" s="23" t="s">
        <v>38</v>
      </c>
      <c r="C138" s="34">
        <f>Preescolar!Q98</f>
        <v>2</v>
      </c>
      <c r="D138" s="34">
        <f>Preescolar!R98</f>
        <v>1</v>
      </c>
      <c r="E138" s="34">
        <f>Preescolar!S98</f>
        <v>5</v>
      </c>
      <c r="F138" s="34">
        <f>Primaria!U138</f>
        <v>4</v>
      </c>
      <c r="G138" s="34">
        <f>Primaria!V138</f>
        <v>4</v>
      </c>
      <c r="H138" s="34">
        <f>Primaria!W138</f>
        <v>3</v>
      </c>
      <c r="I138" s="34">
        <f>Primaria!X138</f>
        <v>3</v>
      </c>
      <c r="J138" s="34">
        <f>Primaria!Y138</f>
        <v>7</v>
      </c>
      <c r="K138" s="34">
        <f>Bachillerato!W138</f>
        <v>6</v>
      </c>
      <c r="L138" s="34">
        <f>Bachillerato!X138</f>
        <v>8</v>
      </c>
      <c r="M138" s="34">
        <f>Bachillerato!Y138</f>
        <v>8</v>
      </c>
      <c r="N138" s="34">
        <f>Bachillerato!Z138</f>
        <v>5</v>
      </c>
      <c r="O138" s="34">
        <f>Bachillerato!AA138</f>
        <v>7</v>
      </c>
      <c r="P138" s="34">
        <f>Bachillerato!AB138</f>
        <v>6</v>
      </c>
      <c r="Q138" s="34">
        <f t="shared" si="31"/>
        <v>8</v>
      </c>
      <c r="R138" s="34">
        <f t="shared" si="32"/>
        <v>21</v>
      </c>
      <c r="S138" s="34">
        <f t="shared" si="33"/>
        <v>40</v>
      </c>
      <c r="T138" s="34">
        <f t="shared" si="34"/>
        <v>69</v>
      </c>
    </row>
    <row r="139" spans="1:20">
      <c r="A139" s="251"/>
      <c r="B139" s="23" t="s">
        <v>47</v>
      </c>
      <c r="C139" s="34">
        <f>Preescolar!Q99</f>
        <v>2</v>
      </c>
      <c r="D139" s="34">
        <f>Preescolar!R99</f>
        <v>1</v>
      </c>
      <c r="E139" s="34">
        <f>Preescolar!S99</f>
        <v>5</v>
      </c>
      <c r="F139" s="34">
        <f>Primaria!U139</f>
        <v>4</v>
      </c>
      <c r="G139" s="34">
        <f>Primaria!V139</f>
        <v>4</v>
      </c>
      <c r="H139" s="34">
        <f>Primaria!W139</f>
        <v>4</v>
      </c>
      <c r="I139" s="34">
        <f>Primaria!X139</f>
        <v>3</v>
      </c>
      <c r="J139" s="34">
        <f>Primaria!Y139</f>
        <v>7</v>
      </c>
      <c r="K139" s="34">
        <f>Bachillerato!W139</f>
        <v>6</v>
      </c>
      <c r="L139" s="34">
        <f>Bachillerato!X139</f>
        <v>8</v>
      </c>
      <c r="M139" s="34">
        <f>Bachillerato!Y139</f>
        <v>8</v>
      </c>
      <c r="N139" s="34">
        <f>Bachillerato!Z139</f>
        <v>5</v>
      </c>
      <c r="O139" s="34">
        <f>Bachillerato!AA139</f>
        <v>8</v>
      </c>
      <c r="P139" s="34">
        <f>Bachillerato!AB139</f>
        <v>6</v>
      </c>
      <c r="Q139" s="34">
        <f t="shared" si="31"/>
        <v>8</v>
      </c>
      <c r="R139" s="34">
        <f t="shared" si="32"/>
        <v>22</v>
      </c>
      <c r="S139" s="34">
        <f t="shared" si="33"/>
        <v>41</v>
      </c>
      <c r="T139" s="34">
        <f t="shared" si="34"/>
        <v>71</v>
      </c>
    </row>
    <row r="140" spans="1:20">
      <c r="A140" s="251"/>
      <c r="B140" s="23" t="s">
        <v>57</v>
      </c>
      <c r="C140" s="34">
        <f>Preescolar!Q100</f>
        <v>2</v>
      </c>
      <c r="D140" s="34">
        <f>Preescolar!R100</f>
        <v>1</v>
      </c>
      <c r="E140" s="34">
        <f>Preescolar!S100</f>
        <v>5</v>
      </c>
      <c r="F140" s="34">
        <f>Primaria!U140</f>
        <v>4</v>
      </c>
      <c r="G140" s="34">
        <f>Primaria!V140</f>
        <v>5</v>
      </c>
      <c r="H140" s="34">
        <f>Primaria!W140</f>
        <v>4</v>
      </c>
      <c r="I140" s="34">
        <f>Primaria!X140</f>
        <v>3</v>
      </c>
      <c r="J140" s="34">
        <f>Primaria!Y140</f>
        <v>7</v>
      </c>
      <c r="K140" s="34">
        <f>Bachillerato!W140</f>
        <v>6</v>
      </c>
      <c r="L140" s="34">
        <f>Bachillerato!X140</f>
        <v>8</v>
      </c>
      <c r="M140" s="34">
        <f>Bachillerato!Y140</f>
        <v>8</v>
      </c>
      <c r="N140" s="34">
        <f>Bachillerato!Z140</f>
        <v>5</v>
      </c>
      <c r="O140" s="34">
        <f>Bachillerato!AA140</f>
        <v>8</v>
      </c>
      <c r="P140" s="34">
        <f>Bachillerato!AB140</f>
        <v>6</v>
      </c>
      <c r="Q140" s="34">
        <f t="shared" si="31"/>
        <v>8</v>
      </c>
      <c r="R140" s="34">
        <f t="shared" si="32"/>
        <v>23</v>
      </c>
      <c r="S140" s="34">
        <f t="shared" si="33"/>
        <v>41</v>
      </c>
      <c r="T140" s="34">
        <f t="shared" si="34"/>
        <v>72</v>
      </c>
    </row>
    <row r="141" spans="1:20">
      <c r="A141" s="251"/>
      <c r="B141" s="23" t="s">
        <v>62</v>
      </c>
      <c r="C141" s="34">
        <f>Preescolar!Q101</f>
        <v>2</v>
      </c>
      <c r="D141" s="34">
        <f>Preescolar!R101</f>
        <v>1</v>
      </c>
      <c r="E141" s="34">
        <f>Preescolar!S101</f>
        <v>5</v>
      </c>
      <c r="F141" s="34">
        <f>Primaria!U141</f>
        <v>4</v>
      </c>
      <c r="G141" s="34">
        <f>Primaria!V141</f>
        <v>6</v>
      </c>
      <c r="H141" s="34">
        <f>Primaria!W141</f>
        <v>5</v>
      </c>
      <c r="I141" s="34">
        <f>Primaria!X141</f>
        <v>3</v>
      </c>
      <c r="J141" s="34">
        <f>Primaria!Y141</f>
        <v>7</v>
      </c>
      <c r="K141" s="34">
        <f>Bachillerato!W141</f>
        <v>6</v>
      </c>
      <c r="L141" s="34">
        <f>Bachillerato!X141</f>
        <v>8</v>
      </c>
      <c r="M141" s="34">
        <f>Bachillerato!Y141</f>
        <v>8</v>
      </c>
      <c r="N141" s="34">
        <f>Bachillerato!Z141</f>
        <v>5</v>
      </c>
      <c r="O141" s="34">
        <f>Bachillerato!AA141</f>
        <v>9</v>
      </c>
      <c r="P141" s="34">
        <f>Bachillerato!AB141</f>
        <v>6</v>
      </c>
      <c r="Q141" s="34">
        <f t="shared" si="31"/>
        <v>8</v>
      </c>
      <c r="R141" s="34">
        <f t="shared" si="32"/>
        <v>25</v>
      </c>
      <c r="S141" s="34">
        <f t="shared" si="33"/>
        <v>42</v>
      </c>
      <c r="T141" s="34">
        <f t="shared" si="34"/>
        <v>75</v>
      </c>
    </row>
    <row r="142" spans="1:20">
      <c r="A142" s="251"/>
      <c r="B142" s="23" t="s">
        <v>68</v>
      </c>
      <c r="C142" s="34">
        <f>Preescolar!Q102</f>
        <v>2</v>
      </c>
      <c r="D142" s="34">
        <f>Preescolar!R102</f>
        <v>1</v>
      </c>
      <c r="E142" s="34">
        <f>Preescolar!S102</f>
        <v>5</v>
      </c>
      <c r="F142" s="34">
        <f>Primaria!U142</f>
        <v>4</v>
      </c>
      <c r="G142" s="34">
        <f>Primaria!V142</f>
        <v>6</v>
      </c>
      <c r="H142" s="34">
        <f>Primaria!W142</f>
        <v>6</v>
      </c>
      <c r="I142" s="34">
        <f>Primaria!X142</f>
        <v>4</v>
      </c>
      <c r="J142" s="34">
        <f>Primaria!Y142</f>
        <v>8</v>
      </c>
      <c r="K142" s="34">
        <f>Bachillerato!W142</f>
        <v>6</v>
      </c>
      <c r="L142" s="34">
        <f>Bachillerato!X142</f>
        <v>8</v>
      </c>
      <c r="M142" s="34">
        <f>Bachillerato!Y142</f>
        <v>8</v>
      </c>
      <c r="N142" s="34">
        <f>Bachillerato!Z142</f>
        <v>5</v>
      </c>
      <c r="O142" s="34">
        <f>Bachillerato!AA142</f>
        <v>9</v>
      </c>
      <c r="P142" s="34">
        <f>Bachillerato!AB142</f>
        <v>6</v>
      </c>
      <c r="Q142" s="34">
        <f t="shared" si="31"/>
        <v>8</v>
      </c>
      <c r="R142" s="34">
        <f t="shared" si="32"/>
        <v>28</v>
      </c>
      <c r="S142" s="34">
        <f t="shared" si="33"/>
        <v>42</v>
      </c>
      <c r="T142" s="34">
        <f t="shared" si="34"/>
        <v>78</v>
      </c>
    </row>
    <row r="143" spans="1:20">
      <c r="A143" s="251"/>
      <c r="B143" s="23" t="s">
        <v>77</v>
      </c>
      <c r="C143" s="34">
        <f>Preescolar!Q103</f>
        <v>2</v>
      </c>
      <c r="D143" s="34">
        <f>Preescolar!R103</f>
        <v>2</v>
      </c>
      <c r="E143" s="34">
        <f>Preescolar!S103</f>
        <v>5</v>
      </c>
      <c r="F143" s="34">
        <f>Primaria!U143</f>
        <v>4</v>
      </c>
      <c r="G143" s="34">
        <f>Primaria!V143</f>
        <v>6</v>
      </c>
      <c r="H143" s="34">
        <f>Primaria!W143</f>
        <v>6</v>
      </c>
      <c r="I143" s="34">
        <f>Primaria!X143</f>
        <v>5</v>
      </c>
      <c r="J143" s="34">
        <f>Primaria!Y143</f>
        <v>9</v>
      </c>
      <c r="K143" s="34">
        <f>Bachillerato!W143</f>
        <v>7</v>
      </c>
      <c r="L143" s="34">
        <f>Bachillerato!X143</f>
        <v>8</v>
      </c>
      <c r="M143" s="34">
        <f>Bachillerato!Y143</f>
        <v>8</v>
      </c>
      <c r="N143" s="34">
        <f>Bachillerato!Z143</f>
        <v>7</v>
      </c>
      <c r="O143" s="34">
        <f>Bachillerato!AA143</f>
        <v>9</v>
      </c>
      <c r="P143" s="34">
        <f>Bachillerato!AB143</f>
        <v>6</v>
      </c>
      <c r="Q143" s="34">
        <f t="shared" si="31"/>
        <v>9</v>
      </c>
      <c r="R143" s="34">
        <f t="shared" si="32"/>
        <v>30</v>
      </c>
      <c r="S143" s="34">
        <f t="shared" si="33"/>
        <v>45</v>
      </c>
      <c r="T143" s="34">
        <f t="shared" si="34"/>
        <v>84</v>
      </c>
    </row>
    <row r="144" spans="1:20">
      <c r="A144" s="251"/>
      <c r="B144" s="23" t="s">
        <v>84</v>
      </c>
      <c r="C144" s="34">
        <f>Preescolar!Q104</f>
        <v>2</v>
      </c>
      <c r="D144" s="34">
        <f>Preescolar!R104</f>
        <v>2</v>
      </c>
      <c r="E144" s="34">
        <f>Preescolar!S104</f>
        <v>5</v>
      </c>
      <c r="F144" s="34">
        <f>Primaria!U144</f>
        <v>4</v>
      </c>
      <c r="G144" s="34">
        <f>Primaria!V144</f>
        <v>6</v>
      </c>
      <c r="H144" s="34">
        <f>Primaria!W144</f>
        <v>6</v>
      </c>
      <c r="I144" s="34">
        <f>Primaria!X144</f>
        <v>5</v>
      </c>
      <c r="J144" s="34">
        <f>Primaria!Y144</f>
        <v>9</v>
      </c>
      <c r="K144" s="34">
        <f>Bachillerato!W144</f>
        <v>7</v>
      </c>
      <c r="L144" s="34">
        <f>Bachillerato!X144</f>
        <v>8</v>
      </c>
      <c r="M144" s="34">
        <f>Bachillerato!Y144</f>
        <v>9</v>
      </c>
      <c r="N144" s="34">
        <f>Bachillerato!Z144</f>
        <v>7</v>
      </c>
      <c r="O144" s="34">
        <f>Bachillerato!AA144</f>
        <v>9</v>
      </c>
      <c r="P144" s="34">
        <f>Bachillerato!AB144</f>
        <v>6</v>
      </c>
      <c r="Q144" s="34">
        <f t="shared" si="31"/>
        <v>9</v>
      </c>
      <c r="R144" s="34">
        <f t="shared" si="32"/>
        <v>30</v>
      </c>
      <c r="S144" s="34">
        <f t="shared" si="33"/>
        <v>46</v>
      </c>
      <c r="T144" s="34">
        <f t="shared" si="34"/>
        <v>85</v>
      </c>
    </row>
    <row r="145" spans="1:20">
      <c r="A145" s="251"/>
      <c r="B145" s="23" t="s">
        <v>87</v>
      </c>
      <c r="C145" s="34">
        <f>Preescolar!Q105</f>
        <v>2</v>
      </c>
      <c r="D145" s="34">
        <f>Preescolar!R105</f>
        <v>2</v>
      </c>
      <c r="E145" s="34">
        <f>Preescolar!S105</f>
        <v>5</v>
      </c>
      <c r="F145" s="34">
        <f>Primaria!U145</f>
        <v>4</v>
      </c>
      <c r="G145" s="34">
        <f>Primaria!V145</f>
        <v>6</v>
      </c>
      <c r="H145" s="34">
        <f>Primaria!W145</f>
        <v>6</v>
      </c>
      <c r="I145" s="34">
        <f>Primaria!X145</f>
        <v>5</v>
      </c>
      <c r="J145" s="34">
        <f>Primaria!Y145</f>
        <v>9</v>
      </c>
      <c r="K145" s="34">
        <f>Bachillerato!W145</f>
        <v>7</v>
      </c>
      <c r="L145" s="34">
        <f>Bachillerato!X145</f>
        <v>8</v>
      </c>
      <c r="M145" s="34">
        <f>Bachillerato!Y145</f>
        <v>10</v>
      </c>
      <c r="N145" s="34">
        <f>Bachillerato!Z145</f>
        <v>7</v>
      </c>
      <c r="O145" s="34">
        <f>Bachillerato!AA145</f>
        <v>9</v>
      </c>
      <c r="P145" s="34">
        <f>Bachillerato!AB145</f>
        <v>6</v>
      </c>
      <c r="Q145" s="34">
        <f t="shared" si="31"/>
        <v>9</v>
      </c>
      <c r="R145" s="34">
        <f t="shared" si="32"/>
        <v>30</v>
      </c>
      <c r="S145" s="34">
        <f t="shared" si="33"/>
        <v>47</v>
      </c>
      <c r="T145" s="34">
        <f t="shared" si="34"/>
        <v>86</v>
      </c>
    </row>
    <row r="146" spans="1:20">
      <c r="A146" s="251"/>
      <c r="B146" s="23" t="s">
        <v>173</v>
      </c>
      <c r="C146" s="34">
        <f>Preescolar!Q106</f>
        <v>2</v>
      </c>
      <c r="D146" s="34">
        <f>Preescolar!R106</f>
        <v>2</v>
      </c>
      <c r="E146" s="34">
        <f>Preescolar!S106</f>
        <v>5</v>
      </c>
      <c r="F146" s="34">
        <f>Primaria!U146</f>
        <v>4</v>
      </c>
      <c r="G146" s="34">
        <f>Primaria!V146</f>
        <v>6</v>
      </c>
      <c r="H146" s="34">
        <f>Primaria!W146</f>
        <v>6</v>
      </c>
      <c r="I146" s="34">
        <f>Primaria!X146</f>
        <v>5</v>
      </c>
      <c r="J146" s="34">
        <f>Primaria!Y146</f>
        <v>10</v>
      </c>
      <c r="K146" s="34">
        <f>Bachillerato!W146</f>
        <v>7</v>
      </c>
      <c r="L146" s="34">
        <f>Bachillerato!X146</f>
        <v>8</v>
      </c>
      <c r="M146" s="34">
        <f>Bachillerato!Y146</f>
        <v>10</v>
      </c>
      <c r="N146" s="34">
        <f>Bachillerato!Z146</f>
        <v>7</v>
      </c>
      <c r="O146" s="34">
        <f>Bachillerato!AA146</f>
        <v>9</v>
      </c>
      <c r="P146" s="34">
        <f>Bachillerato!AB146</f>
        <v>6</v>
      </c>
      <c r="Q146" s="34">
        <f t="shared" si="31"/>
        <v>9</v>
      </c>
      <c r="R146" s="34">
        <f t="shared" si="32"/>
        <v>31</v>
      </c>
      <c r="S146" s="34">
        <f t="shared" si="33"/>
        <v>47</v>
      </c>
      <c r="T146" s="34">
        <f t="shared" si="34"/>
        <v>87</v>
      </c>
    </row>
    <row r="147" spans="1:20" ht="14.45" customHeight="1">
      <c r="A147" s="251">
        <f>A27</f>
        <v>2025</v>
      </c>
      <c r="B147" s="23" t="s">
        <v>13</v>
      </c>
      <c r="C147" s="34">
        <f>Preescolar!Q107</f>
        <v>4</v>
      </c>
      <c r="D147" s="34">
        <f>Preescolar!R107</f>
        <v>3</v>
      </c>
      <c r="E147" s="34">
        <f>Preescolar!S107</f>
        <v>5</v>
      </c>
      <c r="F147" s="34">
        <f>Primaria!U147</f>
        <v>4</v>
      </c>
      <c r="G147" s="34">
        <f>Primaria!V147</f>
        <v>7</v>
      </c>
      <c r="H147" s="34">
        <f>Primaria!W147</f>
        <v>9</v>
      </c>
      <c r="I147" s="34">
        <f>Primaria!X147</f>
        <v>5</v>
      </c>
      <c r="J147" s="34">
        <f>Primaria!Y147</f>
        <v>11</v>
      </c>
      <c r="K147" s="34">
        <f>Bachillerato!W147</f>
        <v>7</v>
      </c>
      <c r="L147" s="34">
        <f>Bachillerato!X147</f>
        <v>8</v>
      </c>
      <c r="M147" s="34">
        <f>Bachillerato!Y147</f>
        <v>13</v>
      </c>
      <c r="N147" s="34">
        <f>Bachillerato!Z147</f>
        <v>8</v>
      </c>
      <c r="O147" s="34">
        <f>Bachillerato!AA147</f>
        <v>10</v>
      </c>
      <c r="P147" s="34">
        <f>Bachillerato!AB147</f>
        <v>6</v>
      </c>
      <c r="Q147" s="34">
        <f t="shared" ref="Q147:Q158" si="35">SUM(C147:E147)</f>
        <v>12</v>
      </c>
      <c r="R147" s="34">
        <f t="shared" ref="R147:R158" si="36">SUM(F147:J147)</f>
        <v>36</v>
      </c>
      <c r="S147" s="34">
        <f t="shared" ref="S147:S158" si="37">SUM(K147:P147)</f>
        <v>52</v>
      </c>
      <c r="T147" s="34">
        <f t="shared" ref="T147:T158" si="38">SUM(Q147:S147)</f>
        <v>100</v>
      </c>
    </row>
    <row r="148" spans="1:20">
      <c r="A148" s="251"/>
      <c r="B148" s="23" t="s">
        <v>24</v>
      </c>
      <c r="C148" s="34">
        <f>Preescolar!Q108</f>
        <v>5</v>
      </c>
      <c r="D148" s="34">
        <f>Preescolar!R108</f>
        <v>4</v>
      </c>
      <c r="E148" s="34">
        <f>Preescolar!S108</f>
        <v>6</v>
      </c>
      <c r="F148" s="34">
        <f>Primaria!U148</f>
        <v>4</v>
      </c>
      <c r="G148" s="34">
        <f>Primaria!V148</f>
        <v>7</v>
      </c>
      <c r="H148" s="34">
        <f>Primaria!W148</f>
        <v>11</v>
      </c>
      <c r="I148" s="34">
        <f>Primaria!X148</f>
        <v>6</v>
      </c>
      <c r="J148" s="34">
        <f>Primaria!Y148</f>
        <v>13</v>
      </c>
      <c r="K148" s="34">
        <f>Bachillerato!W148</f>
        <v>8</v>
      </c>
      <c r="L148" s="34">
        <f>Bachillerato!X148</f>
        <v>8</v>
      </c>
      <c r="M148" s="34">
        <f>Bachillerato!Y148</f>
        <v>13</v>
      </c>
      <c r="N148" s="34">
        <f>Bachillerato!Z148</f>
        <v>9</v>
      </c>
      <c r="O148" s="34">
        <f>Bachillerato!AA148</f>
        <v>11</v>
      </c>
      <c r="P148" s="34">
        <f>Bachillerato!AB148</f>
        <v>6</v>
      </c>
      <c r="Q148" s="34">
        <f t="shared" si="35"/>
        <v>15</v>
      </c>
      <c r="R148" s="34">
        <f t="shared" si="36"/>
        <v>41</v>
      </c>
      <c r="S148" s="34">
        <f t="shared" si="37"/>
        <v>55</v>
      </c>
      <c r="T148" s="34">
        <f t="shared" si="38"/>
        <v>111</v>
      </c>
    </row>
    <row r="149" spans="1:20">
      <c r="A149" s="251"/>
      <c r="B149" s="23" t="s">
        <v>34</v>
      </c>
      <c r="C149" s="34">
        <f>Preescolar!Q109</f>
        <v>5</v>
      </c>
      <c r="D149" s="34">
        <f>Preescolar!R109</f>
        <v>4</v>
      </c>
      <c r="E149" s="34">
        <f>Preescolar!S109</f>
        <v>6</v>
      </c>
      <c r="F149" s="34">
        <f>Primaria!U149</f>
        <v>4</v>
      </c>
      <c r="G149" s="34">
        <f>Primaria!V149</f>
        <v>8</v>
      </c>
      <c r="H149" s="34">
        <f>Primaria!W149</f>
        <v>11</v>
      </c>
      <c r="I149" s="34">
        <f>Primaria!X149</f>
        <v>6</v>
      </c>
      <c r="J149" s="34">
        <f>Primaria!Y149</f>
        <v>14</v>
      </c>
      <c r="K149" s="34">
        <f>Bachillerato!W149</f>
        <v>8</v>
      </c>
      <c r="L149" s="34">
        <f>Bachillerato!X149</f>
        <v>8</v>
      </c>
      <c r="M149" s="34">
        <f>Bachillerato!Y149</f>
        <v>14</v>
      </c>
      <c r="N149" s="34">
        <f>Bachillerato!Z149</f>
        <v>11</v>
      </c>
      <c r="O149" s="34">
        <f>Bachillerato!AA149</f>
        <v>11</v>
      </c>
      <c r="P149" s="34">
        <f>Bachillerato!AB149</f>
        <v>6</v>
      </c>
      <c r="Q149" s="34">
        <f t="shared" si="35"/>
        <v>15</v>
      </c>
      <c r="R149" s="34">
        <f t="shared" si="36"/>
        <v>43</v>
      </c>
      <c r="S149" s="34">
        <f t="shared" si="37"/>
        <v>58</v>
      </c>
      <c r="T149" s="34">
        <f t="shared" si="38"/>
        <v>116</v>
      </c>
    </row>
    <row r="150" spans="1:20">
      <c r="A150" s="251"/>
      <c r="B150" s="23" t="s">
        <v>38</v>
      </c>
      <c r="C150" s="34">
        <f>Preescolar!Q110</f>
        <v>5</v>
      </c>
      <c r="D150" s="34">
        <f>Preescolar!R110</f>
        <v>4</v>
      </c>
      <c r="E150" s="34">
        <f>Preescolar!S110</f>
        <v>6</v>
      </c>
      <c r="F150" s="34">
        <f>Primaria!U150</f>
        <v>5</v>
      </c>
      <c r="G150" s="34">
        <f>Primaria!V150</f>
        <v>8</v>
      </c>
      <c r="H150" s="34">
        <f>Primaria!W150</f>
        <v>11</v>
      </c>
      <c r="I150" s="34">
        <f>Primaria!X150</f>
        <v>7</v>
      </c>
      <c r="J150" s="34">
        <f>Primaria!Y150</f>
        <v>15</v>
      </c>
      <c r="K150" s="34">
        <f>Bachillerato!W150</f>
        <v>10</v>
      </c>
      <c r="L150" s="34">
        <f>Bachillerato!X150</f>
        <v>8</v>
      </c>
      <c r="M150" s="34">
        <f>Bachillerato!Y150</f>
        <v>14</v>
      </c>
      <c r="N150" s="34">
        <f>Bachillerato!Z150</f>
        <v>11</v>
      </c>
      <c r="O150" s="34">
        <f>Bachillerato!AA150</f>
        <v>11</v>
      </c>
      <c r="P150" s="34">
        <f>Bachillerato!AB150</f>
        <v>6</v>
      </c>
      <c r="Q150" s="34">
        <f t="shared" si="35"/>
        <v>15</v>
      </c>
      <c r="R150" s="34">
        <f t="shared" si="36"/>
        <v>46</v>
      </c>
      <c r="S150" s="34">
        <f t="shared" si="37"/>
        <v>60</v>
      </c>
      <c r="T150" s="34">
        <f t="shared" si="38"/>
        <v>121</v>
      </c>
    </row>
    <row r="151" spans="1:20">
      <c r="A151" s="251"/>
      <c r="B151" s="23" t="s">
        <v>47</v>
      </c>
      <c r="C151" s="34">
        <f>Preescolar!Q111</f>
        <v>5</v>
      </c>
      <c r="D151" s="34">
        <f>Preescolar!R111</f>
        <v>5</v>
      </c>
      <c r="E151" s="34">
        <f>Preescolar!S111</f>
        <v>6</v>
      </c>
      <c r="F151" s="34">
        <f>Primaria!U151</f>
        <v>6</v>
      </c>
      <c r="G151" s="34">
        <f>Primaria!V151</f>
        <v>9</v>
      </c>
      <c r="H151" s="34">
        <f>Primaria!W151</f>
        <v>11</v>
      </c>
      <c r="I151" s="34">
        <f>Primaria!X151</f>
        <v>7</v>
      </c>
      <c r="J151" s="34">
        <f>Primaria!Y151</f>
        <v>15</v>
      </c>
      <c r="K151" s="34">
        <f>Bachillerato!W151</f>
        <v>10</v>
      </c>
      <c r="L151" s="34">
        <f>Bachillerato!X151</f>
        <v>8</v>
      </c>
      <c r="M151" s="34">
        <f>Bachillerato!Y151</f>
        <v>14</v>
      </c>
      <c r="N151" s="34">
        <f>Bachillerato!Z151</f>
        <v>12</v>
      </c>
      <c r="O151" s="34">
        <f>Bachillerato!AA151</f>
        <v>11</v>
      </c>
      <c r="P151" s="34">
        <f>Bachillerato!AB151</f>
        <v>6</v>
      </c>
      <c r="Q151" s="34">
        <f t="shared" si="35"/>
        <v>16</v>
      </c>
      <c r="R151" s="34">
        <f t="shared" si="36"/>
        <v>48</v>
      </c>
      <c r="S151" s="34">
        <f t="shared" si="37"/>
        <v>61</v>
      </c>
      <c r="T151" s="34">
        <f t="shared" si="38"/>
        <v>125</v>
      </c>
    </row>
    <row r="152" spans="1:20">
      <c r="A152" s="251"/>
      <c r="B152" s="23" t="s">
        <v>57</v>
      </c>
      <c r="C152" s="34">
        <f>Preescolar!Q112</f>
        <v>5</v>
      </c>
      <c r="D152" s="34">
        <f>Preescolar!R112</f>
        <v>5</v>
      </c>
      <c r="E152" s="34">
        <f>Preescolar!S112</f>
        <v>7</v>
      </c>
      <c r="F152" s="34">
        <f>Primaria!U152</f>
        <v>7</v>
      </c>
      <c r="G152" s="34">
        <f>Primaria!V152</f>
        <v>9</v>
      </c>
      <c r="H152" s="34">
        <f>Primaria!W152</f>
        <v>11</v>
      </c>
      <c r="I152" s="34">
        <f>Primaria!X152</f>
        <v>7</v>
      </c>
      <c r="J152" s="34">
        <f>Primaria!Y152</f>
        <v>15</v>
      </c>
      <c r="K152" s="34">
        <f>Bachillerato!W152</f>
        <v>10</v>
      </c>
      <c r="L152" s="34">
        <f>Bachillerato!X152</f>
        <v>8</v>
      </c>
      <c r="M152" s="34">
        <f>Bachillerato!Y152</f>
        <v>14</v>
      </c>
      <c r="N152" s="34">
        <f>Bachillerato!Z152</f>
        <v>12</v>
      </c>
      <c r="O152" s="34">
        <f>Bachillerato!AA152</f>
        <v>11</v>
      </c>
      <c r="P152" s="34">
        <f>Bachillerato!AB152</f>
        <v>6</v>
      </c>
      <c r="Q152" s="34">
        <f t="shared" si="35"/>
        <v>17</v>
      </c>
      <c r="R152" s="34">
        <f t="shared" si="36"/>
        <v>49</v>
      </c>
      <c r="S152" s="34">
        <f t="shared" si="37"/>
        <v>61</v>
      </c>
      <c r="T152" s="34">
        <f t="shared" si="38"/>
        <v>127</v>
      </c>
    </row>
    <row r="153" spans="1:20">
      <c r="A153" s="251"/>
      <c r="B153" s="23" t="s">
        <v>62</v>
      </c>
      <c r="C153" s="34">
        <f>Preescolar!Q113</f>
        <v>6</v>
      </c>
      <c r="D153" s="34">
        <f>Preescolar!R113</f>
        <v>5</v>
      </c>
      <c r="E153" s="34">
        <f>Preescolar!S113</f>
        <v>7</v>
      </c>
      <c r="F153" s="34">
        <f>Primaria!U153</f>
        <v>8</v>
      </c>
      <c r="G153" s="34">
        <f>Primaria!V153</f>
        <v>9</v>
      </c>
      <c r="H153" s="34">
        <f>Primaria!W153</f>
        <v>12</v>
      </c>
      <c r="I153" s="34">
        <f>Primaria!X153</f>
        <v>7</v>
      </c>
      <c r="J153" s="34">
        <f>Primaria!Y153</f>
        <v>15</v>
      </c>
      <c r="K153" s="34">
        <f>Bachillerato!W153</f>
        <v>12</v>
      </c>
      <c r="L153" s="34">
        <f>Bachillerato!X153</f>
        <v>10</v>
      </c>
      <c r="M153" s="34">
        <f>Bachillerato!Y153</f>
        <v>14</v>
      </c>
      <c r="N153" s="34">
        <f>Bachillerato!Z153</f>
        <v>12</v>
      </c>
      <c r="O153" s="34">
        <f>Bachillerato!AA153</f>
        <v>13</v>
      </c>
      <c r="P153" s="34">
        <f>Bachillerato!AB153</f>
        <v>6</v>
      </c>
      <c r="Q153" s="34">
        <f t="shared" si="35"/>
        <v>18</v>
      </c>
      <c r="R153" s="34">
        <f t="shared" si="36"/>
        <v>51</v>
      </c>
      <c r="S153" s="34">
        <f t="shared" si="37"/>
        <v>67</v>
      </c>
      <c r="T153" s="34">
        <f t="shared" si="38"/>
        <v>136</v>
      </c>
    </row>
    <row r="154" spans="1:20">
      <c r="A154" s="251"/>
      <c r="B154" s="23" t="s">
        <v>68</v>
      </c>
      <c r="C154" s="34">
        <f>Preescolar!Q114</f>
        <v>6</v>
      </c>
      <c r="D154" s="34">
        <f>Preescolar!R114</f>
        <v>5</v>
      </c>
      <c r="E154" s="34">
        <f>Preescolar!S114</f>
        <v>7</v>
      </c>
      <c r="F154" s="34">
        <f>Primaria!U154</f>
        <v>9</v>
      </c>
      <c r="G154" s="34">
        <f>Primaria!V154</f>
        <v>9</v>
      </c>
      <c r="H154" s="34">
        <f>Primaria!W154</f>
        <v>13</v>
      </c>
      <c r="I154" s="34">
        <f>Primaria!X154</f>
        <v>8</v>
      </c>
      <c r="J154" s="34">
        <f>Primaria!Y154</f>
        <v>15</v>
      </c>
      <c r="K154" s="34">
        <f>Bachillerato!W154</f>
        <v>13</v>
      </c>
      <c r="L154" s="34">
        <f>Bachillerato!X154</f>
        <v>10</v>
      </c>
      <c r="M154" s="34">
        <f>Bachillerato!Y154</f>
        <v>14</v>
      </c>
      <c r="N154" s="34">
        <f>Bachillerato!Z154</f>
        <v>14</v>
      </c>
      <c r="O154" s="34">
        <f>Bachillerato!AA154</f>
        <v>14</v>
      </c>
      <c r="P154" s="34">
        <f>Bachillerato!AB154</f>
        <v>6</v>
      </c>
      <c r="Q154" s="34">
        <f t="shared" si="35"/>
        <v>18</v>
      </c>
      <c r="R154" s="34">
        <f t="shared" si="36"/>
        <v>54</v>
      </c>
      <c r="S154" s="34">
        <f t="shared" si="37"/>
        <v>71</v>
      </c>
      <c r="T154" s="34">
        <f t="shared" si="38"/>
        <v>143</v>
      </c>
    </row>
    <row r="155" spans="1:20">
      <c r="A155" s="251"/>
      <c r="B155" s="23" t="s">
        <v>77</v>
      </c>
      <c r="C155" s="34">
        <f>Preescolar!Q115</f>
        <v>6</v>
      </c>
      <c r="D155" s="34">
        <f>Preescolar!R115</f>
        <v>5</v>
      </c>
      <c r="E155" s="34">
        <f>Preescolar!S115</f>
        <v>7</v>
      </c>
      <c r="F155" s="34">
        <f>Primaria!U155</f>
        <v>10</v>
      </c>
      <c r="G155" s="34">
        <f>Primaria!V155</f>
        <v>9</v>
      </c>
      <c r="H155" s="34">
        <f>Primaria!W155</f>
        <v>13</v>
      </c>
      <c r="I155" s="34">
        <f>Primaria!X155</f>
        <v>8</v>
      </c>
      <c r="J155" s="34">
        <f>Primaria!Y155</f>
        <v>15</v>
      </c>
      <c r="K155" s="34">
        <f>Bachillerato!W155</f>
        <v>15</v>
      </c>
      <c r="L155" s="34">
        <f>Bachillerato!X155</f>
        <v>10</v>
      </c>
      <c r="M155" s="34">
        <f>Bachillerato!Y155</f>
        <v>16</v>
      </c>
      <c r="N155" s="34">
        <f>Bachillerato!Z155</f>
        <v>14</v>
      </c>
      <c r="O155" s="34">
        <f>Bachillerato!AA155</f>
        <v>14</v>
      </c>
      <c r="P155" s="34">
        <f>Bachillerato!AB155</f>
        <v>7</v>
      </c>
      <c r="Q155" s="34">
        <f t="shared" si="35"/>
        <v>18</v>
      </c>
      <c r="R155" s="34">
        <f t="shared" si="36"/>
        <v>55</v>
      </c>
      <c r="S155" s="34">
        <f t="shared" si="37"/>
        <v>76</v>
      </c>
      <c r="T155" s="34">
        <f t="shared" si="38"/>
        <v>149</v>
      </c>
    </row>
    <row r="156" spans="1:20">
      <c r="A156" s="251"/>
      <c r="B156" s="23" t="s">
        <v>84</v>
      </c>
      <c r="C156" s="34">
        <f>Preescolar!Q116</f>
        <v>7</v>
      </c>
      <c r="D156" s="34">
        <f>Preescolar!R116</f>
        <v>6</v>
      </c>
      <c r="E156" s="34">
        <f>Preescolar!S116</f>
        <v>8</v>
      </c>
      <c r="F156" s="34">
        <f>Primaria!U156</f>
        <v>10</v>
      </c>
      <c r="G156" s="34">
        <f>Primaria!V156</f>
        <v>9</v>
      </c>
      <c r="H156" s="34">
        <f>Primaria!W156</f>
        <v>14</v>
      </c>
      <c r="I156" s="34">
        <f>Primaria!X156</f>
        <v>8</v>
      </c>
      <c r="J156" s="34">
        <f>Primaria!Y156</f>
        <v>15</v>
      </c>
      <c r="K156" s="34">
        <f>Bachillerato!W156</f>
        <v>16</v>
      </c>
      <c r="L156" s="34">
        <f>Bachillerato!X156</f>
        <v>10</v>
      </c>
      <c r="M156" s="34">
        <f>Bachillerato!Y156</f>
        <v>16</v>
      </c>
      <c r="N156" s="34">
        <f>Bachillerato!Z156</f>
        <v>14</v>
      </c>
      <c r="O156" s="34">
        <f>Bachillerato!AA156</f>
        <v>14</v>
      </c>
      <c r="P156" s="34">
        <f>Bachillerato!AB156</f>
        <v>7</v>
      </c>
      <c r="Q156" s="34">
        <f t="shared" si="35"/>
        <v>21</v>
      </c>
      <c r="R156" s="34">
        <f t="shared" si="36"/>
        <v>56</v>
      </c>
      <c r="S156" s="34">
        <f t="shared" si="37"/>
        <v>77</v>
      </c>
      <c r="T156" s="34">
        <f t="shared" si="38"/>
        <v>154</v>
      </c>
    </row>
    <row r="157" spans="1:20">
      <c r="A157" s="251"/>
      <c r="B157" s="23" t="s">
        <v>87</v>
      </c>
      <c r="C157" s="34">
        <f>Preescolar!Q117</f>
        <v>7</v>
      </c>
      <c r="D157" s="34">
        <f>Preescolar!R117</f>
        <v>6</v>
      </c>
      <c r="E157" s="34">
        <f>Preescolar!S117</f>
        <v>8</v>
      </c>
      <c r="F157" s="34">
        <f>Primaria!U157</f>
        <v>10</v>
      </c>
      <c r="G157" s="34">
        <f>Primaria!V157</f>
        <v>9</v>
      </c>
      <c r="H157" s="34">
        <f>Primaria!W157</f>
        <v>14</v>
      </c>
      <c r="I157" s="34">
        <f>Primaria!X157</f>
        <v>8</v>
      </c>
      <c r="J157" s="34">
        <f>Primaria!Y157</f>
        <v>15</v>
      </c>
      <c r="K157" s="34">
        <f>Bachillerato!W157</f>
        <v>17</v>
      </c>
      <c r="L157" s="34">
        <f>Bachillerato!X157</f>
        <v>10</v>
      </c>
      <c r="M157" s="34">
        <f>Bachillerato!Y157</f>
        <v>16</v>
      </c>
      <c r="N157" s="34">
        <f>Bachillerato!Z157</f>
        <v>14</v>
      </c>
      <c r="O157" s="34">
        <f>Bachillerato!AA157</f>
        <v>15</v>
      </c>
      <c r="P157" s="34">
        <f>Bachillerato!AB157</f>
        <v>8</v>
      </c>
      <c r="Q157" s="34">
        <f t="shared" si="35"/>
        <v>21</v>
      </c>
      <c r="R157" s="34">
        <f t="shared" si="36"/>
        <v>56</v>
      </c>
      <c r="S157" s="34">
        <f t="shared" si="37"/>
        <v>80</v>
      </c>
      <c r="T157" s="34">
        <f t="shared" si="38"/>
        <v>157</v>
      </c>
    </row>
    <row r="158" spans="1:20">
      <c r="A158" s="251"/>
      <c r="B158" s="23" t="s">
        <v>173</v>
      </c>
      <c r="C158" s="34">
        <f>Preescolar!Q118</f>
        <v>7</v>
      </c>
      <c r="D158" s="34">
        <f>Preescolar!R118</f>
        <v>6</v>
      </c>
      <c r="E158" s="34">
        <f>Preescolar!S118</f>
        <v>8</v>
      </c>
      <c r="F158" s="34">
        <f>Primaria!U158</f>
        <v>10</v>
      </c>
      <c r="G158" s="34">
        <f>Primaria!V158</f>
        <v>9</v>
      </c>
      <c r="H158" s="34">
        <f>Primaria!W158</f>
        <v>14</v>
      </c>
      <c r="I158" s="34">
        <f>Primaria!X158</f>
        <v>8</v>
      </c>
      <c r="J158" s="34">
        <f>Primaria!Y158</f>
        <v>15</v>
      </c>
      <c r="K158" s="34">
        <f>Bachillerato!W158</f>
        <v>17</v>
      </c>
      <c r="L158" s="34">
        <f>Bachillerato!X158</f>
        <v>10</v>
      </c>
      <c r="M158" s="34">
        <f>Bachillerato!Y158</f>
        <v>16</v>
      </c>
      <c r="N158" s="34">
        <f>Bachillerato!Z158</f>
        <v>14</v>
      </c>
      <c r="O158" s="34">
        <f>Bachillerato!AA158</f>
        <v>15</v>
      </c>
      <c r="P158" s="34">
        <f>Bachillerato!AB158</f>
        <v>8</v>
      </c>
      <c r="Q158" s="34">
        <f t="shared" si="35"/>
        <v>21</v>
      </c>
      <c r="R158" s="34">
        <f t="shared" si="36"/>
        <v>56</v>
      </c>
      <c r="S158" s="34">
        <f t="shared" si="37"/>
        <v>80</v>
      </c>
      <c r="T158" s="34">
        <f t="shared" si="38"/>
        <v>157</v>
      </c>
    </row>
  </sheetData>
  <mergeCells count="16">
    <mergeCell ref="A147:A158"/>
    <mergeCell ref="A135:A146"/>
    <mergeCell ref="B1:P1"/>
    <mergeCell ref="A3:A14"/>
    <mergeCell ref="A15:A26"/>
    <mergeCell ref="B41:P41"/>
    <mergeCell ref="A43:A54"/>
    <mergeCell ref="A55:A66"/>
    <mergeCell ref="B81:P81"/>
    <mergeCell ref="A83:A94"/>
    <mergeCell ref="A95:A106"/>
    <mergeCell ref="B121:P121"/>
    <mergeCell ref="A123:A134"/>
    <mergeCell ref="A27:A38"/>
    <mergeCell ref="A67:A78"/>
    <mergeCell ref="A107:A1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03DB-72AB-4DD4-8B7F-0135B71173BC}">
  <dimension ref="A2:E59"/>
  <sheetViews>
    <sheetView showGridLines="0" topLeftCell="A46" zoomScaleNormal="100" workbookViewId="0">
      <selection activeCell="A46" sqref="A46"/>
    </sheetView>
  </sheetViews>
  <sheetFormatPr defaultColWidth="11.42578125" defaultRowHeight="18.600000000000001"/>
  <cols>
    <col min="1" max="1" width="25.5703125" style="101" customWidth="1"/>
    <col min="2" max="4" width="10.5703125" customWidth="1"/>
    <col min="5" max="5" width="15.5703125" customWidth="1"/>
    <col min="6" max="6" width="2.5703125" customWidth="1"/>
  </cols>
  <sheetData>
    <row r="2" spans="1:5">
      <c r="A2" s="101" t="s">
        <v>1437</v>
      </c>
    </row>
    <row r="5" spans="1:5">
      <c r="A5" s="101" t="s">
        <v>1438</v>
      </c>
    </row>
    <row r="8" spans="1:5">
      <c r="A8" s="101" t="s">
        <v>1439</v>
      </c>
    </row>
    <row r="11" spans="1:5">
      <c r="A11" s="101" t="s">
        <v>1440</v>
      </c>
    </row>
    <row r="14" spans="1:5" ht="18.95" thickBot="1">
      <c r="A14" s="261" t="s">
        <v>1441</v>
      </c>
      <c r="B14" s="261"/>
      <c r="C14" s="261"/>
      <c r="D14" s="261"/>
      <c r="E14" s="261"/>
    </row>
    <row r="18" spans="1:5">
      <c r="A18" s="101" t="s">
        <v>1437</v>
      </c>
    </row>
    <row r="21" spans="1:5">
      <c r="A21" s="101" t="s">
        <v>1439</v>
      </c>
    </row>
    <row r="24" spans="1:5">
      <c r="A24" s="101" t="s">
        <v>1440</v>
      </c>
    </row>
    <row r="27" spans="1:5" ht="18.95" thickBot="1">
      <c r="A27" s="261" t="s">
        <v>1442</v>
      </c>
      <c r="B27" s="261"/>
      <c r="C27" s="261"/>
      <c r="D27" s="261"/>
      <c r="E27" s="261"/>
    </row>
    <row r="31" spans="1:5">
      <c r="A31" s="101" t="s">
        <v>1437</v>
      </c>
    </row>
    <row r="34" spans="1:5">
      <c r="A34" s="101" t="s">
        <v>1438</v>
      </c>
    </row>
    <row r="37" spans="1:5">
      <c r="A37" s="101" t="s">
        <v>1439</v>
      </c>
    </row>
    <row r="40" spans="1:5">
      <c r="A40" s="101" t="s">
        <v>1440</v>
      </c>
    </row>
    <row r="43" spans="1:5" ht="18.95" thickBot="1">
      <c r="A43" s="261" t="s">
        <v>1443</v>
      </c>
      <c r="B43" s="261"/>
      <c r="C43" s="261"/>
      <c r="D43" s="261"/>
      <c r="E43" s="261"/>
    </row>
    <row r="47" spans="1:5">
      <c r="A47" s="101" t="s">
        <v>1437</v>
      </c>
    </row>
    <row r="50" spans="1:5">
      <c r="A50" s="101" t="s">
        <v>1438</v>
      </c>
    </row>
    <row r="53" spans="1:5">
      <c r="A53" s="101" t="s">
        <v>1439</v>
      </c>
    </row>
    <row r="56" spans="1:5">
      <c r="A56" s="101" t="s">
        <v>1440</v>
      </c>
    </row>
    <row r="59" spans="1:5" ht="18.95" thickBot="1">
      <c r="A59" s="261" t="s">
        <v>1444</v>
      </c>
      <c r="B59" s="261"/>
      <c r="C59" s="261"/>
      <c r="D59" s="261"/>
      <c r="E59" s="261"/>
    </row>
  </sheetData>
  <mergeCells count="4">
    <mergeCell ref="A14:E14"/>
    <mergeCell ref="A27:E27"/>
    <mergeCell ref="A43:E43"/>
    <mergeCell ref="A59:E5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AEA5-7C4B-493B-8BE0-A4D5AE694B36}">
  <sheetPr>
    <tabColor theme="8" tint="0.59999389629810485"/>
  </sheetPr>
  <dimension ref="A1:X22"/>
  <sheetViews>
    <sheetView showGridLines="0" zoomScale="110" zoomScaleNormal="110" workbookViewId="0">
      <selection activeCell="AC16" sqref="AC16"/>
    </sheetView>
  </sheetViews>
  <sheetFormatPr defaultColWidth="7.5703125" defaultRowHeight="14.45"/>
  <cols>
    <col min="1" max="1" width="4.140625" style="31" bestFit="1" customWidth="1"/>
    <col min="2" max="2" width="12.140625" style="31" bestFit="1" customWidth="1"/>
    <col min="3" max="5" width="7.5703125" style="31" customWidth="1"/>
    <col min="6" max="16" width="4.5703125" style="31" customWidth="1"/>
    <col min="17" max="24" width="7.5703125" style="31" customWidth="1"/>
    <col min="25" max="16384" width="7.5703125" style="31"/>
  </cols>
  <sheetData>
    <row r="1" spans="1:24" s="70" customFormat="1" ht="10.5">
      <c r="C1" s="70">
        <v>2</v>
      </c>
      <c r="D1" s="70">
        <v>3</v>
      </c>
      <c r="E1" s="70">
        <v>4</v>
      </c>
      <c r="F1" s="70">
        <v>5</v>
      </c>
      <c r="G1" s="70">
        <v>6</v>
      </c>
      <c r="H1" s="70">
        <v>7</v>
      </c>
      <c r="I1" s="70">
        <v>8</v>
      </c>
      <c r="J1" s="70">
        <v>9</v>
      </c>
      <c r="K1" s="70">
        <v>10</v>
      </c>
      <c r="L1" s="70">
        <v>11</v>
      </c>
      <c r="M1" s="70">
        <v>12</v>
      </c>
      <c r="N1" s="70">
        <v>13</v>
      </c>
      <c r="O1" s="70">
        <v>14</v>
      </c>
      <c r="P1" s="70">
        <v>15</v>
      </c>
      <c r="Q1" s="70">
        <v>16</v>
      </c>
      <c r="R1" s="70">
        <v>17</v>
      </c>
      <c r="S1" s="70">
        <v>18</v>
      </c>
      <c r="T1" s="70">
        <v>19</v>
      </c>
    </row>
    <row r="2" spans="1:24" ht="20.100000000000001" customHeight="1">
      <c r="B2" s="127" t="s">
        <v>1421</v>
      </c>
      <c r="C2" s="128" t="s">
        <v>18</v>
      </c>
      <c r="D2" s="128" t="s">
        <v>32</v>
      </c>
      <c r="E2" s="128" t="s">
        <v>15</v>
      </c>
      <c r="F2" s="129" t="s">
        <v>324</v>
      </c>
      <c r="G2" s="129" t="s">
        <v>326</v>
      </c>
      <c r="H2" s="129" t="s">
        <v>321</v>
      </c>
      <c r="I2" s="129" t="s">
        <v>319</v>
      </c>
      <c r="J2" s="129" t="s">
        <v>329</v>
      </c>
      <c r="K2" s="129" t="s">
        <v>760</v>
      </c>
      <c r="L2" s="129" t="s">
        <v>763</v>
      </c>
      <c r="M2" s="129" t="s">
        <v>753</v>
      </c>
      <c r="N2" s="129" t="s">
        <v>757</v>
      </c>
      <c r="O2" s="129" t="s">
        <v>771</v>
      </c>
      <c r="P2" s="129" t="s">
        <v>755</v>
      </c>
      <c r="Q2" s="128" t="s">
        <v>1433</v>
      </c>
      <c r="R2" s="128" t="s">
        <v>1434</v>
      </c>
      <c r="S2" s="128" t="s">
        <v>1435</v>
      </c>
      <c r="T2" s="128" t="s">
        <v>1436</v>
      </c>
    </row>
    <row r="3" spans="1:24" ht="20.100000000000001" customHeight="1">
      <c r="C3" s="116" t="s">
        <v>1420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4" ht="20.100000000000001" customHeight="1">
      <c r="A4" s="263" t="s">
        <v>1445</v>
      </c>
      <c r="B4" s="264" t="s">
        <v>77</v>
      </c>
      <c r="C4" s="34">
        <f>VLOOKUP($B4,General!$B$27:$T$38,Resumen!C$1,FALSE)</f>
        <v>81</v>
      </c>
      <c r="D4" s="34">
        <f>VLOOKUP($B4,General!$B$27:$T$38,Resumen!D$1,FALSE)</f>
        <v>42</v>
      </c>
      <c r="E4" s="34">
        <f>VLOOKUP($B4,General!$B$27:$T$38,Resumen!E$1,FALSE)</f>
        <v>28</v>
      </c>
      <c r="F4" s="34">
        <f>VLOOKUP($B4,General!$B$27:$T$38,Resumen!F$1,FALSE)</f>
        <v>58</v>
      </c>
      <c r="G4" s="34">
        <f>VLOOKUP($B4,General!$B$27:$T$38,Resumen!G$1,FALSE)</f>
        <v>44</v>
      </c>
      <c r="H4" s="34">
        <f>VLOOKUP($B4,General!$B$27:$T$38,Resumen!H$1,FALSE)</f>
        <v>54</v>
      </c>
      <c r="I4" s="34">
        <f>VLOOKUP($B4,General!$B$27:$T$38,Resumen!I$1,FALSE)</f>
        <v>51</v>
      </c>
      <c r="J4" s="34">
        <f>VLOOKUP($B4,General!$B$27:$T$38,Resumen!J$1,FALSE)</f>
        <v>54</v>
      </c>
      <c r="K4" s="34">
        <f>VLOOKUP($B4,General!$B$27:$T$38,Resumen!K$1,FALSE)</f>
        <v>81</v>
      </c>
      <c r="L4" s="34">
        <f>VLOOKUP($B4,General!$B$27:$T$38,Resumen!L$1,FALSE)</f>
        <v>71</v>
      </c>
      <c r="M4" s="34">
        <f>VLOOKUP($B4,General!$B$27:$T$38,Resumen!M$1,FALSE)</f>
        <v>87</v>
      </c>
      <c r="N4" s="34">
        <f>VLOOKUP($B4,General!$B$27:$T$38,Resumen!N$1,FALSE)</f>
        <v>65</v>
      </c>
      <c r="O4" s="34">
        <f>VLOOKUP($B4,General!$B$27:$T$38,Resumen!O$1,FALSE)</f>
        <v>68</v>
      </c>
      <c r="P4" s="34">
        <f>VLOOKUP($B4,General!$B$27:$T$38,Resumen!P$1,FALSE)</f>
        <v>29</v>
      </c>
      <c r="Q4" s="34">
        <f>VLOOKUP($B4,General!$B$27:$T$38,Resumen!Q$1,FALSE)</f>
        <v>151</v>
      </c>
      <c r="R4" s="34">
        <f>VLOOKUP($B4,General!$B$27:$T$38,Resumen!R$1,FALSE)</f>
        <v>261</v>
      </c>
      <c r="S4" s="34">
        <f>VLOOKUP($B4,General!$B$27:$T$38,Resumen!S$1,FALSE)</f>
        <v>401</v>
      </c>
      <c r="T4" s="34">
        <f>VLOOKUP($B4,General!$B$27:$T$38,Resumen!T$1,FALSE)</f>
        <v>813</v>
      </c>
    </row>
    <row r="5" spans="1:24" ht="20.100000000000001" customHeight="1">
      <c r="A5" s="263"/>
      <c r="B5" s="264"/>
      <c r="C5" s="114" t="s">
        <v>1431</v>
      </c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24" ht="20.100000000000001" customHeight="1">
      <c r="A6" s="263"/>
      <c r="B6" s="264"/>
      <c r="C6" s="34">
        <f>VLOOKUP($B4,General!$B$67:$T$78,Resumen!C$1,FALSE)</f>
        <v>0</v>
      </c>
      <c r="D6" s="34">
        <f>VLOOKUP($B4,General!$B$67:$T$78,Resumen!D$1,FALSE)</f>
        <v>0</v>
      </c>
      <c r="E6" s="34">
        <f>VLOOKUP($B4,General!$B$67:$T$78,Resumen!E$1,FALSE)</f>
        <v>0</v>
      </c>
      <c r="F6" s="34">
        <f>VLOOKUP($B4,General!$B$67:$T$78,Resumen!F$1,FALSE)</f>
        <v>0</v>
      </c>
      <c r="G6" s="34">
        <f>VLOOKUP($B4,General!$B$67:$T$78,Resumen!G$1,FALSE)</f>
        <v>0</v>
      </c>
      <c r="H6" s="34">
        <f>VLOOKUP($B4,General!$B$67:$T$78,Resumen!H$1,FALSE)</f>
        <v>0</v>
      </c>
      <c r="I6" s="34">
        <f>VLOOKUP($B4,General!$B$67:$T$78,Resumen!I$1,FALSE)</f>
        <v>0</v>
      </c>
      <c r="J6" s="34">
        <f>VLOOKUP($B4,General!$B$67:$T$78,Resumen!J$1,FALSE)</f>
        <v>23</v>
      </c>
      <c r="K6" s="34">
        <f>VLOOKUP($B4,General!$B$67:$T$78,Resumen!K$1,FALSE)</f>
        <v>28</v>
      </c>
      <c r="L6" s="34">
        <f>VLOOKUP($B4,General!$B$67:$T$78,Resumen!L$1,FALSE)</f>
        <v>26</v>
      </c>
      <c r="M6" s="34">
        <f>VLOOKUP($B4,General!$B$67:$T$78,Resumen!M$1,FALSE)</f>
        <v>47</v>
      </c>
      <c r="N6" s="34">
        <f>VLOOKUP($B4,General!$B$67:$T$78,Resumen!N$1,FALSE)</f>
        <v>32</v>
      </c>
      <c r="O6" s="34">
        <f>VLOOKUP($B4,General!$B$67:$T$78,Resumen!O$1,FALSE)</f>
        <v>37</v>
      </c>
      <c r="P6" s="34">
        <f>VLOOKUP($B4,General!$B$67:$T$78,Resumen!P$1,FALSE)</f>
        <v>16</v>
      </c>
      <c r="Q6" s="34">
        <f>VLOOKUP($B4,General!$B$67:$T$78,Resumen!Q$1,FALSE)</f>
        <v>0</v>
      </c>
      <c r="R6" s="34">
        <f>VLOOKUP($B4,General!$B$67:$T$78,Resumen!R$1,FALSE)</f>
        <v>23</v>
      </c>
      <c r="S6" s="34">
        <f>VLOOKUP($B4,General!$B$67:$T$78,Resumen!S$1,FALSE)</f>
        <v>186</v>
      </c>
      <c r="T6" s="34">
        <f>VLOOKUP($B4,General!$B$67:$T$78,Resumen!T$1,FALSE)</f>
        <v>209</v>
      </c>
    </row>
    <row r="7" spans="1:24" ht="20.100000000000001" customHeight="1">
      <c r="A7" s="263"/>
      <c r="B7" s="264"/>
      <c r="C7" s="112" t="s">
        <v>1425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24" ht="20.100000000000001" customHeight="1">
      <c r="A8" s="263"/>
      <c r="B8" s="264"/>
      <c r="C8" s="34">
        <f>VLOOKUP($B4,General!$B$107:$T$118,Resumen!C$1,FALSE)</f>
        <v>6</v>
      </c>
      <c r="D8" s="34">
        <f>VLOOKUP($B4,General!$B$107:$T$118,Resumen!D$1,FALSE)</f>
        <v>8</v>
      </c>
      <c r="E8" s="34">
        <f>VLOOKUP($B4,General!$B$107:$T$118,Resumen!E$1,FALSE)</f>
        <v>12</v>
      </c>
      <c r="F8" s="34">
        <f>VLOOKUP($B4,General!$B$107:$T$118,Resumen!F$1,FALSE)</f>
        <v>14</v>
      </c>
      <c r="G8" s="34">
        <f>VLOOKUP($B4,General!$B$107:$T$118,Resumen!G$1,FALSE)</f>
        <v>15</v>
      </c>
      <c r="H8" s="34">
        <f>VLOOKUP($B4,General!$B$107:$T$118,Resumen!H$1,FALSE)</f>
        <v>16</v>
      </c>
      <c r="I8" s="34">
        <f>VLOOKUP($B4,General!$B$107:$T$118,Resumen!I$1,FALSE)</f>
        <v>12</v>
      </c>
      <c r="J8" s="34">
        <f>VLOOKUP($B4,General!$B$107:$T$118,Resumen!J$1,FALSE)</f>
        <v>19</v>
      </c>
      <c r="K8" s="34">
        <f>VLOOKUP($B4,General!$B$107:$T$118,Resumen!K$1,FALSE)</f>
        <v>22</v>
      </c>
      <c r="L8" s="34">
        <f>VLOOKUP($B4,General!$B$107:$T$118,Resumen!L$1,FALSE)</f>
        <v>18</v>
      </c>
      <c r="M8" s="34">
        <f>VLOOKUP($B4,General!$B$107:$T$118,Resumen!M$1,FALSE)</f>
        <v>34</v>
      </c>
      <c r="N8" s="34">
        <f>VLOOKUP($B4,General!$B$107:$T$118,Resumen!N$1,FALSE)</f>
        <v>23</v>
      </c>
      <c r="O8" s="34">
        <f>VLOOKUP($B4,General!$B$107:$T$118,Resumen!O$1,FALSE)</f>
        <v>26</v>
      </c>
      <c r="P8" s="34">
        <f>VLOOKUP($B4,General!$B$107:$T$118,Resumen!P$1,FALSE)</f>
        <v>10</v>
      </c>
      <c r="Q8" s="34">
        <f>VLOOKUP($B4,General!$B$107:$T$118,Resumen!Q$1,FALSE)</f>
        <v>26</v>
      </c>
      <c r="R8" s="34">
        <f>VLOOKUP($B4,General!$B$107:$T$118,Resumen!R$1,FALSE)</f>
        <v>76</v>
      </c>
      <c r="S8" s="34">
        <f>VLOOKUP($B4,General!$B$107:$T$118,Resumen!S$1,FALSE)</f>
        <v>133</v>
      </c>
      <c r="T8" s="34">
        <f>VLOOKUP($B4,General!$B$107:$T$118,Resumen!T$1,FALSE)</f>
        <v>235</v>
      </c>
    </row>
    <row r="9" spans="1:24" ht="20.100000000000001" customHeight="1">
      <c r="A9" s="263"/>
      <c r="B9" s="264"/>
      <c r="C9" s="110" t="s">
        <v>1428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</row>
    <row r="10" spans="1:24" ht="20.100000000000001" customHeight="1">
      <c r="A10" s="263"/>
      <c r="B10" s="264"/>
      <c r="C10" s="34">
        <f>VLOOKUP($B4,General!$B$147:$T$158,Resumen!C$1,FALSE)</f>
        <v>6</v>
      </c>
      <c r="D10" s="34">
        <f>VLOOKUP($B4,General!$B$147:$T$158,Resumen!D$1,FALSE)</f>
        <v>5</v>
      </c>
      <c r="E10" s="34">
        <f>VLOOKUP($B4,General!$B$147:$T$158,Resumen!E$1,FALSE)</f>
        <v>7</v>
      </c>
      <c r="F10" s="34">
        <f>VLOOKUP($B4,General!$B$147:$T$158,Resumen!F$1,FALSE)</f>
        <v>10</v>
      </c>
      <c r="G10" s="34">
        <f>VLOOKUP($B4,General!$B$147:$T$158,Resumen!G$1,FALSE)</f>
        <v>9</v>
      </c>
      <c r="H10" s="34">
        <f>VLOOKUP($B4,General!$B$147:$T$158,Resumen!H$1,FALSE)</f>
        <v>13</v>
      </c>
      <c r="I10" s="34">
        <f>VLOOKUP($B4,General!$B$147:$T$158,Resumen!I$1,FALSE)</f>
        <v>8</v>
      </c>
      <c r="J10" s="34">
        <f>VLOOKUP($B4,General!$B$147:$T$158,Resumen!J$1,FALSE)</f>
        <v>15</v>
      </c>
      <c r="K10" s="34">
        <f>VLOOKUP($B4,General!$B$147:$T$158,Resumen!K$1,FALSE)</f>
        <v>15</v>
      </c>
      <c r="L10" s="34">
        <f>VLOOKUP($B4,General!$B$147:$T$158,Resumen!L$1,FALSE)</f>
        <v>10</v>
      </c>
      <c r="M10" s="34">
        <f>VLOOKUP($B4,General!$B$147:$T$158,Resumen!M$1,FALSE)</f>
        <v>16</v>
      </c>
      <c r="N10" s="34">
        <f>VLOOKUP($B4,General!$B$147:$T$158,Resumen!N$1,FALSE)</f>
        <v>14</v>
      </c>
      <c r="O10" s="34">
        <f>VLOOKUP($B4,General!$B$147:$T$158,Resumen!O$1,FALSE)</f>
        <v>14</v>
      </c>
      <c r="P10" s="34">
        <f>VLOOKUP($B4,General!$B$147:$T$158,Resumen!P$1,FALSE)</f>
        <v>7</v>
      </c>
      <c r="Q10" s="34">
        <f>VLOOKUP($B4,General!$B$147:$T$158,Resumen!Q$1,FALSE)</f>
        <v>18</v>
      </c>
      <c r="R10" s="34">
        <f>VLOOKUP($B4,General!$B$147:$T$158,Resumen!R$1,FALSE)</f>
        <v>55</v>
      </c>
      <c r="S10" s="34">
        <f>VLOOKUP($B4,General!$B$147:$T$158,Resumen!S$1,FALSE)</f>
        <v>76</v>
      </c>
      <c r="T10" s="34">
        <f>VLOOKUP($B4,General!$B$147:$T$158,Resumen!T$1,FALSE)</f>
        <v>149</v>
      </c>
    </row>
    <row r="13" spans="1:24" ht="30" customHeight="1">
      <c r="A13" s="262"/>
      <c r="B13" s="109" t="s">
        <v>1446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6" t="s">
        <v>1447</v>
      </c>
      <c r="V13" s="107"/>
      <c r="W13" s="107"/>
      <c r="X13" s="108"/>
    </row>
    <row r="14" spans="1:24">
      <c r="A14" s="262"/>
      <c r="B14" s="130" t="s">
        <v>1421</v>
      </c>
      <c r="C14" s="131" t="s">
        <v>18</v>
      </c>
      <c r="D14" s="131" t="s">
        <v>32</v>
      </c>
      <c r="E14" s="131" t="s">
        <v>15</v>
      </c>
      <c r="F14" s="132" t="s">
        <v>324</v>
      </c>
      <c r="G14" s="132" t="s">
        <v>326</v>
      </c>
      <c r="H14" s="132" t="s">
        <v>321</v>
      </c>
      <c r="I14" s="132" t="s">
        <v>319</v>
      </c>
      <c r="J14" s="132" t="s">
        <v>329</v>
      </c>
      <c r="K14" s="132" t="s">
        <v>760</v>
      </c>
      <c r="L14" s="132" t="s">
        <v>763</v>
      </c>
      <c r="M14" s="132" t="s">
        <v>753</v>
      </c>
      <c r="N14" s="132" t="s">
        <v>757</v>
      </c>
      <c r="O14" s="132" t="s">
        <v>771</v>
      </c>
      <c r="P14" s="132" t="s">
        <v>755</v>
      </c>
      <c r="Q14" s="133" t="s">
        <v>1433</v>
      </c>
      <c r="R14" s="133" t="s">
        <v>1434</v>
      </c>
      <c r="S14" s="133" t="s">
        <v>1435</v>
      </c>
      <c r="T14" s="130" t="s">
        <v>1436</v>
      </c>
      <c r="U14" s="133" t="s">
        <v>1433</v>
      </c>
      <c r="V14" s="133" t="s">
        <v>1434</v>
      </c>
      <c r="W14" s="133" t="s">
        <v>1435</v>
      </c>
      <c r="X14" s="130" t="s">
        <v>1436</v>
      </c>
    </row>
    <row r="15" spans="1:24" ht="30" customHeight="1">
      <c r="A15" s="262"/>
      <c r="B15" s="118" t="s">
        <v>1437</v>
      </c>
      <c r="C15" s="119">
        <f>C4/C10</f>
        <v>13.5</v>
      </c>
      <c r="D15" s="119">
        <f t="shared" ref="D15:T15" si="0">D4/D10</f>
        <v>8.4</v>
      </c>
      <c r="E15" s="119">
        <f t="shared" si="0"/>
        <v>4</v>
      </c>
      <c r="F15" s="119">
        <f t="shared" si="0"/>
        <v>5.8</v>
      </c>
      <c r="G15" s="119">
        <f t="shared" si="0"/>
        <v>4.8888888888888893</v>
      </c>
      <c r="H15" s="119">
        <f t="shared" si="0"/>
        <v>4.1538461538461542</v>
      </c>
      <c r="I15" s="119">
        <f t="shared" si="0"/>
        <v>6.375</v>
      </c>
      <c r="J15" s="119">
        <f t="shared" si="0"/>
        <v>3.6</v>
      </c>
      <c r="K15" s="119">
        <f t="shared" si="0"/>
        <v>5.4</v>
      </c>
      <c r="L15" s="119">
        <f t="shared" si="0"/>
        <v>7.1</v>
      </c>
      <c r="M15" s="119">
        <f t="shared" si="0"/>
        <v>5.4375</v>
      </c>
      <c r="N15" s="119">
        <f t="shared" si="0"/>
        <v>4.6428571428571432</v>
      </c>
      <c r="O15" s="119">
        <f t="shared" si="0"/>
        <v>4.8571428571428568</v>
      </c>
      <c r="P15" s="119">
        <f t="shared" si="0"/>
        <v>4.1428571428571432</v>
      </c>
      <c r="Q15" s="119">
        <f t="shared" si="0"/>
        <v>8.3888888888888893</v>
      </c>
      <c r="R15" s="119">
        <f t="shared" si="0"/>
        <v>4.7454545454545451</v>
      </c>
      <c r="S15" s="119">
        <f t="shared" si="0"/>
        <v>5.2763157894736841</v>
      </c>
      <c r="T15" s="120">
        <f t="shared" si="0"/>
        <v>5.4563758389261743</v>
      </c>
      <c r="U15" s="134">
        <f t="shared" ref="U15:W17" si="1">1/Q15</f>
        <v>0.11920529801324503</v>
      </c>
      <c r="V15" s="134">
        <f t="shared" si="1"/>
        <v>0.21072796934865901</v>
      </c>
      <c r="W15" s="134">
        <f t="shared" si="1"/>
        <v>0.18952618453865336</v>
      </c>
      <c r="X15" s="134">
        <f>1/T15</f>
        <v>0.1832718327183272</v>
      </c>
    </row>
    <row r="16" spans="1:24" ht="30" customHeight="1">
      <c r="A16" s="262"/>
      <c r="B16" s="121" t="s">
        <v>315</v>
      </c>
      <c r="C16" s="122"/>
      <c r="D16" s="122"/>
      <c r="E16" s="122"/>
      <c r="F16" s="122"/>
      <c r="G16" s="122"/>
      <c r="H16" s="122"/>
      <c r="I16" s="122"/>
      <c r="J16" s="122">
        <f>J6/J10</f>
        <v>1.5333333333333334</v>
      </c>
      <c r="K16" s="122">
        <f t="shared" ref="K16:S16" si="2">K6/K10</f>
        <v>1.8666666666666667</v>
      </c>
      <c r="L16" s="122">
        <f t="shared" si="2"/>
        <v>2.6</v>
      </c>
      <c r="M16" s="122">
        <f t="shared" si="2"/>
        <v>2.9375</v>
      </c>
      <c r="N16" s="122">
        <f t="shared" si="2"/>
        <v>2.2857142857142856</v>
      </c>
      <c r="O16" s="122">
        <f t="shared" si="2"/>
        <v>2.6428571428571428</v>
      </c>
      <c r="P16" s="122">
        <f t="shared" si="2"/>
        <v>2.2857142857142856</v>
      </c>
      <c r="Q16" s="122"/>
      <c r="R16" s="122">
        <f>J6/J10</f>
        <v>1.5333333333333334</v>
      </c>
      <c r="S16" s="122">
        <f t="shared" si="2"/>
        <v>2.4473684210526314</v>
      </c>
      <c r="T16" s="123">
        <f>T6/SUM(J10:P10)</f>
        <v>2.2967032967032965</v>
      </c>
      <c r="U16" s="135"/>
      <c r="V16" s="135">
        <f t="shared" si="1"/>
        <v>0.65217391304347827</v>
      </c>
      <c r="W16" s="135">
        <f t="shared" si="1"/>
        <v>0.40860215053763443</v>
      </c>
      <c r="X16" s="135">
        <f>1/T16</f>
        <v>0.43540669856459335</v>
      </c>
    </row>
    <row r="17" spans="1:24" ht="30" customHeight="1">
      <c r="A17" s="262"/>
      <c r="B17" s="124" t="s">
        <v>6</v>
      </c>
      <c r="C17" s="125">
        <f>C8/C10</f>
        <v>1</v>
      </c>
      <c r="D17" s="125">
        <f t="shared" ref="D17:T17" si="3">D8/D10</f>
        <v>1.6</v>
      </c>
      <c r="E17" s="125">
        <f t="shared" si="3"/>
        <v>1.7142857142857142</v>
      </c>
      <c r="F17" s="125">
        <f t="shared" si="3"/>
        <v>1.4</v>
      </c>
      <c r="G17" s="125">
        <f t="shared" si="3"/>
        <v>1.6666666666666667</v>
      </c>
      <c r="H17" s="125">
        <f t="shared" si="3"/>
        <v>1.2307692307692308</v>
      </c>
      <c r="I17" s="125">
        <f t="shared" si="3"/>
        <v>1.5</v>
      </c>
      <c r="J17" s="125">
        <f t="shared" si="3"/>
        <v>1.2666666666666666</v>
      </c>
      <c r="K17" s="125">
        <f t="shared" si="3"/>
        <v>1.4666666666666666</v>
      </c>
      <c r="L17" s="125">
        <f t="shared" si="3"/>
        <v>1.8</v>
      </c>
      <c r="M17" s="125">
        <f t="shared" si="3"/>
        <v>2.125</v>
      </c>
      <c r="N17" s="125">
        <f t="shared" si="3"/>
        <v>1.6428571428571428</v>
      </c>
      <c r="O17" s="125">
        <f t="shared" si="3"/>
        <v>1.8571428571428572</v>
      </c>
      <c r="P17" s="125">
        <f t="shared" si="3"/>
        <v>1.4285714285714286</v>
      </c>
      <c r="Q17" s="125">
        <f t="shared" si="3"/>
        <v>1.4444444444444444</v>
      </c>
      <c r="R17" s="125">
        <f t="shared" si="3"/>
        <v>1.3818181818181818</v>
      </c>
      <c r="S17" s="125">
        <f t="shared" si="3"/>
        <v>1.75</v>
      </c>
      <c r="T17" s="126">
        <f t="shared" si="3"/>
        <v>1.5771812080536913</v>
      </c>
      <c r="U17" s="136">
        <f t="shared" si="1"/>
        <v>0.69230769230769229</v>
      </c>
      <c r="V17" s="136">
        <f t="shared" si="1"/>
        <v>0.72368421052631582</v>
      </c>
      <c r="W17" s="136">
        <f t="shared" si="1"/>
        <v>0.5714285714285714</v>
      </c>
      <c r="X17" s="136">
        <f>1/T17</f>
        <v>0.63404255319148939</v>
      </c>
    </row>
    <row r="19" spans="1:24">
      <c r="T19" s="81"/>
    </row>
    <row r="20" spans="1:24"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</row>
    <row r="21" spans="1:24"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</row>
    <row r="22" spans="1:24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</row>
  </sheetData>
  <mergeCells count="3">
    <mergeCell ref="A13:A17"/>
    <mergeCell ref="A4:A10"/>
    <mergeCell ref="B4:B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76E88B-234A-4F87-A7D7-7BBFD4C09F0D}">
          <x14:formula1>
            <xm:f>General!$B$3:$B$14</xm:f>
          </x14:formula1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F222-AC30-4D8C-A2A4-95A0E155570F}">
  <sheetPr>
    <tabColor rgb="FFFF0000"/>
  </sheetPr>
  <dimension ref="A1:U17"/>
  <sheetViews>
    <sheetView showGridLines="0" workbookViewId="0">
      <selection activeCell="Z1" sqref="Z1"/>
    </sheetView>
  </sheetViews>
  <sheetFormatPr defaultColWidth="7.5703125" defaultRowHeight="14.45"/>
  <cols>
    <col min="1" max="1" width="4.140625" style="31" bestFit="1" customWidth="1"/>
    <col min="2" max="2" width="12.140625" style="31" bestFit="1" customWidth="1"/>
    <col min="3" max="16384" width="7.5703125" style="31"/>
  </cols>
  <sheetData>
    <row r="1" spans="1:21" s="70" customFormat="1" ht="10.5">
      <c r="C1" s="70">
        <v>2</v>
      </c>
      <c r="D1" s="70">
        <v>3</v>
      </c>
      <c r="E1" s="70">
        <v>4</v>
      </c>
      <c r="F1" s="70">
        <v>5</v>
      </c>
      <c r="G1" s="70">
        <v>6</v>
      </c>
      <c r="H1" s="70">
        <v>7</v>
      </c>
      <c r="I1" s="70">
        <v>8</v>
      </c>
      <c r="J1" s="70">
        <v>9</v>
      </c>
      <c r="K1" s="70">
        <v>10</v>
      </c>
      <c r="L1" s="70">
        <v>11</v>
      </c>
      <c r="M1" s="70">
        <v>12</v>
      </c>
      <c r="N1" s="70">
        <v>13</v>
      </c>
      <c r="O1" s="70">
        <v>14</v>
      </c>
      <c r="P1" s="70">
        <v>15</v>
      </c>
      <c r="Q1" s="70">
        <v>16</v>
      </c>
      <c r="R1" s="70">
        <v>17</v>
      </c>
      <c r="S1" s="70">
        <v>18</v>
      </c>
      <c r="T1" s="70">
        <v>19</v>
      </c>
    </row>
    <row r="2" spans="1:21">
      <c r="C2" s="266" t="s">
        <v>1420</v>
      </c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</row>
    <row r="3" spans="1:21">
      <c r="B3" s="71" t="s">
        <v>1421</v>
      </c>
      <c r="C3" s="32" t="s">
        <v>18</v>
      </c>
      <c r="D3" s="32" t="s">
        <v>32</v>
      </c>
      <c r="E3" s="32" t="s">
        <v>15</v>
      </c>
      <c r="F3" s="32" t="s">
        <v>324</v>
      </c>
      <c r="G3" s="32" t="s">
        <v>326</v>
      </c>
      <c r="H3" s="32" t="s">
        <v>321</v>
      </c>
      <c r="I3" s="32" t="s">
        <v>319</v>
      </c>
      <c r="J3" s="32" t="s">
        <v>329</v>
      </c>
      <c r="K3" s="32" t="s">
        <v>760</v>
      </c>
      <c r="L3" s="32" t="s">
        <v>763</v>
      </c>
      <c r="M3" s="32" t="s">
        <v>753</v>
      </c>
      <c r="N3" s="32" t="s">
        <v>757</v>
      </c>
      <c r="O3" s="32" t="s">
        <v>771</v>
      </c>
      <c r="P3" s="32" t="s">
        <v>755</v>
      </c>
      <c r="Q3" s="72" t="s">
        <v>1433</v>
      </c>
      <c r="R3" s="72" t="s">
        <v>1434</v>
      </c>
      <c r="S3" s="72" t="s">
        <v>1435</v>
      </c>
      <c r="T3" s="72" t="s">
        <v>1436</v>
      </c>
    </row>
    <row r="4" spans="1:21">
      <c r="A4" s="268">
        <v>2023</v>
      </c>
      <c r="B4" s="264" t="s">
        <v>173</v>
      </c>
      <c r="C4" s="34">
        <f>VLOOKUP($B4,General!$B$3:$T$14,'Resumen 2023 - ERROR'!C$1,FALSE)</f>
        <v>30</v>
      </c>
      <c r="D4" s="34">
        <f>VLOOKUP($B4,General!$B$3:$T$14,'Resumen 2023 - ERROR'!D$1,FALSE)</f>
        <v>11</v>
      </c>
      <c r="E4" s="34">
        <f>VLOOKUP($B4,General!$B$3:$T$14,'Resumen 2023 - ERROR'!E$1,FALSE)</f>
        <v>18</v>
      </c>
      <c r="F4" s="34">
        <f>VLOOKUP($B4,General!$B$3:$T$14,'Resumen 2023 - ERROR'!F$1,FALSE)</f>
        <v>27</v>
      </c>
      <c r="G4" s="34">
        <f>VLOOKUP($B4,General!$B$3:$T$14,'Resumen 2023 - ERROR'!G$1,FALSE)</f>
        <v>14</v>
      </c>
      <c r="H4" s="34">
        <f>VLOOKUP($B4,General!$B$3:$T$14,'Resumen 2023 - ERROR'!H$1,FALSE)</f>
        <v>21</v>
      </c>
      <c r="I4" s="34">
        <f>VLOOKUP($B4,General!$B$3:$T$14,'Resumen 2023 - ERROR'!I$1,FALSE)</f>
        <v>16</v>
      </c>
      <c r="J4" s="34">
        <f>VLOOKUP($B4,General!$B$3:$T$14,'Resumen 2023 - ERROR'!J$1,FALSE)</f>
        <v>21</v>
      </c>
      <c r="K4" s="34">
        <f>VLOOKUP($B4,General!$B$3:$T$14,'Resumen 2023 - ERROR'!K$1,FALSE)</f>
        <v>36</v>
      </c>
      <c r="L4" s="34">
        <f>VLOOKUP($B4,General!$B$3:$T$14,'Resumen 2023 - ERROR'!L$1,FALSE)</f>
        <v>29</v>
      </c>
      <c r="M4" s="34">
        <f>VLOOKUP($B4,General!$B$3:$T$14,'Resumen 2023 - ERROR'!M$1,FALSE)</f>
        <v>37</v>
      </c>
      <c r="N4" s="34">
        <f>VLOOKUP($B4,General!$B$3:$T$14,'Resumen 2023 - ERROR'!N$1,FALSE)</f>
        <v>24</v>
      </c>
      <c r="O4" s="34">
        <f>VLOOKUP($B4,General!$B$3:$T$14,'Resumen 2023 - ERROR'!O$1,FALSE)</f>
        <v>28</v>
      </c>
      <c r="P4" s="34">
        <f>VLOOKUP($B4,General!$B$3:$T$14,'Resumen 2023 - ERROR'!P$1,FALSE)</f>
        <v>15</v>
      </c>
      <c r="Q4" s="34">
        <f>VLOOKUP($B4,General!$B$3:$T$14,'Resumen 2023 - ERROR'!Q$1,FALSE)</f>
        <v>59</v>
      </c>
      <c r="R4" s="34">
        <f>VLOOKUP($B4,General!$B$3:$T$14,'Resumen 2023 - ERROR'!R$1,FALSE)</f>
        <v>99</v>
      </c>
      <c r="S4" s="34">
        <f>VLOOKUP($B4,General!$B$3:$T$14,'Resumen 2023 - ERROR'!S$1,FALSE)</f>
        <v>169</v>
      </c>
      <c r="T4" s="34">
        <f>VLOOKUP($B4,General!$B$3:$T$14,'Resumen 2023 - ERROR'!T$1,FALSE)</f>
        <v>327</v>
      </c>
    </row>
    <row r="5" spans="1:21">
      <c r="A5" s="268"/>
      <c r="B5" s="264"/>
      <c r="C5" s="269" t="s">
        <v>1431</v>
      </c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</row>
    <row r="6" spans="1:21">
      <c r="A6" s="268"/>
      <c r="B6" s="264"/>
      <c r="C6" s="34">
        <f>VLOOKUP($B4,General!$B$43:$T$54,'Resumen 2023 - ERROR'!C$1,FALSE)</f>
        <v>0</v>
      </c>
      <c r="D6" s="34">
        <f>VLOOKUP($B4,General!$B$43:$T$54,'Resumen 2023 - ERROR'!D$1,FALSE)</f>
        <v>0</v>
      </c>
      <c r="E6" s="34">
        <f>VLOOKUP($B4,General!$B$43:$T$54,'Resumen 2023 - ERROR'!E$1,FALSE)</f>
        <v>0</v>
      </c>
      <c r="F6" s="34">
        <f>VLOOKUP($B4,General!$B$43:$T$54,'Resumen 2023 - ERROR'!F$1,FALSE)</f>
        <v>0</v>
      </c>
      <c r="G6" s="34">
        <f>VLOOKUP($B4,General!$B$43:$T$54,'Resumen 2023 - ERROR'!G$1,FALSE)</f>
        <v>0</v>
      </c>
      <c r="H6" s="34">
        <f>VLOOKUP($B4,General!$B$43:$T$54,'Resumen 2023 - ERROR'!H$1,FALSE)</f>
        <v>0</v>
      </c>
      <c r="I6" s="34">
        <f>VLOOKUP($B4,General!$B$43:$T$54,'Resumen 2023 - ERROR'!I$1,FALSE)</f>
        <v>0</v>
      </c>
      <c r="J6" s="34">
        <f>VLOOKUP($B4,General!$B$43:$T$54,'Resumen 2023 - ERROR'!J$1,FALSE)</f>
        <v>6</v>
      </c>
      <c r="K6" s="34">
        <f>VLOOKUP($B4,General!$B$43:$T$54,'Resumen 2023 - ERROR'!K$1,FALSE)</f>
        <v>10</v>
      </c>
      <c r="L6" s="34">
        <f>VLOOKUP($B4,General!$B$43:$T$54,'Resumen 2023 - ERROR'!L$1,FALSE)</f>
        <v>9</v>
      </c>
      <c r="M6" s="34">
        <f>VLOOKUP($B4,General!$B$43:$T$54,'Resumen 2023 - ERROR'!M$1,FALSE)</f>
        <v>18</v>
      </c>
      <c r="N6" s="34">
        <f>VLOOKUP($B4,General!$B$43:$T$54,'Resumen 2023 - ERROR'!N$1,FALSE)</f>
        <v>14</v>
      </c>
      <c r="O6" s="34">
        <f>VLOOKUP($B4,General!$B$43:$T$54,'Resumen 2023 - ERROR'!O$1,FALSE)</f>
        <v>16</v>
      </c>
      <c r="P6" s="34">
        <f>VLOOKUP($B4,General!$B$43:$T$54,'Resumen 2023 - ERROR'!P$1,FALSE)</f>
        <v>10</v>
      </c>
      <c r="Q6" s="34">
        <f>VLOOKUP($B4,General!$B$43:$T$54,'Resumen 2023 - ERROR'!Q$1,FALSE)</f>
        <v>0</v>
      </c>
      <c r="R6" s="34">
        <f>VLOOKUP($B4,General!$B$43:$T$54,'Resumen 2023 - ERROR'!R$1,FALSE)</f>
        <v>6</v>
      </c>
      <c r="S6" s="34">
        <f>VLOOKUP($B4,General!$B$43:$T$54,'Resumen 2023 - ERROR'!S$1,FALSE)</f>
        <v>77</v>
      </c>
      <c r="T6" s="34">
        <f>VLOOKUP($B4,General!$B$43:$T$54,'Resumen 2023 - ERROR'!T$1,FALSE)</f>
        <v>83</v>
      </c>
    </row>
    <row r="7" spans="1:21">
      <c r="A7" s="268"/>
      <c r="B7" s="264"/>
      <c r="C7" s="269" t="s">
        <v>1425</v>
      </c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</row>
    <row r="8" spans="1:21">
      <c r="A8" s="268"/>
      <c r="B8" s="264"/>
      <c r="C8" s="34">
        <f>VLOOKUP($B4,General!$B$83:$T$94,'Resumen 2023 - ERROR'!C$1,FALSE)</f>
        <v>2</v>
      </c>
      <c r="D8" s="34">
        <f>VLOOKUP($B4,General!$B$83:$T$94,'Resumen 2023 - ERROR'!D$1,FALSE)</f>
        <v>1</v>
      </c>
      <c r="E8" s="34">
        <f>VLOOKUP($B4,General!$B$83:$T$94,'Resumen 2023 - ERROR'!E$1,FALSE)</f>
        <v>5</v>
      </c>
      <c r="F8" s="34">
        <f>VLOOKUP($B4,General!$B$83:$T$94,'Resumen 2023 - ERROR'!F$1,FALSE)</f>
        <v>5</v>
      </c>
      <c r="G8" s="34">
        <f>VLOOKUP($B4,General!$B$83:$T$94,'Resumen 2023 - ERROR'!G$1,FALSE)</f>
        <v>5</v>
      </c>
      <c r="H8" s="34">
        <f>VLOOKUP($B4,General!$B$83:$T$94,'Resumen 2023 - ERROR'!H$1,FALSE)</f>
        <v>4</v>
      </c>
      <c r="I8" s="34">
        <f>VLOOKUP($B4,General!$B$83:$T$94,'Resumen 2023 - ERROR'!I$1,FALSE)</f>
        <v>4</v>
      </c>
      <c r="J8" s="34">
        <f>VLOOKUP($B4,General!$B$83:$T$94,'Resumen 2023 - ERROR'!J$1,FALSE)</f>
        <v>7</v>
      </c>
      <c r="K8" s="34">
        <f>VLOOKUP($B4,General!$B$83:$T$94,'Resumen 2023 - ERROR'!K$1,FALSE)</f>
        <v>8</v>
      </c>
      <c r="L8" s="34">
        <f>VLOOKUP($B4,General!$B$83:$T$94,'Resumen 2023 - ERROR'!L$1,FALSE)</f>
        <v>8</v>
      </c>
      <c r="M8" s="34">
        <f>VLOOKUP($B4,General!$B$83:$T$94,'Resumen 2023 - ERROR'!M$1,FALSE)</f>
        <v>10</v>
      </c>
      <c r="N8" s="34">
        <f>VLOOKUP($B4,General!$B$83:$T$94,'Resumen 2023 - ERROR'!N$1,FALSE)</f>
        <v>8</v>
      </c>
      <c r="O8" s="34">
        <f>VLOOKUP($B4,General!$B$83:$T$94,'Resumen 2023 - ERROR'!O$1,FALSE)</f>
        <v>9</v>
      </c>
      <c r="P8" s="34">
        <f>VLOOKUP($B4,General!$B$83:$T$94,'Resumen 2023 - ERROR'!P$1,FALSE)</f>
        <v>7</v>
      </c>
      <c r="Q8" s="34">
        <f>VLOOKUP($B4,General!$B$83:$T$94,'Resumen 2023 - ERROR'!Q$1,FALSE)</f>
        <v>8</v>
      </c>
      <c r="R8" s="34">
        <f>VLOOKUP($B4,General!$B$83:$T$94,'Resumen 2023 - ERROR'!R$1,FALSE)</f>
        <v>25</v>
      </c>
      <c r="S8" s="34">
        <f>VLOOKUP($B4,General!$B$83:$T$94,'Resumen 2023 - ERROR'!S$1,FALSE)</f>
        <v>50</v>
      </c>
      <c r="T8" s="34">
        <f>VLOOKUP($B4,General!$B$83:$T$94,'Resumen 2023 - ERROR'!T$1,FALSE)</f>
        <v>83</v>
      </c>
    </row>
    <row r="9" spans="1:21">
      <c r="A9" s="268"/>
      <c r="B9" s="264"/>
      <c r="C9" s="269" t="s">
        <v>1428</v>
      </c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</row>
    <row r="10" spans="1:21">
      <c r="A10" s="268"/>
      <c r="B10" s="264"/>
      <c r="C10" s="34">
        <f>VLOOKUP($B4,General!$B$123:$T$134,'Resumen 2023 - ERROR'!C$1,FALSE)</f>
        <v>1</v>
      </c>
      <c r="D10" s="34">
        <f>VLOOKUP($B4,General!$B$123:$T$134,'Resumen 2023 - ERROR'!D$1,FALSE)</f>
        <v>1</v>
      </c>
      <c r="E10" s="34">
        <f>VLOOKUP($B4,General!$B$123:$T$134,'Resumen 2023 - ERROR'!E$1,FALSE)</f>
        <v>2</v>
      </c>
      <c r="F10" s="34">
        <f>VLOOKUP($B4,General!$B$123:$T$134,'Resumen 2023 - ERROR'!F$1,FALSE)</f>
        <v>2</v>
      </c>
      <c r="G10" s="34">
        <f>VLOOKUP($B4,General!$B$123:$T$134,'Resumen 2023 - ERROR'!G$1,FALSE)</f>
        <v>3</v>
      </c>
      <c r="H10" s="34">
        <f>VLOOKUP($B4,General!$B$123:$T$134,'Resumen 2023 - ERROR'!H$1,FALSE)</f>
        <v>2</v>
      </c>
      <c r="I10" s="34">
        <f>VLOOKUP($B4,General!$B$123:$T$134,'Resumen 2023 - ERROR'!I$1,FALSE)</f>
        <v>2</v>
      </c>
      <c r="J10" s="34">
        <f>VLOOKUP($B4,General!$B$123:$T$134,'Resumen 2023 - ERROR'!J$1,FALSE)</f>
        <v>2</v>
      </c>
      <c r="K10" s="34">
        <f>VLOOKUP($B4,General!$B$123:$T$134,'Resumen 2023 - ERROR'!K$1,FALSE)</f>
        <v>4</v>
      </c>
      <c r="L10" s="34">
        <f>VLOOKUP($B4,General!$B$123:$T$134,'Resumen 2023 - ERROR'!L$1,FALSE)</f>
        <v>7</v>
      </c>
      <c r="M10" s="34">
        <f>VLOOKUP($B4,General!$B$123:$T$134,'Resumen 2023 - ERROR'!M$1,FALSE)</f>
        <v>4</v>
      </c>
      <c r="N10" s="34">
        <f>VLOOKUP($B4,General!$B$123:$T$134,'Resumen 2023 - ERROR'!N$1,FALSE)</f>
        <v>2</v>
      </c>
      <c r="O10" s="34">
        <f>VLOOKUP($B4,General!$B$123:$T$134,'Resumen 2023 - ERROR'!O$1,FALSE)</f>
        <v>4</v>
      </c>
      <c r="P10" s="34">
        <f>VLOOKUP($B4,General!$B$123:$T$134,'Resumen 2023 - ERROR'!P$1,FALSE)</f>
        <v>6</v>
      </c>
      <c r="Q10" s="34">
        <f>VLOOKUP($B4,General!$B$123:$T$134,'Resumen 2023 - ERROR'!Q$1,FALSE)</f>
        <v>4</v>
      </c>
      <c r="R10" s="34">
        <f>VLOOKUP($B4,General!$B$123:$T$134,'Resumen 2023 - ERROR'!R$1,FALSE)</f>
        <v>11</v>
      </c>
      <c r="S10" s="34">
        <f>VLOOKUP($B4,General!$B$123:$T$134,'Resumen 2023 - ERROR'!S$1,FALSE)</f>
        <v>27</v>
      </c>
      <c r="T10" s="34">
        <f>VLOOKUP($B4,General!$B$123:$T$134,'Resumen 2023 - ERROR'!T$1,FALSE)</f>
        <v>42</v>
      </c>
    </row>
    <row r="13" spans="1:21" ht="30" customHeight="1">
      <c r="B13" s="265" t="s">
        <v>1446</v>
      </c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</row>
    <row r="14" spans="1:21">
      <c r="B14" s="74" t="s">
        <v>1421</v>
      </c>
      <c r="C14" s="75" t="s">
        <v>18</v>
      </c>
      <c r="D14" s="75" t="s">
        <v>32</v>
      </c>
      <c r="E14" s="75" t="s">
        <v>15</v>
      </c>
      <c r="F14" s="75" t="s">
        <v>324</v>
      </c>
      <c r="G14" s="75" t="s">
        <v>326</v>
      </c>
      <c r="H14" s="75" t="s">
        <v>321</v>
      </c>
      <c r="I14" s="75" t="s">
        <v>319</v>
      </c>
      <c r="J14" s="75" t="s">
        <v>329</v>
      </c>
      <c r="K14" s="75" t="s">
        <v>760</v>
      </c>
      <c r="L14" s="75" t="s">
        <v>763</v>
      </c>
      <c r="M14" s="75" t="s">
        <v>753</v>
      </c>
      <c r="N14" s="75" t="s">
        <v>757</v>
      </c>
      <c r="O14" s="75" t="s">
        <v>771</v>
      </c>
      <c r="P14" s="75" t="s">
        <v>755</v>
      </c>
      <c r="Q14" s="76" t="s">
        <v>1433</v>
      </c>
      <c r="R14" s="76" t="s">
        <v>1434</v>
      </c>
      <c r="S14" s="76" t="s">
        <v>1435</v>
      </c>
      <c r="T14" s="76" t="s">
        <v>1436</v>
      </c>
      <c r="U14" s="31">
        <v>2024</v>
      </c>
    </row>
    <row r="15" spans="1:21" ht="30" customHeight="1">
      <c r="B15" s="77" t="s">
        <v>1437</v>
      </c>
      <c r="C15" s="73">
        <f>C4/C10</f>
        <v>30</v>
      </c>
      <c r="D15" s="73">
        <f t="shared" ref="D15:T15" si="0">D4/D10</f>
        <v>11</v>
      </c>
      <c r="E15" s="73">
        <f t="shared" si="0"/>
        <v>9</v>
      </c>
      <c r="F15" s="73">
        <f t="shared" si="0"/>
        <v>13.5</v>
      </c>
      <c r="G15" s="73">
        <f t="shared" si="0"/>
        <v>4.666666666666667</v>
      </c>
      <c r="H15" s="73">
        <f t="shared" si="0"/>
        <v>10.5</v>
      </c>
      <c r="I15" s="73">
        <f t="shared" si="0"/>
        <v>8</v>
      </c>
      <c r="J15" s="73">
        <f t="shared" si="0"/>
        <v>10.5</v>
      </c>
      <c r="K15" s="73">
        <f t="shared" si="0"/>
        <v>9</v>
      </c>
      <c r="L15" s="73">
        <f t="shared" si="0"/>
        <v>4.1428571428571432</v>
      </c>
      <c r="M15" s="73">
        <f t="shared" si="0"/>
        <v>9.25</v>
      </c>
      <c r="N15" s="73">
        <f t="shared" si="0"/>
        <v>12</v>
      </c>
      <c r="O15" s="73">
        <f t="shared" si="0"/>
        <v>7</v>
      </c>
      <c r="P15" s="73">
        <f t="shared" si="0"/>
        <v>2.5</v>
      </c>
      <c r="Q15" s="73">
        <f t="shared" si="0"/>
        <v>14.75</v>
      </c>
      <c r="R15" s="73">
        <f t="shared" si="0"/>
        <v>9</v>
      </c>
      <c r="S15" s="73">
        <f t="shared" si="0"/>
        <v>6.2592592592592595</v>
      </c>
      <c r="T15" s="78">
        <f t="shared" si="0"/>
        <v>7.7857142857142856</v>
      </c>
      <c r="U15" s="31">
        <f>Resumen!T15</f>
        <v>5.4563758389261743</v>
      </c>
    </row>
    <row r="16" spans="1:21" ht="30" customHeight="1">
      <c r="B16" s="77" t="s">
        <v>315</v>
      </c>
      <c r="C16" s="73"/>
      <c r="D16" s="73"/>
      <c r="E16" s="73"/>
      <c r="F16" s="73"/>
      <c r="G16" s="73"/>
      <c r="H16" s="73"/>
      <c r="I16" s="73"/>
      <c r="J16" s="73">
        <f>J6/J10</f>
        <v>3</v>
      </c>
      <c r="K16" s="73">
        <f t="shared" ref="K16:S16" si="1">K6/K10</f>
        <v>2.5</v>
      </c>
      <c r="L16" s="73">
        <f t="shared" si="1"/>
        <v>1.2857142857142858</v>
      </c>
      <c r="M16" s="73">
        <f t="shared" si="1"/>
        <v>4.5</v>
      </c>
      <c r="N16" s="73">
        <f t="shared" si="1"/>
        <v>7</v>
      </c>
      <c r="O16" s="73">
        <f t="shared" si="1"/>
        <v>4</v>
      </c>
      <c r="P16" s="73">
        <f t="shared" si="1"/>
        <v>1.6666666666666667</v>
      </c>
      <c r="Q16" s="73"/>
      <c r="R16" s="73">
        <f>R6/J10</f>
        <v>3</v>
      </c>
      <c r="S16" s="73">
        <f t="shared" si="1"/>
        <v>2.8518518518518516</v>
      </c>
      <c r="T16" s="78">
        <f>T6/SUM(J10:P10)</f>
        <v>2.8620689655172415</v>
      </c>
      <c r="U16" s="31">
        <f>Resumen!T16</f>
        <v>2.2967032967032965</v>
      </c>
    </row>
    <row r="17" spans="2:21" ht="30" customHeight="1">
      <c r="B17" s="77" t="s">
        <v>6</v>
      </c>
      <c r="C17" s="73">
        <f>C8/C10</f>
        <v>2</v>
      </c>
      <c r="D17" s="73">
        <f t="shared" ref="D17:T17" si="2">D8/D10</f>
        <v>1</v>
      </c>
      <c r="E17" s="73">
        <f t="shared" si="2"/>
        <v>2.5</v>
      </c>
      <c r="F17" s="73">
        <f t="shared" si="2"/>
        <v>2.5</v>
      </c>
      <c r="G17" s="73">
        <f t="shared" si="2"/>
        <v>1.6666666666666667</v>
      </c>
      <c r="H17" s="73">
        <f t="shared" si="2"/>
        <v>2</v>
      </c>
      <c r="I17" s="73">
        <f t="shared" si="2"/>
        <v>2</v>
      </c>
      <c r="J17" s="73">
        <f t="shared" si="2"/>
        <v>3.5</v>
      </c>
      <c r="K17" s="73">
        <f t="shared" si="2"/>
        <v>2</v>
      </c>
      <c r="L17" s="73">
        <f t="shared" si="2"/>
        <v>1.1428571428571428</v>
      </c>
      <c r="M17" s="73">
        <f t="shared" si="2"/>
        <v>2.5</v>
      </c>
      <c r="N17" s="73">
        <f t="shared" si="2"/>
        <v>4</v>
      </c>
      <c r="O17" s="73">
        <f t="shared" si="2"/>
        <v>2.25</v>
      </c>
      <c r="P17" s="73">
        <f t="shared" si="2"/>
        <v>1.1666666666666667</v>
      </c>
      <c r="Q17" s="73">
        <f t="shared" si="2"/>
        <v>2</v>
      </c>
      <c r="R17" s="73">
        <f t="shared" si="2"/>
        <v>2.2727272727272729</v>
      </c>
      <c r="S17" s="73">
        <f t="shared" si="2"/>
        <v>1.8518518518518519</v>
      </c>
      <c r="T17" s="78">
        <f t="shared" si="2"/>
        <v>1.9761904761904763</v>
      </c>
      <c r="U17" s="31">
        <f>Resumen!T17</f>
        <v>1.5771812080536913</v>
      </c>
    </row>
  </sheetData>
  <mergeCells count="7">
    <mergeCell ref="B13:T13"/>
    <mergeCell ref="C2:T2"/>
    <mergeCell ref="A4:A10"/>
    <mergeCell ref="B4:B10"/>
    <mergeCell ref="C5:T5"/>
    <mergeCell ref="C7:T7"/>
    <mergeCell ref="C9:T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4F678-6297-4108-B58A-8452E6BC1435}">
          <x14:formula1>
            <xm:f>General!$B$3:$B$14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AD42-6B43-410F-84E7-0C22C1E4986B}">
  <sheetPr>
    <tabColor theme="6" tint="0.39997558519241921"/>
  </sheetPr>
  <dimension ref="A1:U22"/>
  <sheetViews>
    <sheetView showGridLines="0" workbookViewId="0">
      <selection activeCell="W5" sqref="W5"/>
    </sheetView>
  </sheetViews>
  <sheetFormatPr defaultColWidth="7.5703125" defaultRowHeight="14.45"/>
  <cols>
    <col min="1" max="1" width="4.140625" style="31" bestFit="1" customWidth="1"/>
    <col min="2" max="2" width="12.140625" style="31" bestFit="1" customWidth="1"/>
    <col min="3" max="16384" width="7.5703125" style="31"/>
  </cols>
  <sheetData>
    <row r="1" spans="1:21" s="70" customFormat="1" ht="10.5">
      <c r="C1" s="70">
        <v>2</v>
      </c>
      <c r="D1" s="70">
        <v>3</v>
      </c>
      <c r="E1" s="70">
        <v>4</v>
      </c>
      <c r="F1" s="70">
        <v>5</v>
      </c>
      <c r="G1" s="70">
        <v>6</v>
      </c>
      <c r="H1" s="70">
        <v>7</v>
      </c>
      <c r="I1" s="70">
        <v>8</v>
      </c>
      <c r="J1" s="70">
        <v>9</v>
      </c>
      <c r="K1" s="70">
        <v>10</v>
      </c>
      <c r="L1" s="70">
        <v>11</v>
      </c>
      <c r="M1" s="70">
        <v>12</v>
      </c>
      <c r="N1" s="70">
        <v>13</v>
      </c>
      <c r="O1" s="70">
        <v>14</v>
      </c>
      <c r="P1" s="70">
        <v>15</v>
      </c>
      <c r="Q1" s="70">
        <v>16</v>
      </c>
      <c r="R1" s="70">
        <v>17</v>
      </c>
      <c r="S1" s="70">
        <v>18</v>
      </c>
      <c r="T1" s="70">
        <v>19</v>
      </c>
    </row>
    <row r="2" spans="1:21">
      <c r="C2" s="266" t="s">
        <v>1420</v>
      </c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</row>
    <row r="3" spans="1:21">
      <c r="B3" s="71" t="s">
        <v>1421</v>
      </c>
      <c r="C3" s="32" t="s">
        <v>18</v>
      </c>
      <c r="D3" s="32" t="s">
        <v>32</v>
      </c>
      <c r="E3" s="32" t="s">
        <v>15</v>
      </c>
      <c r="F3" s="32" t="s">
        <v>324</v>
      </c>
      <c r="G3" s="32" t="s">
        <v>326</v>
      </c>
      <c r="H3" s="32" t="s">
        <v>321</v>
      </c>
      <c r="I3" s="32" t="s">
        <v>319</v>
      </c>
      <c r="J3" s="32" t="s">
        <v>329</v>
      </c>
      <c r="K3" s="32" t="s">
        <v>760</v>
      </c>
      <c r="L3" s="32" t="s">
        <v>763</v>
      </c>
      <c r="M3" s="32" t="s">
        <v>753</v>
      </c>
      <c r="N3" s="32" t="s">
        <v>757</v>
      </c>
      <c r="O3" s="32" t="s">
        <v>771</v>
      </c>
      <c r="P3" s="32" t="s">
        <v>755</v>
      </c>
      <c r="Q3" s="72" t="s">
        <v>1433</v>
      </c>
      <c r="R3" s="72" t="s">
        <v>1434</v>
      </c>
      <c r="S3" s="72" t="s">
        <v>1435</v>
      </c>
      <c r="T3" s="72" t="s">
        <v>1436</v>
      </c>
    </row>
    <row r="4" spans="1:21" ht="15">
      <c r="A4" s="263" t="s">
        <v>1448</v>
      </c>
      <c r="B4" s="264" t="s">
        <v>68</v>
      </c>
      <c r="C4" s="34">
        <f>VLOOKUP($B4,General2!$B$3:$T$14,Resumen2!C$1,FALSE)</f>
        <v>17</v>
      </c>
      <c r="D4" s="34">
        <f>VLOOKUP($B4,General2!$B$3:$T$14,Resumen2!D$1,FALSE)</f>
        <v>10</v>
      </c>
      <c r="E4" s="34">
        <f>VLOOKUP($B4,General2!$B$3:$T$14,Resumen2!E$1,FALSE)</f>
        <v>4</v>
      </c>
      <c r="F4" s="34">
        <f>VLOOKUP($B4,General2!$B$3:$T$14,Resumen2!F$1,FALSE)</f>
        <v>9</v>
      </c>
      <c r="G4" s="34">
        <f>VLOOKUP($B4,General2!$B$3:$T$14,Resumen2!G$1,FALSE)</f>
        <v>10</v>
      </c>
      <c r="H4" s="34">
        <f>VLOOKUP($B4,General2!$B$3:$T$14,Resumen2!H$1,FALSE)</f>
        <v>9</v>
      </c>
      <c r="I4" s="34">
        <f>VLOOKUP($B4,General2!$B$3:$T$14,Resumen2!I$1,FALSE)</f>
        <v>12</v>
      </c>
      <c r="J4" s="34">
        <f>VLOOKUP($B4,General2!$B$3:$T$14,Resumen2!J$1,FALSE)</f>
        <v>8</v>
      </c>
      <c r="K4" s="34">
        <f>VLOOKUP($B4,General2!$B$3:$T$14,Resumen2!K$1,FALSE)</f>
        <v>13</v>
      </c>
      <c r="L4" s="34">
        <f>VLOOKUP($B4,General2!$B$3:$T$14,Resumen2!L$1,FALSE)</f>
        <v>12</v>
      </c>
      <c r="M4" s="34">
        <f>VLOOKUP($B4,General2!$B$3:$T$14,Resumen2!M$1,FALSE)</f>
        <v>22</v>
      </c>
      <c r="N4" s="34">
        <f>VLOOKUP($B4,General2!$B$3:$T$14,Resumen2!N$1,FALSE)</f>
        <v>15</v>
      </c>
      <c r="O4" s="34">
        <f>VLOOKUP($B4,General2!$B$3:$T$14,Resumen2!O$1,FALSE)</f>
        <v>20</v>
      </c>
      <c r="P4" s="34">
        <f>VLOOKUP($B4,General2!$B$3:$T$14,Resumen2!P$1,FALSE)</f>
        <v>6</v>
      </c>
      <c r="Q4" s="34">
        <f>VLOOKUP($B4,General2!$B$3:$T$14,Resumen2!Q$1,FALSE)</f>
        <v>31</v>
      </c>
      <c r="R4" s="34">
        <f>VLOOKUP($B4,General2!$B$3:$T$14,Resumen2!R$1,FALSE)</f>
        <v>48</v>
      </c>
      <c r="S4" s="34">
        <f>VLOOKUP($B4,General2!$B$3:$T$14,Resumen2!S$1,FALSE)</f>
        <v>88</v>
      </c>
      <c r="T4" s="34">
        <f>VLOOKUP($B4,General2!$B$3:$T$14,Resumen2!T$1,FALSE)</f>
        <v>167</v>
      </c>
    </row>
    <row r="5" spans="1:21">
      <c r="A5" s="263"/>
      <c r="B5" s="264"/>
      <c r="C5" s="269" t="s">
        <v>1431</v>
      </c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</row>
    <row r="6" spans="1:21">
      <c r="A6" s="263"/>
      <c r="B6" s="264"/>
      <c r="C6" s="34">
        <f>VLOOKUP($B4,General2!$B$19:$T$31,Resumen2!C$1,FALSE)</f>
        <v>0</v>
      </c>
      <c r="D6" s="34">
        <f>VLOOKUP($B4,General2!$B$19:$T$31,Resumen2!D$1,FALSE)</f>
        <v>0</v>
      </c>
      <c r="E6" s="34">
        <f>VLOOKUP($B4,General2!$B$19:$T$31,Resumen2!E$1,FALSE)</f>
        <v>0</v>
      </c>
      <c r="F6" s="34">
        <f>VLOOKUP($B4,General2!$B$19:$T$31,Resumen2!F$1,FALSE)</f>
        <v>0</v>
      </c>
      <c r="G6" s="34">
        <f>VLOOKUP($B4,General2!$B$19:$T$31,Resumen2!G$1,FALSE)</f>
        <v>0</v>
      </c>
      <c r="H6" s="34">
        <f>VLOOKUP($B4,General2!$B$19:$T$31,Resumen2!H$1,FALSE)</f>
        <v>0</v>
      </c>
      <c r="I6" s="34">
        <f>VLOOKUP($B4,General2!$B$19:$T$31,Resumen2!I$1,FALSE)</f>
        <v>0</v>
      </c>
      <c r="J6" s="34">
        <f>VLOOKUP($B4,General2!$B$19:$T$31,Resumen2!J$1,FALSE)</f>
        <v>4</v>
      </c>
      <c r="K6" s="34">
        <f>VLOOKUP($B4,General2!$B$19:$T$31,Resumen2!K$1,FALSE)</f>
        <v>3</v>
      </c>
      <c r="L6" s="34">
        <f>VLOOKUP($B4,General2!$B$19:$T$31,Resumen2!L$1,FALSE)</f>
        <v>5</v>
      </c>
      <c r="M6" s="34">
        <f>VLOOKUP($B4,General2!$B$19:$T$31,Resumen2!M$1,FALSE)</f>
        <v>13</v>
      </c>
      <c r="N6" s="34">
        <f>VLOOKUP($B4,General2!$B$19:$T$31,Resumen2!N$1,FALSE)</f>
        <v>7</v>
      </c>
      <c r="O6" s="34">
        <f>VLOOKUP($B4,General2!$B$19:$T$31,Resumen2!O$1,FALSE)</f>
        <v>10</v>
      </c>
      <c r="P6" s="34">
        <f>VLOOKUP($B4,General2!$B$19:$T$31,Resumen2!P$1,FALSE)</f>
        <v>3</v>
      </c>
      <c r="Q6" s="34">
        <f>VLOOKUP($B4,General2!$B$19:$T$31,Resumen2!Q$1,FALSE)</f>
        <v>0</v>
      </c>
      <c r="R6" s="34">
        <f>VLOOKUP($B4,General2!$B$19:$T$31,Resumen2!R$1,FALSE)</f>
        <v>4</v>
      </c>
      <c r="S6" s="34">
        <f>VLOOKUP($B4,General2!$B$19:$T$31,Resumen2!S$1,FALSE)</f>
        <v>41</v>
      </c>
      <c r="T6" s="34">
        <f>VLOOKUP($B4,General2!$B$19:$T$31,Resumen2!T$1,FALSE)</f>
        <v>45</v>
      </c>
    </row>
    <row r="7" spans="1:21">
      <c r="A7" s="263"/>
      <c r="B7" s="264"/>
      <c r="C7" s="269" t="s">
        <v>1425</v>
      </c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</row>
    <row r="8" spans="1:21">
      <c r="A8" s="263"/>
      <c r="B8" s="264"/>
      <c r="C8" s="34">
        <f>VLOOKUP($B4,General2!$B$35:$T$46,Resumen2!C$1,FALSE)</f>
        <v>0</v>
      </c>
      <c r="D8" s="34">
        <f>VLOOKUP($B4,General2!$B$35:$T$46,Resumen2!D$1,FALSE)</f>
        <v>2</v>
      </c>
      <c r="E8" s="34">
        <f>VLOOKUP($B4,General2!$B$35:$T$46,Resumen2!E$1,FALSE)</f>
        <v>2</v>
      </c>
      <c r="F8" s="34">
        <f>VLOOKUP($B4,General2!$B$35:$T$46,Resumen2!F$1,FALSE)</f>
        <v>3</v>
      </c>
      <c r="G8" s="34">
        <f>VLOOKUP($B4,General2!$B$35:$T$46,Resumen2!G$1,FALSE)</f>
        <v>5</v>
      </c>
      <c r="H8" s="34">
        <f>VLOOKUP($B4,General2!$B$35:$T$46,Resumen2!H$1,FALSE)</f>
        <v>3</v>
      </c>
      <c r="I8" s="34">
        <f>VLOOKUP($B4,General2!$B$35:$T$46,Resumen2!I$1,FALSE)</f>
        <v>3</v>
      </c>
      <c r="J8" s="34">
        <f>VLOOKUP($B4,General2!$B$35:$T$46,Resumen2!J$1,FALSE)</f>
        <v>2</v>
      </c>
      <c r="K8" s="34">
        <f>VLOOKUP($B4,General2!$B$35:$T$46,Resumen2!K$1,FALSE)</f>
        <v>4</v>
      </c>
      <c r="L8" s="34">
        <f>VLOOKUP($B4,General2!$B$35:$T$46,Resumen2!L$1,FALSE)</f>
        <v>2</v>
      </c>
      <c r="M8" s="34">
        <f>VLOOKUP($B4,General2!$B$35:$T$46,Resumen2!M$1,FALSE)</f>
        <v>11</v>
      </c>
      <c r="N8" s="34">
        <f>VLOOKUP($B4,General2!$B$35:$T$46,Resumen2!N$1,FALSE)</f>
        <v>5</v>
      </c>
      <c r="O8" s="34">
        <f>VLOOKUP($B4,General2!$B$35:$T$46,Resumen2!O$1,FALSE)</f>
        <v>8</v>
      </c>
      <c r="P8" s="34">
        <f>VLOOKUP($B4,General2!$B$35:$T$46,Resumen2!P$1,FALSE)</f>
        <v>2</v>
      </c>
      <c r="Q8" s="34">
        <f>VLOOKUP($B4,General2!$B$35:$T$46,Resumen2!Q$1,FALSE)</f>
        <v>4</v>
      </c>
      <c r="R8" s="34">
        <f>VLOOKUP($B4,General2!$B$35:$T$46,Resumen2!R$1,FALSE)</f>
        <v>16</v>
      </c>
      <c r="S8" s="34">
        <f>VLOOKUP($B4,General2!$B$35:$T$46,Resumen2!S$1,FALSE)</f>
        <v>32</v>
      </c>
      <c r="T8" s="34">
        <f>VLOOKUP($B4,General2!$B$35:$T$46,Resumen2!T$1,FALSE)</f>
        <v>52</v>
      </c>
    </row>
    <row r="9" spans="1:21">
      <c r="A9" s="263"/>
      <c r="B9" s="264"/>
      <c r="C9" s="269" t="s">
        <v>1428</v>
      </c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</row>
    <row r="10" spans="1:21">
      <c r="A10" s="263"/>
      <c r="B10" s="264"/>
      <c r="C10" s="34">
        <f>VLOOKUP($B4,General2!$B$51:$T$62,Resumen2!C$1,FALSE)</f>
        <v>1</v>
      </c>
      <c r="D10" s="34">
        <f>VLOOKUP($B4,General2!$B$51:$T$62,Resumen2!D$1,FALSE)</f>
        <v>0</v>
      </c>
      <c r="E10" s="34">
        <f>VLOOKUP($B4,General2!$B$51:$T$62,Resumen2!E$1,FALSE)</f>
        <v>3</v>
      </c>
      <c r="F10" s="34">
        <f>VLOOKUP($B4,General2!$B$51:$T$62,Resumen2!F$1,FALSE)</f>
        <v>2</v>
      </c>
      <c r="G10" s="34">
        <f>VLOOKUP($B4,General2!$B$51:$T$62,Resumen2!G$1,FALSE)</f>
        <v>3</v>
      </c>
      <c r="H10" s="34">
        <f>VLOOKUP($B4,General2!$B$51:$T$62,Resumen2!H$1,FALSE)</f>
        <v>4</v>
      </c>
      <c r="I10" s="34">
        <f>VLOOKUP($B4,General2!$B$51:$T$62,Resumen2!I$1,FALSE)</f>
        <v>2</v>
      </c>
      <c r="J10" s="34">
        <f>VLOOKUP($B4,General2!$B$51:$T$62,Resumen2!J$1,FALSE)</f>
        <v>6</v>
      </c>
      <c r="K10" s="34">
        <f>VLOOKUP($B4,General2!$B$51:$T$62,Resumen2!K$1,FALSE)</f>
        <v>2</v>
      </c>
      <c r="L10" s="34">
        <f>VLOOKUP($B4,General2!$B$51:$T$62,Resumen2!L$1,FALSE)</f>
        <v>1</v>
      </c>
      <c r="M10" s="34">
        <f>VLOOKUP($B4,General2!$B$51:$T$62,Resumen2!M$1,FALSE)</f>
        <v>4</v>
      </c>
      <c r="N10" s="34">
        <f>VLOOKUP($B4,General2!$B$51:$T$62,Resumen2!N$1,FALSE)</f>
        <v>3</v>
      </c>
      <c r="O10" s="34">
        <f>VLOOKUP($B4,General2!$B$51:$T$62,Resumen2!O$1,FALSE)</f>
        <v>5</v>
      </c>
      <c r="P10" s="34">
        <f>VLOOKUP($B4,General2!$B$51:$T$62,Resumen2!P$1,FALSE)</f>
        <v>0</v>
      </c>
      <c r="Q10" s="34">
        <f>VLOOKUP($B4,General2!$B$51:$T$62,Resumen2!Q$1,FALSE)</f>
        <v>4</v>
      </c>
      <c r="R10" s="34">
        <f>VLOOKUP($B4,General2!$B$51:$T$62,Resumen2!R$1,FALSE)</f>
        <v>17</v>
      </c>
      <c r="S10" s="34">
        <f>VLOOKUP($B4,General2!$B$51:$T$62,Resumen2!S$1,FALSE)</f>
        <v>15</v>
      </c>
      <c r="T10" s="34">
        <f>VLOOKUP($B4,General2!$B$51:$T$62,Resumen2!T$1,FALSE)</f>
        <v>36</v>
      </c>
    </row>
    <row r="13" spans="1:21" ht="30" customHeight="1">
      <c r="A13" s="271" t="s">
        <v>1449</v>
      </c>
      <c r="B13" s="272" t="s">
        <v>1446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</row>
    <row r="14" spans="1:21">
      <c r="A14" s="271"/>
      <c r="B14" s="76" t="s">
        <v>1421</v>
      </c>
      <c r="C14" s="79" t="s">
        <v>18</v>
      </c>
      <c r="D14" s="79" t="s">
        <v>32</v>
      </c>
      <c r="E14" s="79" t="s">
        <v>15</v>
      </c>
      <c r="F14" s="79" t="s">
        <v>324</v>
      </c>
      <c r="G14" s="79" t="s">
        <v>326</v>
      </c>
      <c r="H14" s="79" t="s">
        <v>321</v>
      </c>
      <c r="I14" s="79" t="s">
        <v>319</v>
      </c>
      <c r="J14" s="79" t="s">
        <v>329</v>
      </c>
      <c r="K14" s="79" t="s">
        <v>760</v>
      </c>
      <c r="L14" s="79" t="s">
        <v>763</v>
      </c>
      <c r="M14" s="79" t="s">
        <v>753</v>
      </c>
      <c r="N14" s="79" t="s">
        <v>757</v>
      </c>
      <c r="O14" s="79" t="s">
        <v>771</v>
      </c>
      <c r="P14" s="79" t="s">
        <v>755</v>
      </c>
      <c r="Q14" s="76" t="s">
        <v>1433</v>
      </c>
      <c r="R14" s="76" t="s">
        <v>1434</v>
      </c>
      <c r="S14" s="76" t="s">
        <v>1435</v>
      </c>
      <c r="T14" s="76" t="s">
        <v>1436</v>
      </c>
    </row>
    <row r="15" spans="1:21" ht="30" customHeight="1">
      <c r="A15" s="271"/>
      <c r="B15" s="77" t="s">
        <v>1437</v>
      </c>
      <c r="C15" s="73">
        <f>C4/C10</f>
        <v>17</v>
      </c>
      <c r="D15" s="73" t="e">
        <f t="shared" ref="D15:T15" si="0">D4/D10</f>
        <v>#DIV/0!</v>
      </c>
      <c r="E15" s="80">
        <f t="shared" si="0"/>
        <v>1.3333333333333333</v>
      </c>
      <c r="F15" s="73">
        <f t="shared" si="0"/>
        <v>4.5</v>
      </c>
      <c r="G15" s="80">
        <f t="shared" si="0"/>
        <v>3.3333333333333335</v>
      </c>
      <c r="H15" s="73">
        <f t="shared" si="0"/>
        <v>2.25</v>
      </c>
      <c r="I15" s="73">
        <f t="shared" si="0"/>
        <v>6</v>
      </c>
      <c r="J15" s="80">
        <f t="shared" si="0"/>
        <v>1.3333333333333333</v>
      </c>
      <c r="K15" s="73">
        <f t="shared" si="0"/>
        <v>6.5</v>
      </c>
      <c r="L15" s="73">
        <f t="shared" si="0"/>
        <v>12</v>
      </c>
      <c r="M15" s="73">
        <f t="shared" si="0"/>
        <v>5.5</v>
      </c>
      <c r="N15" s="73">
        <f t="shared" si="0"/>
        <v>5</v>
      </c>
      <c r="O15" s="73">
        <f t="shared" si="0"/>
        <v>4</v>
      </c>
      <c r="P15" s="73" t="e">
        <f t="shared" si="0"/>
        <v>#DIV/0!</v>
      </c>
      <c r="Q15" s="73">
        <f t="shared" si="0"/>
        <v>7.75</v>
      </c>
      <c r="R15" s="73">
        <f t="shared" si="0"/>
        <v>2.8235294117647061</v>
      </c>
      <c r="S15" s="73">
        <f t="shared" si="0"/>
        <v>5.8666666666666663</v>
      </c>
      <c r="T15" s="78">
        <f t="shared" si="0"/>
        <v>4.6388888888888893</v>
      </c>
      <c r="U15" s="82">
        <f>Resumen!T15</f>
        <v>5.4563758389261743</v>
      </c>
    </row>
    <row r="16" spans="1:21" ht="30" customHeight="1">
      <c r="A16" s="271"/>
      <c r="B16" s="77" t="s">
        <v>315</v>
      </c>
      <c r="C16" s="73"/>
      <c r="D16" s="73"/>
      <c r="E16" s="73"/>
      <c r="F16" s="73"/>
      <c r="G16" s="73"/>
      <c r="H16" s="73"/>
      <c r="I16" s="73"/>
      <c r="J16" s="73">
        <f>J6/J10</f>
        <v>0.66666666666666663</v>
      </c>
      <c r="K16" s="73">
        <f t="shared" ref="K16:S16" si="1">K6/K10</f>
        <v>1.5</v>
      </c>
      <c r="L16" s="73">
        <f t="shared" si="1"/>
        <v>5</v>
      </c>
      <c r="M16" s="73">
        <f t="shared" si="1"/>
        <v>3.25</v>
      </c>
      <c r="N16" s="73">
        <f t="shared" si="1"/>
        <v>2.3333333333333335</v>
      </c>
      <c r="O16" s="73">
        <f t="shared" si="1"/>
        <v>2</v>
      </c>
      <c r="P16" s="73" t="e">
        <f t="shared" si="1"/>
        <v>#DIV/0!</v>
      </c>
      <c r="Q16" s="73"/>
      <c r="R16" s="73">
        <f>R6/J10</f>
        <v>0.66666666666666663</v>
      </c>
      <c r="S16" s="73">
        <f t="shared" si="1"/>
        <v>2.7333333333333334</v>
      </c>
      <c r="T16" s="78">
        <f>T6/SUM(J10:P10)</f>
        <v>2.1428571428571428</v>
      </c>
      <c r="U16" s="82">
        <f>Resumen!T16</f>
        <v>2.2967032967032965</v>
      </c>
    </row>
    <row r="17" spans="1:21" ht="30" customHeight="1">
      <c r="A17" s="271"/>
      <c r="B17" s="77" t="s">
        <v>6</v>
      </c>
      <c r="C17" s="73">
        <f>C8/C10</f>
        <v>0</v>
      </c>
      <c r="D17" s="73" t="e">
        <f t="shared" ref="D17:T17" si="2">D8/D10</f>
        <v>#DIV/0!</v>
      </c>
      <c r="E17" s="73">
        <f t="shared" si="2"/>
        <v>0.66666666666666663</v>
      </c>
      <c r="F17" s="73">
        <f t="shared" si="2"/>
        <v>1.5</v>
      </c>
      <c r="G17" s="73">
        <f t="shared" si="2"/>
        <v>1.6666666666666667</v>
      </c>
      <c r="H17" s="73">
        <f t="shared" si="2"/>
        <v>0.75</v>
      </c>
      <c r="I17" s="73">
        <f t="shared" si="2"/>
        <v>1.5</v>
      </c>
      <c r="J17" s="73">
        <f t="shared" si="2"/>
        <v>0.33333333333333331</v>
      </c>
      <c r="K17" s="73">
        <f t="shared" si="2"/>
        <v>2</v>
      </c>
      <c r="L17" s="73">
        <f t="shared" si="2"/>
        <v>2</v>
      </c>
      <c r="M17" s="73">
        <f t="shared" si="2"/>
        <v>2.75</v>
      </c>
      <c r="N17" s="73">
        <f t="shared" si="2"/>
        <v>1.6666666666666667</v>
      </c>
      <c r="O17" s="73">
        <f t="shared" si="2"/>
        <v>1.6</v>
      </c>
      <c r="P17" s="73" t="e">
        <f t="shared" si="2"/>
        <v>#DIV/0!</v>
      </c>
      <c r="Q17" s="73">
        <f t="shared" si="2"/>
        <v>1</v>
      </c>
      <c r="R17" s="73">
        <f t="shared" si="2"/>
        <v>0.94117647058823528</v>
      </c>
      <c r="S17" s="73">
        <f t="shared" si="2"/>
        <v>2.1333333333333333</v>
      </c>
      <c r="T17" s="78">
        <f t="shared" si="2"/>
        <v>1.4444444444444444</v>
      </c>
      <c r="U17" s="82">
        <f>Resumen!T17</f>
        <v>1.5771812080536913</v>
      </c>
    </row>
    <row r="19" spans="1:21">
      <c r="T19" s="81"/>
    </row>
    <row r="20" spans="1:21"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</row>
    <row r="21" spans="1:21"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</row>
    <row r="22" spans="1:21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</row>
  </sheetData>
  <mergeCells count="8">
    <mergeCell ref="A13:A17"/>
    <mergeCell ref="B13:T13"/>
    <mergeCell ref="C2:T2"/>
    <mergeCell ref="A4:A10"/>
    <mergeCell ref="B4:B10"/>
    <mergeCell ref="C5:T5"/>
    <mergeCell ref="C7:T7"/>
    <mergeCell ref="C9:T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1BDE0-9E31-4B35-9C1B-443CC6307119}">
          <x14:formula1>
            <xm:f>General!$B$3:$B$14</xm:f>
          </x14:formula1>
          <xm:sqref>B4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4427-65A7-4A0E-B693-961848779FB6}">
  <sheetPr>
    <tabColor theme="6" tint="0.39997558519241921"/>
  </sheetPr>
  <dimension ref="A1:U62"/>
  <sheetViews>
    <sheetView showGridLines="0" topLeftCell="A2" workbookViewId="0">
      <selection activeCell="Q15" sqref="Q15"/>
    </sheetView>
  </sheetViews>
  <sheetFormatPr defaultColWidth="6.5703125" defaultRowHeight="14.45"/>
  <cols>
    <col min="1" max="1" width="5.28515625" bestFit="1" customWidth="1"/>
    <col min="2" max="2" width="10.85546875" bestFit="1" customWidth="1"/>
    <col min="16" max="16" width="7.5703125" bestFit="1" customWidth="1"/>
    <col min="17" max="20" width="12.5703125" customWidth="1"/>
  </cols>
  <sheetData>
    <row r="1" spans="1:20">
      <c r="A1" s="31"/>
      <c r="B1" s="258" t="s">
        <v>1420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20">
      <c r="A2" s="31"/>
      <c r="B2" s="22" t="s">
        <v>1421</v>
      </c>
      <c r="C2" s="32" t="s">
        <v>18</v>
      </c>
      <c r="D2" s="32" t="s">
        <v>32</v>
      </c>
      <c r="E2" s="32" t="s">
        <v>15</v>
      </c>
      <c r="F2" s="22" t="s">
        <v>324</v>
      </c>
      <c r="G2" s="22" t="s">
        <v>326</v>
      </c>
      <c r="H2" s="22" t="s">
        <v>321</v>
      </c>
      <c r="I2" s="22" t="s">
        <v>319</v>
      </c>
      <c r="J2" s="22" t="s">
        <v>329</v>
      </c>
      <c r="K2" s="22" t="s">
        <v>760</v>
      </c>
      <c r="L2" s="22" t="s">
        <v>763</v>
      </c>
      <c r="M2" s="22" t="s">
        <v>753</v>
      </c>
      <c r="N2" s="22" t="s">
        <v>757</v>
      </c>
      <c r="O2" s="22" t="s">
        <v>771</v>
      </c>
      <c r="P2" s="22" t="s">
        <v>755</v>
      </c>
      <c r="Q2" s="67" t="s">
        <v>1433</v>
      </c>
      <c r="R2" s="67" t="s">
        <v>1434</v>
      </c>
      <c r="S2" s="67" t="s">
        <v>1435</v>
      </c>
      <c r="T2" s="67" t="s">
        <v>1436</v>
      </c>
    </row>
    <row r="3" spans="1:20">
      <c r="A3" s="251">
        <v>2024</v>
      </c>
      <c r="B3" s="23" t="s">
        <v>13</v>
      </c>
      <c r="C3" s="34">
        <f>Preescolar!J15</f>
        <v>2</v>
      </c>
      <c r="D3" s="34">
        <f>Preescolar!K15</f>
        <v>1</v>
      </c>
      <c r="E3" s="34">
        <f>Preescolar!L15</f>
        <v>2</v>
      </c>
      <c r="F3" s="34">
        <f>Primaria!L15</f>
        <v>2</v>
      </c>
      <c r="G3" s="34">
        <f>Primaria!M15</f>
        <v>2</v>
      </c>
      <c r="H3" s="34">
        <f>Primaria!N15</f>
        <v>1</v>
      </c>
      <c r="I3" s="34">
        <f>Primaria!O15</f>
        <v>3</v>
      </c>
      <c r="J3" s="34">
        <f>Primaria!P15</f>
        <v>0</v>
      </c>
      <c r="K3" s="34">
        <f>Bachillerato!M15</f>
        <v>0</v>
      </c>
      <c r="L3" s="34">
        <f>Bachillerato!N15</f>
        <v>0</v>
      </c>
      <c r="M3" s="34">
        <f>Bachillerato!O15</f>
        <v>3</v>
      </c>
      <c r="N3" s="34">
        <f>Bachillerato!P15</f>
        <v>0</v>
      </c>
      <c r="O3" s="34">
        <f>Bachillerato!Q15</f>
        <v>2</v>
      </c>
      <c r="P3" s="34">
        <f>Bachillerato!R15</f>
        <v>0</v>
      </c>
      <c r="Q3" s="34">
        <f t="shared" ref="Q3:Q14" si="0">SUM(C3:E3)</f>
        <v>5</v>
      </c>
      <c r="R3" s="34">
        <f t="shared" ref="R3:R14" si="1">SUM(F3:J3)</f>
        <v>8</v>
      </c>
      <c r="S3" s="34">
        <f t="shared" ref="S3:S14" si="2">SUM(K3:P3)</f>
        <v>5</v>
      </c>
      <c r="T3" s="34">
        <f t="shared" ref="T3:T14" si="3">SUM(Q3:S3)</f>
        <v>18</v>
      </c>
    </row>
    <row r="4" spans="1:20">
      <c r="A4" s="251"/>
      <c r="B4" s="23" t="s">
        <v>24</v>
      </c>
      <c r="C4" s="34">
        <f>Preescolar!J16</f>
        <v>5</v>
      </c>
      <c r="D4" s="34">
        <f>Preescolar!K16</f>
        <v>2</v>
      </c>
      <c r="E4" s="34">
        <f>Preescolar!L16</f>
        <v>2</v>
      </c>
      <c r="F4" s="34">
        <f>Primaria!L16</f>
        <v>3</v>
      </c>
      <c r="G4" s="34">
        <f>Primaria!M16</f>
        <v>2</v>
      </c>
      <c r="H4" s="34">
        <f>Primaria!N16</f>
        <v>1</v>
      </c>
      <c r="I4" s="34">
        <f>Primaria!O16</f>
        <v>4</v>
      </c>
      <c r="J4" s="34">
        <f>Primaria!P16</f>
        <v>0</v>
      </c>
      <c r="K4" s="34">
        <f>Bachillerato!M16</f>
        <v>2</v>
      </c>
      <c r="L4" s="34">
        <f>Bachillerato!N16</f>
        <v>4</v>
      </c>
      <c r="M4" s="34">
        <f>Bachillerato!O16</f>
        <v>6</v>
      </c>
      <c r="N4" s="34">
        <f>Bachillerato!P16</f>
        <v>3</v>
      </c>
      <c r="O4" s="34">
        <f>Bachillerato!Q16</f>
        <v>7</v>
      </c>
      <c r="P4" s="34">
        <f>Bachillerato!R16</f>
        <v>2</v>
      </c>
      <c r="Q4" s="34">
        <f t="shared" si="0"/>
        <v>9</v>
      </c>
      <c r="R4" s="34">
        <f t="shared" si="1"/>
        <v>10</v>
      </c>
      <c r="S4" s="34">
        <f t="shared" si="2"/>
        <v>24</v>
      </c>
      <c r="T4" s="34">
        <f t="shared" si="3"/>
        <v>43</v>
      </c>
    </row>
    <row r="5" spans="1:20">
      <c r="A5" s="251"/>
      <c r="B5" s="23" t="s">
        <v>34</v>
      </c>
      <c r="C5" s="34">
        <f>Preescolar!J17</f>
        <v>5</v>
      </c>
      <c r="D5" s="34">
        <f>Preescolar!K17</f>
        <v>3</v>
      </c>
      <c r="E5" s="34">
        <f>Preescolar!L17</f>
        <v>2</v>
      </c>
      <c r="F5" s="34">
        <f>Primaria!L17</f>
        <v>3</v>
      </c>
      <c r="G5" s="34">
        <f>Primaria!M17</f>
        <v>3</v>
      </c>
      <c r="H5" s="34">
        <f>Primaria!N17</f>
        <v>1</v>
      </c>
      <c r="I5" s="34">
        <f>Primaria!O17</f>
        <v>6</v>
      </c>
      <c r="J5" s="34">
        <f>Primaria!P17</f>
        <v>0</v>
      </c>
      <c r="K5" s="34">
        <f>Bachillerato!M17</f>
        <v>4</v>
      </c>
      <c r="L5" s="34">
        <f>Bachillerato!N17</f>
        <v>4</v>
      </c>
      <c r="M5" s="34">
        <f>Bachillerato!O17</f>
        <v>8</v>
      </c>
      <c r="N5" s="34">
        <f>Bachillerato!P17</f>
        <v>4</v>
      </c>
      <c r="O5" s="34">
        <f>Bachillerato!Q17</f>
        <v>10</v>
      </c>
      <c r="P5" s="34">
        <f>Bachillerato!R17</f>
        <v>4</v>
      </c>
      <c r="Q5" s="34">
        <f t="shared" si="0"/>
        <v>10</v>
      </c>
      <c r="R5" s="34">
        <f t="shared" si="1"/>
        <v>13</v>
      </c>
      <c r="S5" s="34">
        <f t="shared" si="2"/>
        <v>34</v>
      </c>
      <c r="T5" s="34">
        <f t="shared" si="3"/>
        <v>57</v>
      </c>
    </row>
    <row r="6" spans="1:20">
      <c r="A6" s="251"/>
      <c r="B6" s="23" t="s">
        <v>38</v>
      </c>
      <c r="C6" s="34">
        <f>Preescolar!J18</f>
        <v>8</v>
      </c>
      <c r="D6" s="34">
        <f>Preescolar!K18</f>
        <v>5</v>
      </c>
      <c r="E6" s="34">
        <f>Preescolar!L18</f>
        <v>2</v>
      </c>
      <c r="F6" s="34">
        <f>Primaria!L18</f>
        <v>3</v>
      </c>
      <c r="G6" s="34">
        <f>Primaria!M18</f>
        <v>6</v>
      </c>
      <c r="H6" s="34">
        <f>Primaria!N18</f>
        <v>3</v>
      </c>
      <c r="I6" s="34">
        <f>Primaria!O18</f>
        <v>6</v>
      </c>
      <c r="J6" s="34">
        <f>Primaria!P18</f>
        <v>1</v>
      </c>
      <c r="K6" s="34">
        <f>Bachillerato!M18</f>
        <v>4</v>
      </c>
      <c r="L6" s="34">
        <f>Bachillerato!N18</f>
        <v>4</v>
      </c>
      <c r="M6" s="34">
        <f>Bachillerato!O18</f>
        <v>10</v>
      </c>
      <c r="N6" s="34">
        <f>Bachillerato!P18</f>
        <v>7</v>
      </c>
      <c r="O6" s="34">
        <f>Bachillerato!Q18</f>
        <v>14</v>
      </c>
      <c r="P6" s="34">
        <f>Bachillerato!R18</f>
        <v>5</v>
      </c>
      <c r="Q6" s="34">
        <f t="shared" si="0"/>
        <v>15</v>
      </c>
      <c r="R6" s="34">
        <f t="shared" si="1"/>
        <v>19</v>
      </c>
      <c r="S6" s="34">
        <f t="shared" si="2"/>
        <v>44</v>
      </c>
      <c r="T6" s="34">
        <f t="shared" si="3"/>
        <v>78</v>
      </c>
    </row>
    <row r="7" spans="1:20">
      <c r="A7" s="251"/>
      <c r="B7" s="23" t="s">
        <v>47</v>
      </c>
      <c r="C7" s="34">
        <f>Preescolar!J19</f>
        <v>10</v>
      </c>
      <c r="D7" s="34">
        <f>Preescolar!K19</f>
        <v>7</v>
      </c>
      <c r="E7" s="34">
        <f>Preescolar!L19</f>
        <v>2</v>
      </c>
      <c r="F7" s="34">
        <f>Primaria!L19</f>
        <v>3</v>
      </c>
      <c r="G7" s="34">
        <f>Primaria!M19</f>
        <v>9</v>
      </c>
      <c r="H7" s="34">
        <f>Primaria!N19</f>
        <v>5</v>
      </c>
      <c r="I7" s="34">
        <f>Primaria!O19</f>
        <v>7</v>
      </c>
      <c r="J7" s="34">
        <f>Primaria!P19</f>
        <v>2</v>
      </c>
      <c r="K7" s="34">
        <f>Bachillerato!M19</f>
        <v>6</v>
      </c>
      <c r="L7" s="34">
        <f>Bachillerato!N19</f>
        <v>6</v>
      </c>
      <c r="M7" s="34">
        <f>Bachillerato!O19</f>
        <v>13</v>
      </c>
      <c r="N7" s="34">
        <f>Bachillerato!P19</f>
        <v>8</v>
      </c>
      <c r="O7" s="34">
        <f>Bachillerato!Q19</f>
        <v>15</v>
      </c>
      <c r="P7" s="34">
        <f>Bachillerato!R19</f>
        <v>5</v>
      </c>
      <c r="Q7" s="34">
        <f t="shared" si="0"/>
        <v>19</v>
      </c>
      <c r="R7" s="34">
        <f t="shared" si="1"/>
        <v>26</v>
      </c>
      <c r="S7" s="34">
        <f t="shared" si="2"/>
        <v>53</v>
      </c>
      <c r="T7" s="34">
        <f t="shared" si="3"/>
        <v>98</v>
      </c>
    </row>
    <row r="8" spans="1:20">
      <c r="A8" s="251"/>
      <c r="B8" s="23" t="s">
        <v>57</v>
      </c>
      <c r="C8" s="34">
        <f>Preescolar!J20</f>
        <v>13</v>
      </c>
      <c r="D8" s="34">
        <f>Preescolar!K20</f>
        <v>8</v>
      </c>
      <c r="E8" s="34">
        <f>Preescolar!L20</f>
        <v>3</v>
      </c>
      <c r="F8" s="34">
        <f>Primaria!L20</f>
        <v>4</v>
      </c>
      <c r="G8" s="34">
        <f>Primaria!M20</f>
        <v>9</v>
      </c>
      <c r="H8" s="34">
        <f>Primaria!N20</f>
        <v>7</v>
      </c>
      <c r="I8" s="34">
        <f>Primaria!O20</f>
        <v>9</v>
      </c>
      <c r="J8" s="34">
        <f>Primaria!P20</f>
        <v>2</v>
      </c>
      <c r="K8" s="34">
        <f>Bachillerato!M20</f>
        <v>7</v>
      </c>
      <c r="L8" s="34">
        <f>Bachillerato!N20</f>
        <v>9</v>
      </c>
      <c r="M8" s="34">
        <f>Bachillerato!O20</f>
        <v>16</v>
      </c>
      <c r="N8" s="34">
        <f>Bachillerato!P20</f>
        <v>9</v>
      </c>
      <c r="O8" s="34">
        <f>Bachillerato!Q20</f>
        <v>15</v>
      </c>
      <c r="P8" s="34">
        <f>Bachillerato!R20</f>
        <v>5</v>
      </c>
      <c r="Q8" s="34">
        <f t="shared" si="0"/>
        <v>24</v>
      </c>
      <c r="R8" s="34">
        <f t="shared" si="1"/>
        <v>31</v>
      </c>
      <c r="S8" s="34">
        <f t="shared" si="2"/>
        <v>61</v>
      </c>
      <c r="T8" s="34">
        <f t="shared" si="3"/>
        <v>116</v>
      </c>
    </row>
    <row r="9" spans="1:20">
      <c r="A9" s="251"/>
      <c r="B9" s="23" t="s">
        <v>62</v>
      </c>
      <c r="C9" s="34">
        <f>Preescolar!J21</f>
        <v>16</v>
      </c>
      <c r="D9" s="34">
        <f>Preescolar!K21</f>
        <v>10</v>
      </c>
      <c r="E9" s="34">
        <f>Preescolar!L21</f>
        <v>3</v>
      </c>
      <c r="F9" s="34">
        <f>Primaria!L21</f>
        <v>6</v>
      </c>
      <c r="G9" s="34">
        <f>Primaria!M21</f>
        <v>10</v>
      </c>
      <c r="H9" s="34">
        <f>Primaria!N21</f>
        <v>8</v>
      </c>
      <c r="I9" s="34">
        <f>Primaria!O21</f>
        <v>11</v>
      </c>
      <c r="J9" s="34">
        <f>Primaria!P21</f>
        <v>4</v>
      </c>
      <c r="K9" s="34">
        <f>Bachillerato!M21</f>
        <v>9</v>
      </c>
      <c r="L9" s="34">
        <f>Bachillerato!N21</f>
        <v>10</v>
      </c>
      <c r="M9" s="34">
        <f>Bachillerato!O21</f>
        <v>19</v>
      </c>
      <c r="N9" s="34">
        <f>Bachillerato!P21</f>
        <v>11</v>
      </c>
      <c r="O9" s="34">
        <f>Bachillerato!Q21</f>
        <v>17</v>
      </c>
      <c r="P9" s="34">
        <f>Bachillerato!R21</f>
        <v>5</v>
      </c>
      <c r="Q9" s="34">
        <f t="shared" si="0"/>
        <v>29</v>
      </c>
      <c r="R9" s="34">
        <f t="shared" si="1"/>
        <v>39</v>
      </c>
      <c r="S9" s="34">
        <f t="shared" si="2"/>
        <v>71</v>
      </c>
      <c r="T9" s="34">
        <f t="shared" si="3"/>
        <v>139</v>
      </c>
    </row>
    <row r="10" spans="1:20">
      <c r="A10" s="251"/>
      <c r="B10" s="23" t="s">
        <v>68</v>
      </c>
      <c r="C10" s="34">
        <f>Preescolar!J22</f>
        <v>17</v>
      </c>
      <c r="D10" s="34">
        <f>Preescolar!K22</f>
        <v>10</v>
      </c>
      <c r="E10" s="34">
        <f>Preescolar!L22</f>
        <v>4</v>
      </c>
      <c r="F10" s="34">
        <f>Primaria!L22</f>
        <v>9</v>
      </c>
      <c r="G10" s="34">
        <f>Primaria!M22</f>
        <v>10</v>
      </c>
      <c r="H10" s="34">
        <f>Primaria!N22</f>
        <v>9</v>
      </c>
      <c r="I10" s="34">
        <f>Primaria!O22</f>
        <v>12</v>
      </c>
      <c r="J10" s="34">
        <f>Primaria!P22</f>
        <v>8</v>
      </c>
      <c r="K10" s="34">
        <f>Bachillerato!M22</f>
        <v>13</v>
      </c>
      <c r="L10" s="34">
        <f>Bachillerato!N22</f>
        <v>12</v>
      </c>
      <c r="M10" s="34">
        <f>Bachillerato!O22</f>
        <v>22</v>
      </c>
      <c r="N10" s="34">
        <f>Bachillerato!P22</f>
        <v>15</v>
      </c>
      <c r="O10" s="34">
        <f>Bachillerato!Q22</f>
        <v>20</v>
      </c>
      <c r="P10" s="34">
        <f>Bachillerato!R22</f>
        <v>6</v>
      </c>
      <c r="Q10" s="34">
        <f t="shared" si="0"/>
        <v>31</v>
      </c>
      <c r="R10" s="34">
        <f t="shared" si="1"/>
        <v>48</v>
      </c>
      <c r="S10" s="34">
        <f t="shared" si="2"/>
        <v>88</v>
      </c>
      <c r="T10" s="34">
        <f t="shared" si="3"/>
        <v>167</v>
      </c>
    </row>
    <row r="11" spans="1:20">
      <c r="A11" s="251"/>
      <c r="B11" s="23" t="s">
        <v>77</v>
      </c>
      <c r="C11" s="34">
        <f>Preescolar!J23</f>
        <v>20</v>
      </c>
      <c r="D11" s="34">
        <f>Preescolar!K23</f>
        <v>10</v>
      </c>
      <c r="E11" s="34">
        <f>Preescolar!L23</f>
        <v>4</v>
      </c>
      <c r="F11" s="34">
        <f>Primaria!L23</f>
        <v>9</v>
      </c>
      <c r="G11" s="34">
        <f>Primaria!M23</f>
        <v>10</v>
      </c>
      <c r="H11" s="34">
        <f>Primaria!N23</f>
        <v>10</v>
      </c>
      <c r="I11" s="34">
        <f>Primaria!O23</f>
        <v>13</v>
      </c>
      <c r="J11" s="34">
        <f>Primaria!P23</f>
        <v>10</v>
      </c>
      <c r="K11" s="34">
        <f>Bachillerato!M23</f>
        <v>15</v>
      </c>
      <c r="L11" s="34">
        <f>Bachillerato!N23</f>
        <v>14</v>
      </c>
      <c r="M11" s="34">
        <f>Bachillerato!O23</f>
        <v>24</v>
      </c>
      <c r="N11" s="34">
        <f>Bachillerato!P23</f>
        <v>15</v>
      </c>
      <c r="O11" s="34">
        <f>Bachillerato!Q23</f>
        <v>21</v>
      </c>
      <c r="P11" s="34">
        <f>Bachillerato!R23</f>
        <v>6</v>
      </c>
      <c r="Q11" s="34">
        <f t="shared" si="0"/>
        <v>34</v>
      </c>
      <c r="R11" s="34">
        <f t="shared" si="1"/>
        <v>52</v>
      </c>
      <c r="S11" s="34">
        <f t="shared" si="2"/>
        <v>95</v>
      </c>
      <c r="T11" s="34">
        <f t="shared" si="3"/>
        <v>181</v>
      </c>
    </row>
    <row r="12" spans="1:20">
      <c r="A12" s="251"/>
      <c r="B12" s="23" t="s">
        <v>84</v>
      </c>
      <c r="C12" s="34">
        <f>Preescolar!J24</f>
        <v>21</v>
      </c>
      <c r="D12" s="34">
        <f>Preescolar!K24</f>
        <v>12</v>
      </c>
      <c r="E12" s="34">
        <f>Preescolar!L24</f>
        <v>4</v>
      </c>
      <c r="F12" s="34">
        <f>Primaria!L24</f>
        <v>10</v>
      </c>
      <c r="G12" s="34">
        <f>Primaria!M24</f>
        <v>11</v>
      </c>
      <c r="H12" s="34">
        <f>Primaria!N24</f>
        <v>12</v>
      </c>
      <c r="I12" s="34">
        <f>Primaria!O24</f>
        <v>15</v>
      </c>
      <c r="J12" s="34">
        <f>Primaria!P24</f>
        <v>11</v>
      </c>
      <c r="K12" s="34">
        <f>Bachillerato!M24</f>
        <v>15</v>
      </c>
      <c r="L12" s="34">
        <f>Bachillerato!N24</f>
        <v>15</v>
      </c>
      <c r="M12" s="34">
        <f>Bachillerato!O24</f>
        <v>27</v>
      </c>
      <c r="N12" s="34">
        <f>Bachillerato!P24</f>
        <v>17</v>
      </c>
      <c r="O12" s="34">
        <f>Bachillerato!Q24</f>
        <v>23</v>
      </c>
      <c r="P12" s="34">
        <f>Bachillerato!R24</f>
        <v>6</v>
      </c>
      <c r="Q12" s="34">
        <f t="shared" si="0"/>
        <v>37</v>
      </c>
      <c r="R12" s="34">
        <f t="shared" si="1"/>
        <v>59</v>
      </c>
      <c r="S12" s="34">
        <f t="shared" si="2"/>
        <v>103</v>
      </c>
      <c r="T12" s="34">
        <f t="shared" si="3"/>
        <v>199</v>
      </c>
    </row>
    <row r="13" spans="1:20">
      <c r="A13" s="251"/>
      <c r="B13" s="23" t="s">
        <v>87</v>
      </c>
      <c r="C13" s="34">
        <f>Preescolar!J25</f>
        <v>24</v>
      </c>
      <c r="D13" s="34">
        <f>Preescolar!K25</f>
        <v>13</v>
      </c>
      <c r="E13" s="34">
        <f>Preescolar!L25</f>
        <v>5</v>
      </c>
      <c r="F13" s="34">
        <f>Primaria!L25</f>
        <v>11</v>
      </c>
      <c r="G13" s="34">
        <f>Primaria!M25</f>
        <v>13</v>
      </c>
      <c r="H13" s="34">
        <f>Primaria!N25</f>
        <v>14</v>
      </c>
      <c r="I13" s="34">
        <f>Primaria!O25</f>
        <v>18</v>
      </c>
      <c r="J13" s="34">
        <f>Primaria!P25</f>
        <v>16</v>
      </c>
      <c r="K13" s="34">
        <f>Bachillerato!M25</f>
        <v>17</v>
      </c>
      <c r="L13" s="34">
        <f>Bachillerato!N25</f>
        <v>19</v>
      </c>
      <c r="M13" s="34">
        <f>Bachillerato!O25</f>
        <v>33</v>
      </c>
      <c r="N13" s="34">
        <f>Bachillerato!P25</f>
        <v>19</v>
      </c>
      <c r="O13" s="34">
        <f>Bachillerato!Q25</f>
        <v>25</v>
      </c>
      <c r="P13" s="34">
        <f>Bachillerato!R25</f>
        <v>6</v>
      </c>
      <c r="Q13" s="34">
        <f t="shared" si="0"/>
        <v>42</v>
      </c>
      <c r="R13" s="34">
        <f t="shared" si="1"/>
        <v>72</v>
      </c>
      <c r="S13" s="34">
        <f t="shared" si="2"/>
        <v>119</v>
      </c>
      <c r="T13" s="34">
        <f t="shared" si="3"/>
        <v>233</v>
      </c>
    </row>
    <row r="14" spans="1:20">
      <c r="A14" s="251"/>
      <c r="B14" s="23" t="s">
        <v>173</v>
      </c>
      <c r="C14" s="34">
        <f>Preescolar!J26</f>
        <v>26</v>
      </c>
      <c r="D14" s="34">
        <f>Preescolar!K26</f>
        <v>15</v>
      </c>
      <c r="E14" s="34">
        <f>Preescolar!L26</f>
        <v>5</v>
      </c>
      <c r="F14" s="34">
        <f>Primaria!L26</f>
        <v>11</v>
      </c>
      <c r="G14" s="34">
        <f>Primaria!M26</f>
        <v>13</v>
      </c>
      <c r="H14" s="34">
        <f>Primaria!N26</f>
        <v>15</v>
      </c>
      <c r="I14" s="34">
        <f>Primaria!O26</f>
        <v>18</v>
      </c>
      <c r="J14" s="34">
        <f>Primaria!P26</f>
        <v>16</v>
      </c>
      <c r="K14" s="34">
        <f>Bachillerato!M26</f>
        <v>17</v>
      </c>
      <c r="L14" s="34">
        <f>Bachillerato!N26</f>
        <v>20</v>
      </c>
      <c r="M14" s="34">
        <f>Bachillerato!O26</f>
        <v>35</v>
      </c>
      <c r="N14" s="34">
        <f>Bachillerato!P26</f>
        <v>20</v>
      </c>
      <c r="O14" s="34">
        <f>Bachillerato!Q26</f>
        <v>26</v>
      </c>
      <c r="P14" s="34">
        <f>Bachillerato!R26</f>
        <v>6</v>
      </c>
      <c r="Q14" s="34">
        <f t="shared" si="0"/>
        <v>46</v>
      </c>
      <c r="R14" s="34">
        <f t="shared" si="1"/>
        <v>73</v>
      </c>
      <c r="S14" s="34">
        <f t="shared" si="2"/>
        <v>124</v>
      </c>
      <c r="T14" s="34">
        <f t="shared" si="3"/>
        <v>243</v>
      </c>
    </row>
    <row r="15" spans="1:20">
      <c r="C15" s="66">
        <f t="shared" ref="C15:T15" si="4">C14/C62</f>
        <v>26</v>
      </c>
      <c r="D15" s="66">
        <f t="shared" si="4"/>
        <v>15</v>
      </c>
      <c r="E15" s="66">
        <f t="shared" si="4"/>
        <v>1.6666666666666667</v>
      </c>
      <c r="F15" s="66">
        <f t="shared" si="4"/>
        <v>5.5</v>
      </c>
      <c r="G15" s="66">
        <f t="shared" si="4"/>
        <v>4.333333333333333</v>
      </c>
      <c r="H15" s="66">
        <f t="shared" si="4"/>
        <v>3.75</v>
      </c>
      <c r="I15" s="66">
        <f t="shared" si="4"/>
        <v>6</v>
      </c>
      <c r="J15" s="66">
        <f t="shared" si="4"/>
        <v>2</v>
      </c>
      <c r="K15" s="66">
        <f t="shared" si="4"/>
        <v>5.666666666666667</v>
      </c>
      <c r="L15" s="66">
        <f t="shared" si="4"/>
        <v>20</v>
      </c>
      <c r="M15" s="66">
        <f t="shared" si="4"/>
        <v>5.833333333333333</v>
      </c>
      <c r="N15" s="66">
        <f t="shared" si="4"/>
        <v>4</v>
      </c>
      <c r="O15" s="66">
        <f t="shared" si="4"/>
        <v>5.2</v>
      </c>
      <c r="P15" s="66" t="e">
        <f t="shared" si="4"/>
        <v>#DIV/0!</v>
      </c>
      <c r="Q15" s="66">
        <f t="shared" si="4"/>
        <v>9.1999999999999993</v>
      </c>
      <c r="R15" s="66">
        <f t="shared" si="4"/>
        <v>3.65</v>
      </c>
      <c r="S15" s="66">
        <f t="shared" si="4"/>
        <v>6.2</v>
      </c>
      <c r="T15" s="66">
        <f t="shared" si="4"/>
        <v>5.4</v>
      </c>
    </row>
    <row r="16" spans="1:20"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0">
      <c r="B17" s="260" t="s">
        <v>1431</v>
      </c>
      <c r="C17" s="260"/>
      <c r="D17" s="260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</row>
    <row r="18" spans="1:20">
      <c r="B18" s="22" t="s">
        <v>1421</v>
      </c>
      <c r="C18" s="32" t="s">
        <v>18</v>
      </c>
      <c r="D18" s="32" t="s">
        <v>32</v>
      </c>
      <c r="E18" s="32" t="s">
        <v>15</v>
      </c>
      <c r="F18" s="22" t="s">
        <v>324</v>
      </c>
      <c r="G18" s="22" t="s">
        <v>326</v>
      </c>
      <c r="H18" s="22" t="s">
        <v>321</v>
      </c>
      <c r="I18" s="22" t="s">
        <v>319</v>
      </c>
      <c r="J18" s="22" t="s">
        <v>329</v>
      </c>
      <c r="K18" s="22" t="s">
        <v>760</v>
      </c>
      <c r="L18" s="22" t="s">
        <v>763</v>
      </c>
      <c r="M18" s="22" t="s">
        <v>753</v>
      </c>
      <c r="N18" s="22" t="s">
        <v>757</v>
      </c>
      <c r="O18" s="22" t="s">
        <v>771</v>
      </c>
      <c r="P18" s="22" t="s">
        <v>755</v>
      </c>
      <c r="Q18" s="67" t="s">
        <v>1433</v>
      </c>
      <c r="R18" s="67" t="s">
        <v>1434</v>
      </c>
      <c r="S18" s="67" t="s">
        <v>1435</v>
      </c>
      <c r="T18" s="67" t="s">
        <v>1436</v>
      </c>
    </row>
    <row r="19" spans="1:20">
      <c r="A19" s="251">
        <v>2024</v>
      </c>
      <c r="B19" s="23" t="s">
        <v>13</v>
      </c>
      <c r="C19" s="34"/>
      <c r="D19" s="34"/>
      <c r="E19" s="34"/>
      <c r="F19" s="23"/>
      <c r="G19" s="23"/>
      <c r="H19" s="23"/>
      <c r="I19" s="23"/>
      <c r="J19" s="34">
        <f>Primaria!L55</f>
        <v>0</v>
      </c>
      <c r="K19" s="34">
        <f>Bachillerato!M55</f>
        <v>0</v>
      </c>
      <c r="L19" s="34">
        <f>Bachillerato!N55</f>
        <v>1</v>
      </c>
      <c r="M19" s="34">
        <f>Bachillerato!O55</f>
        <v>3</v>
      </c>
      <c r="N19" s="34">
        <f>Bachillerato!P55</f>
        <v>0</v>
      </c>
      <c r="O19" s="34">
        <f>Bachillerato!Q55</f>
        <v>1</v>
      </c>
      <c r="P19" s="34">
        <f>Bachillerato!R55</f>
        <v>0</v>
      </c>
      <c r="Q19" s="34">
        <f t="shared" ref="Q19:Q30" si="5">SUM(C19:E19)</f>
        <v>0</v>
      </c>
      <c r="R19" s="34">
        <f t="shared" ref="R19:R30" si="6">SUM(F19:J19)</f>
        <v>0</v>
      </c>
      <c r="S19" s="34">
        <f t="shared" ref="S19:S30" si="7">SUM(K19:P19)</f>
        <v>5</v>
      </c>
      <c r="T19" s="34">
        <f t="shared" ref="T19:T30" si="8">SUM(Q19:S19)</f>
        <v>5</v>
      </c>
    </row>
    <row r="20" spans="1:20">
      <c r="A20" s="251"/>
      <c r="B20" s="23" t="s">
        <v>24</v>
      </c>
      <c r="C20" s="34"/>
      <c r="D20" s="34"/>
      <c r="E20" s="34"/>
      <c r="F20" s="23"/>
      <c r="G20" s="23"/>
      <c r="H20" s="23"/>
      <c r="I20" s="23"/>
      <c r="J20" s="34">
        <f>Primaria!L56</f>
        <v>0</v>
      </c>
      <c r="K20" s="34">
        <f>Bachillerato!M56</f>
        <v>0</v>
      </c>
      <c r="L20" s="34">
        <f>Bachillerato!N56</f>
        <v>3</v>
      </c>
      <c r="M20" s="34">
        <f>Bachillerato!O56</f>
        <v>4</v>
      </c>
      <c r="N20" s="34">
        <f>Bachillerato!P56</f>
        <v>0</v>
      </c>
      <c r="O20" s="34">
        <f>Bachillerato!Q56</f>
        <v>3</v>
      </c>
      <c r="P20" s="34">
        <f>Bachillerato!R56</f>
        <v>1</v>
      </c>
      <c r="Q20" s="34">
        <f t="shared" si="5"/>
        <v>0</v>
      </c>
      <c r="R20" s="34">
        <f t="shared" si="6"/>
        <v>0</v>
      </c>
      <c r="S20" s="34">
        <f t="shared" si="7"/>
        <v>11</v>
      </c>
      <c r="T20" s="34">
        <f t="shared" si="8"/>
        <v>11</v>
      </c>
    </row>
    <row r="21" spans="1:20">
      <c r="A21" s="251"/>
      <c r="B21" s="23" t="s">
        <v>34</v>
      </c>
      <c r="C21" s="34"/>
      <c r="D21" s="34"/>
      <c r="E21" s="34"/>
      <c r="F21" s="23"/>
      <c r="G21" s="23"/>
      <c r="H21" s="23"/>
      <c r="I21" s="23"/>
      <c r="J21" s="34">
        <f>Primaria!L57</f>
        <v>0</v>
      </c>
      <c r="K21" s="34">
        <f>Bachillerato!M57</f>
        <v>0</v>
      </c>
      <c r="L21" s="34">
        <f>Bachillerato!N57</f>
        <v>3</v>
      </c>
      <c r="M21" s="34">
        <f>Bachillerato!O57</f>
        <v>4</v>
      </c>
      <c r="N21" s="34">
        <f>Bachillerato!P57</f>
        <v>1</v>
      </c>
      <c r="O21" s="34">
        <f>Bachillerato!Q57</f>
        <v>4</v>
      </c>
      <c r="P21" s="34">
        <f>Bachillerato!R57</f>
        <v>1</v>
      </c>
      <c r="Q21" s="34">
        <f t="shared" si="5"/>
        <v>0</v>
      </c>
      <c r="R21" s="34">
        <f t="shared" si="6"/>
        <v>0</v>
      </c>
      <c r="S21" s="34">
        <f t="shared" si="7"/>
        <v>13</v>
      </c>
      <c r="T21" s="34">
        <f t="shared" si="8"/>
        <v>13</v>
      </c>
    </row>
    <row r="22" spans="1:20">
      <c r="A22" s="251"/>
      <c r="B22" s="23" t="s">
        <v>38</v>
      </c>
      <c r="C22" s="34"/>
      <c r="D22" s="34"/>
      <c r="E22" s="34"/>
      <c r="F22" s="23"/>
      <c r="G22" s="23"/>
      <c r="H22" s="23"/>
      <c r="I22" s="23"/>
      <c r="J22" s="34">
        <f>Primaria!L58</f>
        <v>1</v>
      </c>
      <c r="K22" s="34">
        <f>Bachillerato!M58</f>
        <v>1</v>
      </c>
      <c r="L22" s="34">
        <f>Bachillerato!N58</f>
        <v>3</v>
      </c>
      <c r="M22" s="34">
        <f>Bachillerato!O58</f>
        <v>6</v>
      </c>
      <c r="N22" s="34">
        <f>Bachillerato!P58</f>
        <v>2</v>
      </c>
      <c r="O22" s="34">
        <f>Bachillerato!Q58</f>
        <v>6</v>
      </c>
      <c r="P22" s="34">
        <f>Bachillerato!R58</f>
        <v>2</v>
      </c>
      <c r="Q22" s="34">
        <f t="shared" si="5"/>
        <v>0</v>
      </c>
      <c r="R22" s="34">
        <f t="shared" si="6"/>
        <v>1</v>
      </c>
      <c r="S22" s="34">
        <f t="shared" si="7"/>
        <v>20</v>
      </c>
      <c r="T22" s="34">
        <f t="shared" si="8"/>
        <v>21</v>
      </c>
    </row>
    <row r="23" spans="1:20">
      <c r="A23" s="251"/>
      <c r="B23" s="23" t="s">
        <v>47</v>
      </c>
      <c r="C23" s="34"/>
      <c r="D23" s="34"/>
      <c r="E23" s="34"/>
      <c r="F23" s="23"/>
      <c r="G23" s="23"/>
      <c r="H23" s="23"/>
      <c r="I23" s="23"/>
      <c r="J23" s="34">
        <f>Primaria!L59</f>
        <v>1</v>
      </c>
      <c r="K23" s="34">
        <f>Bachillerato!M59</f>
        <v>1</v>
      </c>
      <c r="L23" s="34">
        <f>Bachillerato!N59</f>
        <v>3</v>
      </c>
      <c r="M23" s="34">
        <f>Bachillerato!O59</f>
        <v>7</v>
      </c>
      <c r="N23" s="34">
        <f>Bachillerato!P59</f>
        <v>2</v>
      </c>
      <c r="O23" s="34">
        <f>Bachillerato!Q59</f>
        <v>8</v>
      </c>
      <c r="P23" s="34">
        <f>Bachillerato!R59</f>
        <v>2</v>
      </c>
      <c r="Q23" s="34">
        <f t="shared" si="5"/>
        <v>0</v>
      </c>
      <c r="R23" s="34">
        <f t="shared" si="6"/>
        <v>1</v>
      </c>
      <c r="S23" s="34">
        <f t="shared" si="7"/>
        <v>23</v>
      </c>
      <c r="T23" s="34">
        <f t="shared" si="8"/>
        <v>24</v>
      </c>
    </row>
    <row r="24" spans="1:20">
      <c r="A24" s="251"/>
      <c r="B24" s="23" t="s">
        <v>57</v>
      </c>
      <c r="C24" s="34"/>
      <c r="D24" s="34"/>
      <c r="E24" s="34"/>
      <c r="F24" s="23"/>
      <c r="G24" s="23"/>
      <c r="H24" s="23"/>
      <c r="I24" s="23"/>
      <c r="J24" s="34">
        <f>Primaria!L60</f>
        <v>2</v>
      </c>
      <c r="K24" s="34">
        <f>Bachillerato!M60</f>
        <v>1</v>
      </c>
      <c r="L24" s="34">
        <f>Bachillerato!N60</f>
        <v>3</v>
      </c>
      <c r="M24" s="34">
        <f>Bachillerato!O60</f>
        <v>8</v>
      </c>
      <c r="N24" s="34">
        <f>Bachillerato!P60</f>
        <v>2</v>
      </c>
      <c r="O24" s="34">
        <f>Bachillerato!Q60</f>
        <v>8</v>
      </c>
      <c r="P24" s="34">
        <f>Bachillerato!R60</f>
        <v>2</v>
      </c>
      <c r="Q24" s="34">
        <f t="shared" si="5"/>
        <v>0</v>
      </c>
      <c r="R24" s="34">
        <f t="shared" si="6"/>
        <v>2</v>
      </c>
      <c r="S24" s="34">
        <f t="shared" si="7"/>
        <v>24</v>
      </c>
      <c r="T24" s="34">
        <f t="shared" si="8"/>
        <v>26</v>
      </c>
    </row>
    <row r="25" spans="1:20">
      <c r="A25" s="251"/>
      <c r="B25" s="23" t="s">
        <v>62</v>
      </c>
      <c r="C25" s="34"/>
      <c r="D25" s="34"/>
      <c r="E25" s="34"/>
      <c r="F25" s="23"/>
      <c r="G25" s="23"/>
      <c r="H25" s="23"/>
      <c r="I25" s="23"/>
      <c r="J25" s="34">
        <f>Primaria!L61</f>
        <v>3</v>
      </c>
      <c r="K25" s="34">
        <f>Bachillerato!M61</f>
        <v>2</v>
      </c>
      <c r="L25" s="34">
        <f>Bachillerato!N61</f>
        <v>4</v>
      </c>
      <c r="M25" s="34">
        <f>Bachillerato!O61</f>
        <v>12</v>
      </c>
      <c r="N25" s="34">
        <f>Bachillerato!P61</f>
        <v>3</v>
      </c>
      <c r="O25" s="34">
        <f>Bachillerato!Q61</f>
        <v>8</v>
      </c>
      <c r="P25" s="34">
        <f>Bachillerato!R61</f>
        <v>2</v>
      </c>
      <c r="Q25" s="34">
        <f t="shared" si="5"/>
        <v>0</v>
      </c>
      <c r="R25" s="34">
        <f t="shared" si="6"/>
        <v>3</v>
      </c>
      <c r="S25" s="34">
        <f t="shared" si="7"/>
        <v>31</v>
      </c>
      <c r="T25" s="34">
        <f t="shared" si="8"/>
        <v>34</v>
      </c>
    </row>
    <row r="26" spans="1:20">
      <c r="A26" s="251"/>
      <c r="B26" s="23" t="s">
        <v>68</v>
      </c>
      <c r="C26" s="34"/>
      <c r="D26" s="34"/>
      <c r="E26" s="34"/>
      <c r="F26" s="23"/>
      <c r="G26" s="23"/>
      <c r="H26" s="23"/>
      <c r="I26" s="23"/>
      <c r="J26" s="34">
        <f>Primaria!L62</f>
        <v>4</v>
      </c>
      <c r="K26" s="34">
        <f>Bachillerato!M62</f>
        <v>3</v>
      </c>
      <c r="L26" s="34">
        <f>Bachillerato!N62</f>
        <v>5</v>
      </c>
      <c r="M26" s="34">
        <f>Bachillerato!O62</f>
        <v>13</v>
      </c>
      <c r="N26" s="34">
        <f>Bachillerato!P62</f>
        <v>7</v>
      </c>
      <c r="O26" s="34">
        <f>Bachillerato!Q62</f>
        <v>10</v>
      </c>
      <c r="P26" s="34">
        <f>Bachillerato!R62</f>
        <v>3</v>
      </c>
      <c r="Q26" s="34">
        <f t="shared" si="5"/>
        <v>0</v>
      </c>
      <c r="R26" s="34">
        <f t="shared" si="6"/>
        <v>4</v>
      </c>
      <c r="S26" s="34">
        <f t="shared" si="7"/>
        <v>41</v>
      </c>
      <c r="T26" s="34">
        <f t="shared" si="8"/>
        <v>45</v>
      </c>
    </row>
    <row r="27" spans="1:20">
      <c r="A27" s="251"/>
      <c r="B27" s="23" t="s">
        <v>77</v>
      </c>
      <c r="C27" s="34"/>
      <c r="D27" s="34"/>
      <c r="E27" s="34"/>
      <c r="F27" s="23"/>
      <c r="G27" s="23"/>
      <c r="H27" s="23"/>
      <c r="I27" s="23"/>
      <c r="J27" s="34">
        <f>Primaria!L63</f>
        <v>5</v>
      </c>
      <c r="K27" s="34">
        <f>Bachillerato!M63</f>
        <v>3</v>
      </c>
      <c r="L27" s="34">
        <f>Bachillerato!N63</f>
        <v>5</v>
      </c>
      <c r="M27" s="34">
        <f>Bachillerato!O63</f>
        <v>14</v>
      </c>
      <c r="N27" s="34">
        <f>Bachillerato!P63</f>
        <v>7</v>
      </c>
      <c r="O27" s="34">
        <f>Bachillerato!Q63</f>
        <v>11</v>
      </c>
      <c r="P27" s="34">
        <f>Bachillerato!R63</f>
        <v>3</v>
      </c>
      <c r="Q27" s="34">
        <f t="shared" si="5"/>
        <v>0</v>
      </c>
      <c r="R27" s="34">
        <f t="shared" si="6"/>
        <v>5</v>
      </c>
      <c r="S27" s="34">
        <f t="shared" si="7"/>
        <v>43</v>
      </c>
      <c r="T27" s="34">
        <f t="shared" si="8"/>
        <v>48</v>
      </c>
    </row>
    <row r="28" spans="1:20">
      <c r="A28" s="251"/>
      <c r="B28" s="23" t="s">
        <v>84</v>
      </c>
      <c r="C28" s="34"/>
      <c r="D28" s="34"/>
      <c r="E28" s="34"/>
      <c r="F28" s="23"/>
      <c r="G28" s="23"/>
      <c r="H28" s="23"/>
      <c r="I28" s="23"/>
      <c r="J28" s="34">
        <f>Primaria!L64</f>
        <v>7</v>
      </c>
      <c r="K28" s="34">
        <f>Bachillerato!M64</f>
        <v>4</v>
      </c>
      <c r="L28" s="34">
        <f>Bachillerato!N64</f>
        <v>6</v>
      </c>
      <c r="M28" s="34">
        <f>Bachillerato!O64</f>
        <v>17</v>
      </c>
      <c r="N28" s="34">
        <f>Bachillerato!P64</f>
        <v>9</v>
      </c>
      <c r="O28" s="34">
        <f>Bachillerato!Q64</f>
        <v>11</v>
      </c>
      <c r="P28" s="34">
        <f>Bachillerato!R64</f>
        <v>3</v>
      </c>
      <c r="Q28" s="34">
        <f t="shared" si="5"/>
        <v>0</v>
      </c>
      <c r="R28" s="34">
        <f t="shared" si="6"/>
        <v>7</v>
      </c>
      <c r="S28" s="34">
        <f t="shared" si="7"/>
        <v>50</v>
      </c>
      <c r="T28" s="34">
        <f t="shared" si="8"/>
        <v>57</v>
      </c>
    </row>
    <row r="29" spans="1:20">
      <c r="A29" s="251"/>
      <c r="B29" s="23" t="s">
        <v>87</v>
      </c>
      <c r="C29" s="34"/>
      <c r="D29" s="34"/>
      <c r="E29" s="34"/>
      <c r="F29" s="23"/>
      <c r="G29" s="23"/>
      <c r="H29" s="23"/>
      <c r="I29" s="23"/>
      <c r="J29" s="34">
        <f>Primaria!L65</f>
        <v>7</v>
      </c>
      <c r="K29" s="34">
        <f>Bachillerato!M65</f>
        <v>4</v>
      </c>
      <c r="L29" s="34">
        <f>Bachillerato!N65</f>
        <v>7</v>
      </c>
      <c r="M29" s="34">
        <f>Bachillerato!O65</f>
        <v>20</v>
      </c>
      <c r="N29" s="34">
        <f>Bachillerato!P65</f>
        <v>9</v>
      </c>
      <c r="O29" s="34">
        <f>Bachillerato!Q65</f>
        <v>11</v>
      </c>
      <c r="P29" s="34">
        <f>Bachillerato!R65</f>
        <v>3</v>
      </c>
      <c r="Q29" s="34">
        <f t="shared" si="5"/>
        <v>0</v>
      </c>
      <c r="R29" s="34">
        <f t="shared" si="6"/>
        <v>7</v>
      </c>
      <c r="S29" s="34">
        <f t="shared" si="7"/>
        <v>54</v>
      </c>
      <c r="T29" s="34">
        <f t="shared" si="8"/>
        <v>61</v>
      </c>
    </row>
    <row r="30" spans="1:20">
      <c r="A30" s="251"/>
      <c r="B30" s="23" t="s">
        <v>173</v>
      </c>
      <c r="C30" s="34"/>
      <c r="D30" s="34"/>
      <c r="E30" s="34"/>
      <c r="F30" s="23"/>
      <c r="G30" s="23"/>
      <c r="H30" s="23"/>
      <c r="I30" s="23"/>
      <c r="J30" s="34">
        <f>Primaria!L66</f>
        <v>10</v>
      </c>
      <c r="K30" s="34">
        <f>Bachillerato!M66</f>
        <v>5</v>
      </c>
      <c r="L30" s="34">
        <f>Bachillerato!N66</f>
        <v>8</v>
      </c>
      <c r="M30" s="34">
        <f>Bachillerato!O66</f>
        <v>21</v>
      </c>
      <c r="N30" s="34">
        <f>Bachillerato!P66</f>
        <v>10</v>
      </c>
      <c r="O30" s="34">
        <f>Bachillerato!Q66</f>
        <v>12</v>
      </c>
      <c r="P30" s="34">
        <f>Bachillerato!R66</f>
        <v>3</v>
      </c>
      <c r="Q30" s="34">
        <f t="shared" si="5"/>
        <v>0</v>
      </c>
      <c r="R30" s="34">
        <f t="shared" si="6"/>
        <v>10</v>
      </c>
      <c r="S30" s="34">
        <f t="shared" si="7"/>
        <v>59</v>
      </c>
      <c r="T30" s="34">
        <f t="shared" si="8"/>
        <v>69</v>
      </c>
    </row>
    <row r="31" spans="1:20">
      <c r="J31" s="66">
        <f t="shared" ref="J31:Q31" si="9">J30/J62</f>
        <v>1.25</v>
      </c>
      <c r="K31" s="66">
        <f t="shared" si="9"/>
        <v>1.6666666666666667</v>
      </c>
      <c r="L31" s="66">
        <f t="shared" si="9"/>
        <v>8</v>
      </c>
      <c r="M31" s="66">
        <f t="shared" si="9"/>
        <v>3.5</v>
      </c>
      <c r="N31" s="66">
        <f t="shared" si="9"/>
        <v>2</v>
      </c>
      <c r="O31" s="66">
        <f t="shared" si="9"/>
        <v>2.4</v>
      </c>
      <c r="P31" s="66" t="e">
        <f t="shared" si="9"/>
        <v>#DIV/0!</v>
      </c>
      <c r="Q31" s="66">
        <f t="shared" si="9"/>
        <v>0</v>
      </c>
      <c r="R31" s="66">
        <f>R30/J62</f>
        <v>1.25</v>
      </c>
      <c r="S31" s="66">
        <f>S30/S62</f>
        <v>2.95</v>
      </c>
      <c r="T31" s="66">
        <f>T30/SUM(J62:P62)</f>
        <v>2.4642857142857144</v>
      </c>
    </row>
    <row r="32" spans="1:20"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</row>
    <row r="33" spans="1:21">
      <c r="B33" s="260" t="s">
        <v>1425</v>
      </c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</row>
    <row r="34" spans="1:21">
      <c r="B34" s="22" t="s">
        <v>1421</v>
      </c>
      <c r="C34" s="32" t="s">
        <v>18</v>
      </c>
      <c r="D34" s="32" t="s">
        <v>32</v>
      </c>
      <c r="E34" s="32" t="s">
        <v>15</v>
      </c>
      <c r="F34" s="22" t="s">
        <v>324</v>
      </c>
      <c r="G34" s="22" t="s">
        <v>326</v>
      </c>
      <c r="H34" s="22" t="s">
        <v>321</v>
      </c>
      <c r="I34" s="22" t="s">
        <v>319</v>
      </c>
      <c r="J34" s="22" t="s">
        <v>329</v>
      </c>
      <c r="K34" s="22" t="s">
        <v>760</v>
      </c>
      <c r="L34" s="22" t="s">
        <v>763</v>
      </c>
      <c r="M34" s="22" t="s">
        <v>753</v>
      </c>
      <c r="N34" s="22" t="s">
        <v>757</v>
      </c>
      <c r="O34" s="22" t="s">
        <v>771</v>
      </c>
      <c r="P34" s="22" t="s">
        <v>755</v>
      </c>
      <c r="Q34" s="67" t="s">
        <v>1433</v>
      </c>
      <c r="R34" s="67" t="s">
        <v>1434</v>
      </c>
      <c r="S34" s="67" t="s">
        <v>1435</v>
      </c>
      <c r="T34" s="67" t="s">
        <v>1436</v>
      </c>
    </row>
    <row r="35" spans="1:21">
      <c r="A35" s="251">
        <v>2024</v>
      </c>
      <c r="B35" s="23" t="s">
        <v>13</v>
      </c>
      <c r="C35" s="34">
        <f>Preescolar!J55</f>
        <v>0</v>
      </c>
      <c r="D35" s="34">
        <f>Preescolar!K55</f>
        <v>0</v>
      </c>
      <c r="E35" s="34">
        <f>Preescolar!L55</f>
        <v>1</v>
      </c>
      <c r="F35" s="34">
        <f>Primaria!L95</f>
        <v>1</v>
      </c>
      <c r="G35" s="34">
        <f>Primaria!M95</f>
        <v>1</v>
      </c>
      <c r="H35" s="34">
        <f>Primaria!N95</f>
        <v>0</v>
      </c>
      <c r="I35" s="34">
        <f>Primaria!O95</f>
        <v>1</v>
      </c>
      <c r="J35" s="34">
        <f>Primaria!P95</f>
        <v>0</v>
      </c>
      <c r="K35" s="34">
        <f>Bachillerato!M95</f>
        <v>2</v>
      </c>
      <c r="L35" s="34">
        <f>Bachillerato!N95</f>
        <v>0</v>
      </c>
      <c r="M35" s="34">
        <f>Bachillerato!O95</f>
        <v>5</v>
      </c>
      <c r="N35" s="34">
        <f>Bachillerato!P95</f>
        <v>3</v>
      </c>
      <c r="O35" s="34">
        <f>Bachillerato!Q95</f>
        <v>3</v>
      </c>
      <c r="P35" s="34">
        <f>Bachillerato!R95</f>
        <v>0</v>
      </c>
      <c r="Q35" s="34">
        <f t="shared" ref="Q35:Q46" si="10">SUM(C35:E35)</f>
        <v>1</v>
      </c>
      <c r="R35" s="34">
        <f t="shared" ref="R35:R46" si="11">SUM(F35:J35)</f>
        <v>3</v>
      </c>
      <c r="S35" s="34">
        <f t="shared" ref="S35:S46" si="12">SUM(K35:P35)</f>
        <v>13</v>
      </c>
      <c r="T35" s="34">
        <f t="shared" ref="T35:T46" si="13">SUM(Q35:S35)</f>
        <v>17</v>
      </c>
    </row>
    <row r="36" spans="1:21">
      <c r="A36" s="251"/>
      <c r="B36" s="23" t="s">
        <v>24</v>
      </c>
      <c r="C36" s="34">
        <f>Preescolar!J56</f>
        <v>0</v>
      </c>
      <c r="D36" s="34">
        <f>Preescolar!K56</f>
        <v>0</v>
      </c>
      <c r="E36" s="34">
        <f>Preescolar!L56</f>
        <v>1</v>
      </c>
      <c r="F36" s="34">
        <f>Primaria!L96</f>
        <v>2</v>
      </c>
      <c r="G36" s="34">
        <f>Primaria!M96</f>
        <v>1</v>
      </c>
      <c r="H36" s="34">
        <f>Primaria!N96</f>
        <v>0</v>
      </c>
      <c r="I36" s="34">
        <f>Primaria!O96</f>
        <v>1</v>
      </c>
      <c r="J36" s="34">
        <f>Primaria!P96</f>
        <v>0</v>
      </c>
      <c r="K36" s="34">
        <f>Bachillerato!M96</f>
        <v>2</v>
      </c>
      <c r="L36" s="34">
        <f>Bachillerato!N96</f>
        <v>2</v>
      </c>
      <c r="M36" s="34">
        <f>Bachillerato!O96</f>
        <v>5</v>
      </c>
      <c r="N36" s="34">
        <f>Bachillerato!P96</f>
        <v>3</v>
      </c>
      <c r="O36" s="34">
        <f>Bachillerato!Q96</f>
        <v>4</v>
      </c>
      <c r="P36" s="34">
        <f>Bachillerato!R96</f>
        <v>1</v>
      </c>
      <c r="Q36" s="34">
        <f t="shared" si="10"/>
        <v>1</v>
      </c>
      <c r="R36" s="34">
        <f t="shared" si="11"/>
        <v>4</v>
      </c>
      <c r="S36" s="34">
        <f t="shared" si="12"/>
        <v>17</v>
      </c>
      <c r="T36" s="34">
        <f t="shared" si="13"/>
        <v>22</v>
      </c>
    </row>
    <row r="37" spans="1:21">
      <c r="A37" s="251"/>
      <c r="B37" s="23" t="s">
        <v>34</v>
      </c>
      <c r="C37" s="34">
        <f>Preescolar!J57</f>
        <v>0</v>
      </c>
      <c r="D37" s="34">
        <f>Preescolar!K57</f>
        <v>0</v>
      </c>
      <c r="E37" s="34">
        <f>Preescolar!L57</f>
        <v>1</v>
      </c>
      <c r="F37" s="34">
        <f>Primaria!L97</f>
        <v>2</v>
      </c>
      <c r="G37" s="34">
        <f>Primaria!M97</f>
        <v>1</v>
      </c>
      <c r="H37" s="34">
        <f>Primaria!N97</f>
        <v>0</v>
      </c>
      <c r="I37" s="34">
        <f>Primaria!O97</f>
        <v>1</v>
      </c>
      <c r="J37" s="34">
        <f>Primaria!P97</f>
        <v>0</v>
      </c>
      <c r="K37" s="34">
        <f>Bachillerato!M97</f>
        <v>2</v>
      </c>
      <c r="L37" s="34">
        <f>Bachillerato!N97</f>
        <v>2</v>
      </c>
      <c r="M37" s="34">
        <f>Bachillerato!O97</f>
        <v>6</v>
      </c>
      <c r="N37" s="34">
        <f>Bachillerato!P97</f>
        <v>3</v>
      </c>
      <c r="O37" s="34">
        <f>Bachillerato!Q97</f>
        <v>4</v>
      </c>
      <c r="P37" s="34">
        <f>Bachillerato!R97</f>
        <v>1</v>
      </c>
      <c r="Q37" s="34">
        <f t="shared" si="10"/>
        <v>1</v>
      </c>
      <c r="R37" s="34">
        <f t="shared" si="11"/>
        <v>4</v>
      </c>
      <c r="S37" s="34">
        <f t="shared" si="12"/>
        <v>18</v>
      </c>
      <c r="T37" s="34">
        <f t="shared" si="13"/>
        <v>23</v>
      </c>
    </row>
    <row r="38" spans="1:21">
      <c r="A38" s="251"/>
      <c r="B38" s="23" t="s">
        <v>38</v>
      </c>
      <c r="C38" s="34">
        <f>Preescolar!J58</f>
        <v>0</v>
      </c>
      <c r="D38" s="34">
        <f>Preescolar!K58</f>
        <v>0</v>
      </c>
      <c r="E38" s="34">
        <f>Preescolar!L58</f>
        <v>1</v>
      </c>
      <c r="F38" s="34">
        <f>Primaria!L98</f>
        <v>2</v>
      </c>
      <c r="G38" s="34">
        <f>Primaria!M98</f>
        <v>1</v>
      </c>
      <c r="H38" s="34">
        <f>Primaria!N98</f>
        <v>2</v>
      </c>
      <c r="I38" s="34">
        <f>Primaria!O98</f>
        <v>1</v>
      </c>
      <c r="J38" s="34">
        <f>Primaria!P98</f>
        <v>1</v>
      </c>
      <c r="K38" s="34">
        <f>Bachillerato!M98</f>
        <v>3</v>
      </c>
      <c r="L38" s="34">
        <f>Bachillerato!N98</f>
        <v>2</v>
      </c>
      <c r="M38" s="34">
        <f>Bachillerato!O98</f>
        <v>6</v>
      </c>
      <c r="N38" s="34">
        <f>Bachillerato!P98</f>
        <v>3</v>
      </c>
      <c r="O38" s="34">
        <f>Bachillerato!Q98</f>
        <v>6</v>
      </c>
      <c r="P38" s="34">
        <f>Bachillerato!R98</f>
        <v>1</v>
      </c>
      <c r="Q38" s="34">
        <f t="shared" si="10"/>
        <v>1</v>
      </c>
      <c r="R38" s="34">
        <f t="shared" si="11"/>
        <v>7</v>
      </c>
      <c r="S38" s="34">
        <f t="shared" si="12"/>
        <v>21</v>
      </c>
      <c r="T38" s="34">
        <f t="shared" si="13"/>
        <v>29</v>
      </c>
    </row>
    <row r="39" spans="1:21">
      <c r="A39" s="251"/>
      <c r="B39" s="23" t="s">
        <v>47</v>
      </c>
      <c r="C39" s="34">
        <f>Preescolar!J59</f>
        <v>0</v>
      </c>
      <c r="D39" s="34">
        <f>Preescolar!K59</f>
        <v>0</v>
      </c>
      <c r="E39" s="34">
        <f>Preescolar!L59</f>
        <v>1</v>
      </c>
      <c r="F39" s="34">
        <f>Primaria!L99</f>
        <v>2</v>
      </c>
      <c r="G39" s="34">
        <f>Primaria!M99</f>
        <v>2</v>
      </c>
      <c r="H39" s="34">
        <f>Primaria!N99</f>
        <v>2</v>
      </c>
      <c r="I39" s="34">
        <f>Primaria!O99</f>
        <v>1</v>
      </c>
      <c r="J39" s="34">
        <f>Primaria!P99</f>
        <v>1</v>
      </c>
      <c r="K39" s="34">
        <f>Bachillerato!M99</f>
        <v>3</v>
      </c>
      <c r="L39" s="34">
        <f>Bachillerato!N99</f>
        <v>2</v>
      </c>
      <c r="M39" s="34">
        <f>Bachillerato!O99</f>
        <v>7</v>
      </c>
      <c r="N39" s="34">
        <f>Bachillerato!P99</f>
        <v>3</v>
      </c>
      <c r="O39" s="34">
        <f>Bachillerato!Q99</f>
        <v>7</v>
      </c>
      <c r="P39" s="34">
        <f>Bachillerato!R99</f>
        <v>2</v>
      </c>
      <c r="Q39" s="34">
        <f t="shared" si="10"/>
        <v>1</v>
      </c>
      <c r="R39" s="34">
        <f t="shared" si="11"/>
        <v>8</v>
      </c>
      <c r="S39" s="34">
        <f t="shared" si="12"/>
        <v>24</v>
      </c>
      <c r="T39" s="34">
        <f t="shared" si="13"/>
        <v>33</v>
      </c>
    </row>
    <row r="40" spans="1:21">
      <c r="A40" s="251"/>
      <c r="B40" s="23" t="s">
        <v>57</v>
      </c>
      <c r="C40" s="34">
        <f>Preescolar!J60</f>
        <v>0</v>
      </c>
      <c r="D40" s="34">
        <f>Preescolar!K60</f>
        <v>0</v>
      </c>
      <c r="E40" s="34">
        <f>Preescolar!L60</f>
        <v>1</v>
      </c>
      <c r="F40" s="34">
        <f>Primaria!L100</f>
        <v>2</v>
      </c>
      <c r="G40" s="34">
        <f>Primaria!M100</f>
        <v>2</v>
      </c>
      <c r="H40" s="34">
        <f>Primaria!N100</f>
        <v>2</v>
      </c>
      <c r="I40" s="34">
        <f>Primaria!O100</f>
        <v>1</v>
      </c>
      <c r="J40" s="34">
        <f>Primaria!P100</f>
        <v>1</v>
      </c>
      <c r="K40" s="34">
        <f>Bachillerato!M100</f>
        <v>3</v>
      </c>
      <c r="L40" s="34">
        <f>Bachillerato!N100</f>
        <v>2</v>
      </c>
      <c r="M40" s="34">
        <f>Bachillerato!O100</f>
        <v>7</v>
      </c>
      <c r="N40" s="34">
        <f>Bachillerato!P100</f>
        <v>3</v>
      </c>
      <c r="O40" s="34">
        <f>Bachillerato!Q100</f>
        <v>8</v>
      </c>
      <c r="P40" s="34">
        <f>Bachillerato!R100</f>
        <v>2</v>
      </c>
      <c r="Q40" s="34">
        <f t="shared" si="10"/>
        <v>1</v>
      </c>
      <c r="R40" s="34">
        <f t="shared" si="11"/>
        <v>8</v>
      </c>
      <c r="S40" s="34">
        <f t="shared" si="12"/>
        <v>25</v>
      </c>
      <c r="T40" s="34">
        <f t="shared" si="13"/>
        <v>34</v>
      </c>
    </row>
    <row r="41" spans="1:21">
      <c r="A41" s="251"/>
      <c r="B41" s="23" t="s">
        <v>62</v>
      </c>
      <c r="C41" s="34">
        <f>Preescolar!J61</f>
        <v>0</v>
      </c>
      <c r="D41" s="34">
        <f>Preescolar!K61</f>
        <v>1</v>
      </c>
      <c r="E41" s="34">
        <f>Preescolar!L61</f>
        <v>2</v>
      </c>
      <c r="F41" s="34">
        <f>Primaria!L101</f>
        <v>3</v>
      </c>
      <c r="G41" s="34">
        <f>Primaria!M101</f>
        <v>5</v>
      </c>
      <c r="H41" s="34">
        <f>Primaria!N101</f>
        <v>3</v>
      </c>
      <c r="I41" s="34">
        <f>Primaria!O101</f>
        <v>3</v>
      </c>
      <c r="J41" s="34">
        <f>Primaria!P101</f>
        <v>2</v>
      </c>
      <c r="K41" s="34">
        <f>Bachillerato!M101</f>
        <v>3</v>
      </c>
      <c r="L41" s="34">
        <f>Bachillerato!N101</f>
        <v>2</v>
      </c>
      <c r="M41" s="34">
        <f>Bachillerato!O101</f>
        <v>10</v>
      </c>
      <c r="N41" s="34">
        <f>Bachillerato!P101</f>
        <v>3</v>
      </c>
      <c r="O41" s="34">
        <f>Bachillerato!Q101</f>
        <v>8</v>
      </c>
      <c r="P41" s="34">
        <f>Bachillerato!R101</f>
        <v>2</v>
      </c>
      <c r="Q41" s="34">
        <f t="shared" si="10"/>
        <v>3</v>
      </c>
      <c r="R41" s="34">
        <f t="shared" si="11"/>
        <v>16</v>
      </c>
      <c r="S41" s="34">
        <f t="shared" si="12"/>
        <v>28</v>
      </c>
      <c r="T41" s="34">
        <f t="shared" si="13"/>
        <v>47</v>
      </c>
    </row>
    <row r="42" spans="1:21">
      <c r="A42" s="251"/>
      <c r="B42" s="23" t="s">
        <v>68</v>
      </c>
      <c r="C42" s="34">
        <f>Preescolar!J62</f>
        <v>0</v>
      </c>
      <c r="D42" s="34">
        <f>Preescolar!K62</f>
        <v>2</v>
      </c>
      <c r="E42" s="34">
        <f>Preescolar!L62</f>
        <v>2</v>
      </c>
      <c r="F42" s="34">
        <f>Primaria!L102</f>
        <v>3</v>
      </c>
      <c r="G42" s="34">
        <f>Primaria!M102</f>
        <v>5</v>
      </c>
      <c r="H42" s="34">
        <f>Primaria!N102</f>
        <v>3</v>
      </c>
      <c r="I42" s="34">
        <f>Primaria!O102</f>
        <v>3</v>
      </c>
      <c r="J42" s="34">
        <f>Primaria!P102</f>
        <v>2</v>
      </c>
      <c r="K42" s="34">
        <f>Bachillerato!M102</f>
        <v>4</v>
      </c>
      <c r="L42" s="34">
        <f>Bachillerato!N102</f>
        <v>2</v>
      </c>
      <c r="M42" s="34">
        <f>Bachillerato!O102</f>
        <v>11</v>
      </c>
      <c r="N42" s="34">
        <f>Bachillerato!P102</f>
        <v>5</v>
      </c>
      <c r="O42" s="34">
        <f>Bachillerato!Q102</f>
        <v>8</v>
      </c>
      <c r="P42" s="34">
        <f>Bachillerato!R102</f>
        <v>2</v>
      </c>
      <c r="Q42" s="34">
        <f t="shared" si="10"/>
        <v>4</v>
      </c>
      <c r="R42" s="34">
        <f t="shared" si="11"/>
        <v>16</v>
      </c>
      <c r="S42" s="34">
        <f t="shared" si="12"/>
        <v>32</v>
      </c>
      <c r="T42" s="34">
        <f t="shared" si="13"/>
        <v>52</v>
      </c>
    </row>
    <row r="43" spans="1:21">
      <c r="A43" s="251"/>
      <c r="B43" s="23" t="s">
        <v>77</v>
      </c>
      <c r="C43" s="34">
        <f>Preescolar!J63</f>
        <v>0</v>
      </c>
      <c r="D43" s="34">
        <f>Preescolar!K63</f>
        <v>2</v>
      </c>
      <c r="E43" s="34">
        <f>Preescolar!L63</f>
        <v>2</v>
      </c>
      <c r="F43" s="34">
        <f>Primaria!L103</f>
        <v>3</v>
      </c>
      <c r="G43" s="34">
        <f>Primaria!M103</f>
        <v>5</v>
      </c>
      <c r="H43" s="34">
        <f>Primaria!N103</f>
        <v>3</v>
      </c>
      <c r="I43" s="34">
        <f>Primaria!O103</f>
        <v>3</v>
      </c>
      <c r="J43" s="34">
        <f>Primaria!P103</f>
        <v>4</v>
      </c>
      <c r="K43" s="34">
        <f>Bachillerato!M103</f>
        <v>4</v>
      </c>
      <c r="L43" s="34">
        <f>Bachillerato!N103</f>
        <v>2</v>
      </c>
      <c r="M43" s="34">
        <f>Bachillerato!O103</f>
        <v>12</v>
      </c>
      <c r="N43" s="34">
        <f>Bachillerato!P103</f>
        <v>5</v>
      </c>
      <c r="O43" s="34">
        <f>Bachillerato!Q103</f>
        <v>9</v>
      </c>
      <c r="P43" s="34">
        <f>Bachillerato!R103</f>
        <v>2</v>
      </c>
      <c r="Q43" s="34">
        <f t="shared" si="10"/>
        <v>4</v>
      </c>
      <c r="R43" s="34">
        <f t="shared" si="11"/>
        <v>18</v>
      </c>
      <c r="S43" s="34">
        <f t="shared" si="12"/>
        <v>34</v>
      </c>
      <c r="T43" s="34">
        <f t="shared" si="13"/>
        <v>56</v>
      </c>
    </row>
    <row r="44" spans="1:21">
      <c r="A44" s="251"/>
      <c r="B44" s="23" t="s">
        <v>84</v>
      </c>
      <c r="C44" s="34">
        <f>Preescolar!J64</f>
        <v>0</v>
      </c>
      <c r="D44" s="34">
        <f>Preescolar!K64</f>
        <v>3</v>
      </c>
      <c r="E44" s="34">
        <f>Preescolar!L64</f>
        <v>2</v>
      </c>
      <c r="F44" s="34">
        <f>Primaria!L104</f>
        <v>3</v>
      </c>
      <c r="G44" s="34">
        <f>Primaria!M104</f>
        <v>6</v>
      </c>
      <c r="H44" s="34">
        <f>Primaria!N104</f>
        <v>4</v>
      </c>
      <c r="I44" s="34">
        <f>Primaria!O104</f>
        <v>3</v>
      </c>
      <c r="J44" s="34">
        <f>Primaria!P104</f>
        <v>5</v>
      </c>
      <c r="K44" s="34">
        <f>Bachillerato!M104</f>
        <v>4</v>
      </c>
      <c r="L44" s="34">
        <f>Bachillerato!N104</f>
        <v>3</v>
      </c>
      <c r="M44" s="34">
        <f>Bachillerato!O104</f>
        <v>12</v>
      </c>
      <c r="N44" s="34">
        <f>Bachillerato!P104</f>
        <v>5</v>
      </c>
      <c r="O44" s="34">
        <f>Bachillerato!Q104</f>
        <v>9</v>
      </c>
      <c r="P44" s="34">
        <f>Bachillerato!R104</f>
        <v>2</v>
      </c>
      <c r="Q44" s="34">
        <f t="shared" si="10"/>
        <v>5</v>
      </c>
      <c r="R44" s="34">
        <f t="shared" si="11"/>
        <v>21</v>
      </c>
      <c r="S44" s="34">
        <f t="shared" si="12"/>
        <v>35</v>
      </c>
      <c r="T44" s="34">
        <f t="shared" si="13"/>
        <v>61</v>
      </c>
    </row>
    <row r="45" spans="1:21">
      <c r="A45" s="251"/>
      <c r="B45" s="23" t="s">
        <v>87</v>
      </c>
      <c r="C45" s="34">
        <f>Preescolar!J65</f>
        <v>2</v>
      </c>
      <c r="D45" s="34">
        <f>Preescolar!K65</f>
        <v>3</v>
      </c>
      <c r="E45" s="34">
        <f>Preescolar!L65</f>
        <v>2</v>
      </c>
      <c r="F45" s="34">
        <f>Primaria!L105</f>
        <v>3</v>
      </c>
      <c r="G45" s="34">
        <f>Primaria!M105</f>
        <v>6</v>
      </c>
      <c r="H45" s="34">
        <f>Primaria!N105</f>
        <v>6</v>
      </c>
      <c r="I45" s="34">
        <f>Primaria!O105</f>
        <v>4</v>
      </c>
      <c r="J45" s="34">
        <f>Primaria!P105</f>
        <v>5</v>
      </c>
      <c r="K45" s="34">
        <f>Bachillerato!M105</f>
        <v>5</v>
      </c>
      <c r="L45" s="34">
        <f>Bachillerato!N105</f>
        <v>3</v>
      </c>
      <c r="M45" s="34">
        <f>Bachillerato!O105</f>
        <v>16</v>
      </c>
      <c r="N45" s="34">
        <f>Bachillerato!P105</f>
        <v>7</v>
      </c>
      <c r="O45" s="34">
        <f>Bachillerato!Q105</f>
        <v>9</v>
      </c>
      <c r="P45" s="34">
        <f>Bachillerato!R105</f>
        <v>2</v>
      </c>
      <c r="Q45" s="34">
        <f t="shared" si="10"/>
        <v>7</v>
      </c>
      <c r="R45" s="34">
        <f t="shared" si="11"/>
        <v>24</v>
      </c>
      <c r="S45" s="34">
        <f t="shared" si="12"/>
        <v>42</v>
      </c>
      <c r="T45" s="34">
        <f t="shared" si="13"/>
        <v>73</v>
      </c>
    </row>
    <row r="46" spans="1:21">
      <c r="A46" s="251"/>
      <c r="B46" s="23" t="s">
        <v>173</v>
      </c>
      <c r="C46" s="34">
        <f>Preescolar!J66</f>
        <v>2</v>
      </c>
      <c r="D46" s="34">
        <f>Preescolar!K66</f>
        <v>3</v>
      </c>
      <c r="E46" s="34">
        <f>Preescolar!L66</f>
        <v>2</v>
      </c>
      <c r="F46" s="34">
        <f>Primaria!L106</f>
        <v>3</v>
      </c>
      <c r="G46" s="34">
        <f>Primaria!M106</f>
        <v>6</v>
      </c>
      <c r="H46" s="34">
        <f>Primaria!N106</f>
        <v>6</v>
      </c>
      <c r="I46" s="34">
        <f>Primaria!O106</f>
        <v>4</v>
      </c>
      <c r="J46" s="34">
        <f>Primaria!P106</f>
        <v>5</v>
      </c>
      <c r="K46" s="34">
        <f>Bachillerato!M106</f>
        <v>5</v>
      </c>
      <c r="L46" s="34">
        <f>Bachillerato!N106</f>
        <v>3</v>
      </c>
      <c r="M46" s="34">
        <f>Bachillerato!O106</f>
        <v>17</v>
      </c>
      <c r="N46" s="34">
        <f>Bachillerato!P106</f>
        <v>7</v>
      </c>
      <c r="O46" s="34">
        <f>Bachillerato!Q106</f>
        <v>9</v>
      </c>
      <c r="P46" s="34">
        <f>Bachillerato!R106</f>
        <v>2</v>
      </c>
      <c r="Q46" s="34">
        <f t="shared" si="10"/>
        <v>7</v>
      </c>
      <c r="R46" s="34">
        <f t="shared" si="11"/>
        <v>24</v>
      </c>
      <c r="S46" s="34">
        <f t="shared" si="12"/>
        <v>43</v>
      </c>
      <c r="T46" s="34">
        <f t="shared" si="13"/>
        <v>74</v>
      </c>
    </row>
    <row r="47" spans="1:21">
      <c r="C47" s="66">
        <f t="shared" ref="C47:T47" si="14">C46/C62</f>
        <v>2</v>
      </c>
      <c r="D47" s="66">
        <f t="shared" si="14"/>
        <v>3</v>
      </c>
      <c r="E47" s="66">
        <f t="shared" si="14"/>
        <v>0.66666666666666663</v>
      </c>
      <c r="F47" s="66">
        <f t="shared" si="14"/>
        <v>1.5</v>
      </c>
      <c r="G47" s="66">
        <f t="shared" si="14"/>
        <v>2</v>
      </c>
      <c r="H47" s="66">
        <f t="shared" si="14"/>
        <v>1.5</v>
      </c>
      <c r="I47" s="66">
        <f t="shared" si="14"/>
        <v>1.3333333333333333</v>
      </c>
      <c r="J47" s="66">
        <f t="shared" si="14"/>
        <v>0.625</v>
      </c>
      <c r="K47" s="66">
        <f t="shared" si="14"/>
        <v>1.6666666666666667</v>
      </c>
      <c r="L47" s="66">
        <f t="shared" si="14"/>
        <v>3</v>
      </c>
      <c r="M47" s="66">
        <f t="shared" si="14"/>
        <v>2.8333333333333335</v>
      </c>
      <c r="N47" s="66">
        <f t="shared" si="14"/>
        <v>1.4</v>
      </c>
      <c r="O47" s="66">
        <f t="shared" si="14"/>
        <v>1.8</v>
      </c>
      <c r="P47" s="66" t="e">
        <f t="shared" si="14"/>
        <v>#DIV/0!</v>
      </c>
      <c r="Q47" s="66">
        <f t="shared" si="14"/>
        <v>1.4</v>
      </c>
      <c r="R47" s="66">
        <f t="shared" si="14"/>
        <v>1.2</v>
      </c>
      <c r="S47" s="66">
        <f t="shared" si="14"/>
        <v>2.15</v>
      </c>
      <c r="T47" s="66">
        <f t="shared" si="14"/>
        <v>1.6444444444444444</v>
      </c>
      <c r="U47" s="68"/>
    </row>
    <row r="48" spans="1:21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</row>
    <row r="49" spans="1:20">
      <c r="B49" s="260" t="s">
        <v>1428</v>
      </c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</row>
    <row r="50" spans="1:20">
      <c r="B50" s="22" t="s">
        <v>1421</v>
      </c>
      <c r="C50" s="32" t="s">
        <v>18</v>
      </c>
      <c r="D50" s="32" t="s">
        <v>32</v>
      </c>
      <c r="E50" s="32" t="s">
        <v>15</v>
      </c>
      <c r="F50" s="22" t="s">
        <v>324</v>
      </c>
      <c r="G50" s="22" t="s">
        <v>326</v>
      </c>
      <c r="H50" s="22" t="s">
        <v>321</v>
      </c>
      <c r="I50" s="22" t="s">
        <v>319</v>
      </c>
      <c r="J50" s="22" t="s">
        <v>329</v>
      </c>
      <c r="K50" s="22" t="s">
        <v>760</v>
      </c>
      <c r="L50" s="22" t="s">
        <v>763</v>
      </c>
      <c r="M50" s="22" t="s">
        <v>753</v>
      </c>
      <c r="N50" s="22" t="s">
        <v>757</v>
      </c>
      <c r="O50" s="22" t="s">
        <v>771</v>
      </c>
      <c r="P50" s="22" t="s">
        <v>755</v>
      </c>
      <c r="Q50" s="67" t="s">
        <v>1433</v>
      </c>
      <c r="R50" s="67" t="s">
        <v>1434</v>
      </c>
      <c r="S50" s="67" t="s">
        <v>1435</v>
      </c>
      <c r="T50" s="67" t="s">
        <v>1436</v>
      </c>
    </row>
    <row r="51" spans="1:20">
      <c r="A51" s="251">
        <v>2024</v>
      </c>
      <c r="B51" s="23" t="s">
        <v>13</v>
      </c>
      <c r="C51" s="34">
        <f>Preescolar!J95</f>
        <v>1</v>
      </c>
      <c r="D51" s="34">
        <f>Preescolar!K95</f>
        <v>0</v>
      </c>
      <c r="E51" s="34">
        <f>Preescolar!L95</f>
        <v>2</v>
      </c>
      <c r="F51" s="34">
        <f>Primaria!L135</f>
        <v>0</v>
      </c>
      <c r="G51" s="34">
        <f>Primaria!M135</f>
        <v>1</v>
      </c>
      <c r="H51" s="34">
        <f>Primaria!N135</f>
        <v>1</v>
      </c>
      <c r="I51" s="34">
        <f>Primaria!O135</f>
        <v>0</v>
      </c>
      <c r="J51" s="34">
        <f>Primaria!P135</f>
        <v>4</v>
      </c>
      <c r="K51" s="34">
        <f>Bachillerato!M135</f>
        <v>0</v>
      </c>
      <c r="L51" s="34">
        <f>Bachillerato!N135</f>
        <v>1</v>
      </c>
      <c r="M51" s="34">
        <f>Bachillerato!O135</f>
        <v>0</v>
      </c>
      <c r="N51" s="34">
        <f>Bachillerato!P135</f>
        <v>2</v>
      </c>
      <c r="O51" s="34">
        <f>Bachillerato!Q135</f>
        <v>1</v>
      </c>
      <c r="P51" s="34">
        <f>Bachillerato!R135</f>
        <v>0</v>
      </c>
      <c r="Q51" s="34">
        <f t="shared" ref="Q51:Q62" si="15">SUM(C51:E51)</f>
        <v>3</v>
      </c>
      <c r="R51" s="34">
        <f t="shared" ref="R51:R62" si="16">SUM(F51:J51)</f>
        <v>6</v>
      </c>
      <c r="S51" s="34">
        <f t="shared" ref="S51:S62" si="17">SUM(K51:P51)</f>
        <v>4</v>
      </c>
      <c r="T51" s="34">
        <f t="shared" ref="T51:T62" si="18">SUM(Q51:S51)</f>
        <v>13</v>
      </c>
    </row>
    <row r="52" spans="1:20">
      <c r="A52" s="251"/>
      <c r="B52" s="23" t="s">
        <v>24</v>
      </c>
      <c r="C52" s="34">
        <f>Preescolar!J96</f>
        <v>1</v>
      </c>
      <c r="D52" s="34">
        <f>Preescolar!K96</f>
        <v>0</v>
      </c>
      <c r="E52" s="34">
        <f>Preescolar!L96</f>
        <v>3</v>
      </c>
      <c r="F52" s="34">
        <f>Primaria!L136</f>
        <v>1</v>
      </c>
      <c r="G52" s="34">
        <f>Primaria!M136</f>
        <v>1</v>
      </c>
      <c r="H52" s="34">
        <f>Primaria!N136</f>
        <v>1</v>
      </c>
      <c r="I52" s="34">
        <f>Primaria!O136</f>
        <v>1</v>
      </c>
      <c r="J52" s="34">
        <f>Primaria!P136</f>
        <v>5</v>
      </c>
      <c r="K52" s="34">
        <f>Bachillerato!M136</f>
        <v>2</v>
      </c>
      <c r="L52" s="34">
        <f>Bachillerato!N136</f>
        <v>1</v>
      </c>
      <c r="M52" s="34">
        <f>Bachillerato!O136</f>
        <v>3</v>
      </c>
      <c r="N52" s="34">
        <f>Bachillerato!P136</f>
        <v>3</v>
      </c>
      <c r="O52" s="34">
        <f>Bachillerato!Q136</f>
        <v>2</v>
      </c>
      <c r="P52" s="34">
        <f>Bachillerato!R136</f>
        <v>0</v>
      </c>
      <c r="Q52" s="34">
        <f t="shared" si="15"/>
        <v>4</v>
      </c>
      <c r="R52" s="34">
        <f t="shared" si="16"/>
        <v>9</v>
      </c>
      <c r="S52" s="34">
        <f t="shared" si="17"/>
        <v>11</v>
      </c>
      <c r="T52" s="34">
        <f t="shared" si="18"/>
        <v>24</v>
      </c>
    </row>
    <row r="53" spans="1:20">
      <c r="A53" s="251"/>
      <c r="B53" s="23" t="s">
        <v>34</v>
      </c>
      <c r="C53" s="34">
        <f>Preescolar!J97</f>
        <v>1</v>
      </c>
      <c r="D53" s="34">
        <f>Preescolar!K97</f>
        <v>0</v>
      </c>
      <c r="E53" s="34">
        <f>Preescolar!L97</f>
        <v>3</v>
      </c>
      <c r="F53" s="34">
        <f>Primaria!L137</f>
        <v>2</v>
      </c>
      <c r="G53" s="34">
        <f>Primaria!M137</f>
        <v>1</v>
      </c>
      <c r="H53" s="34">
        <f>Primaria!N137</f>
        <v>1</v>
      </c>
      <c r="I53" s="34">
        <f>Primaria!O137</f>
        <v>1</v>
      </c>
      <c r="J53" s="34">
        <f>Primaria!P137</f>
        <v>5</v>
      </c>
      <c r="K53" s="34">
        <f>Bachillerato!M137</f>
        <v>2</v>
      </c>
      <c r="L53" s="34">
        <f>Bachillerato!N137</f>
        <v>1</v>
      </c>
      <c r="M53" s="34">
        <f>Bachillerato!O137</f>
        <v>4</v>
      </c>
      <c r="N53" s="34">
        <f>Bachillerato!P137</f>
        <v>3</v>
      </c>
      <c r="O53" s="34">
        <f>Bachillerato!Q137</f>
        <v>3</v>
      </c>
      <c r="P53" s="34">
        <f>Bachillerato!R137</f>
        <v>0</v>
      </c>
      <c r="Q53" s="34">
        <f t="shared" si="15"/>
        <v>4</v>
      </c>
      <c r="R53" s="34">
        <f t="shared" si="16"/>
        <v>10</v>
      </c>
      <c r="S53" s="34">
        <f t="shared" si="17"/>
        <v>13</v>
      </c>
      <c r="T53" s="34">
        <f t="shared" si="18"/>
        <v>27</v>
      </c>
    </row>
    <row r="54" spans="1:20">
      <c r="A54" s="251"/>
      <c r="B54" s="23" t="s">
        <v>38</v>
      </c>
      <c r="C54" s="34">
        <f>Preescolar!J98</f>
        <v>1</v>
      </c>
      <c r="D54" s="34">
        <f>Preescolar!K98</f>
        <v>0</v>
      </c>
      <c r="E54" s="34">
        <f>Preescolar!L98</f>
        <v>3</v>
      </c>
      <c r="F54" s="34">
        <f>Primaria!L138</f>
        <v>2</v>
      </c>
      <c r="G54" s="34">
        <f>Primaria!M138</f>
        <v>1</v>
      </c>
      <c r="H54" s="34">
        <f>Primaria!N138</f>
        <v>1</v>
      </c>
      <c r="I54" s="34">
        <f>Primaria!O138</f>
        <v>1</v>
      </c>
      <c r="J54" s="34">
        <f>Primaria!P138</f>
        <v>5</v>
      </c>
      <c r="K54" s="34">
        <f>Bachillerato!M138</f>
        <v>2</v>
      </c>
      <c r="L54" s="34">
        <f>Bachillerato!N138</f>
        <v>1</v>
      </c>
      <c r="M54" s="34">
        <f>Bachillerato!O138</f>
        <v>4</v>
      </c>
      <c r="N54" s="34">
        <f>Bachillerato!P138</f>
        <v>3</v>
      </c>
      <c r="O54" s="34">
        <f>Bachillerato!Q138</f>
        <v>3</v>
      </c>
      <c r="P54" s="34">
        <f>Bachillerato!R138</f>
        <v>0</v>
      </c>
      <c r="Q54" s="34">
        <f t="shared" si="15"/>
        <v>4</v>
      </c>
      <c r="R54" s="34">
        <f t="shared" si="16"/>
        <v>10</v>
      </c>
      <c r="S54" s="34">
        <f t="shared" si="17"/>
        <v>13</v>
      </c>
      <c r="T54" s="34">
        <f t="shared" si="18"/>
        <v>27</v>
      </c>
    </row>
    <row r="55" spans="1:20">
      <c r="A55" s="251"/>
      <c r="B55" s="23" t="s">
        <v>47</v>
      </c>
      <c r="C55" s="34">
        <f>Preescolar!J99</f>
        <v>1</v>
      </c>
      <c r="D55" s="34">
        <f>Preescolar!K99</f>
        <v>0</v>
      </c>
      <c r="E55" s="34">
        <f>Preescolar!L99</f>
        <v>3</v>
      </c>
      <c r="F55" s="34">
        <f>Primaria!L139</f>
        <v>2</v>
      </c>
      <c r="G55" s="34">
        <f>Primaria!M139</f>
        <v>1</v>
      </c>
      <c r="H55" s="34">
        <f>Primaria!N139</f>
        <v>2</v>
      </c>
      <c r="I55" s="34">
        <f>Primaria!O139</f>
        <v>1</v>
      </c>
      <c r="J55" s="34">
        <f>Primaria!P139</f>
        <v>5</v>
      </c>
      <c r="K55" s="34">
        <f>Bachillerato!M139</f>
        <v>2</v>
      </c>
      <c r="L55" s="34">
        <f>Bachillerato!N139</f>
        <v>1</v>
      </c>
      <c r="M55" s="34">
        <f>Bachillerato!O139</f>
        <v>4</v>
      </c>
      <c r="N55" s="34">
        <f>Bachillerato!P139</f>
        <v>3</v>
      </c>
      <c r="O55" s="34">
        <f>Bachillerato!Q139</f>
        <v>4</v>
      </c>
      <c r="P55" s="34">
        <f>Bachillerato!R139</f>
        <v>0</v>
      </c>
      <c r="Q55" s="34">
        <f t="shared" si="15"/>
        <v>4</v>
      </c>
      <c r="R55" s="34">
        <f t="shared" si="16"/>
        <v>11</v>
      </c>
      <c r="S55" s="34">
        <f t="shared" si="17"/>
        <v>14</v>
      </c>
      <c r="T55" s="34">
        <f t="shared" si="18"/>
        <v>29</v>
      </c>
    </row>
    <row r="56" spans="1:20">
      <c r="A56" s="251"/>
      <c r="B56" s="23" t="s">
        <v>57</v>
      </c>
      <c r="C56" s="34">
        <f>Preescolar!J100</f>
        <v>1</v>
      </c>
      <c r="D56" s="34">
        <f>Preescolar!K100</f>
        <v>0</v>
      </c>
      <c r="E56" s="34">
        <f>Preescolar!L100</f>
        <v>3</v>
      </c>
      <c r="F56" s="34">
        <f>Primaria!L140</f>
        <v>2</v>
      </c>
      <c r="G56" s="34">
        <f>Primaria!M140</f>
        <v>2</v>
      </c>
      <c r="H56" s="34">
        <f>Primaria!N140</f>
        <v>2</v>
      </c>
      <c r="I56" s="34">
        <f>Primaria!O140</f>
        <v>1</v>
      </c>
      <c r="J56" s="34">
        <f>Primaria!P140</f>
        <v>5</v>
      </c>
      <c r="K56" s="34">
        <f>Bachillerato!M140</f>
        <v>2</v>
      </c>
      <c r="L56" s="34">
        <f>Bachillerato!N140</f>
        <v>1</v>
      </c>
      <c r="M56" s="34">
        <f>Bachillerato!O140</f>
        <v>4</v>
      </c>
      <c r="N56" s="34">
        <f>Bachillerato!P140</f>
        <v>3</v>
      </c>
      <c r="O56" s="34">
        <f>Bachillerato!Q140</f>
        <v>4</v>
      </c>
      <c r="P56" s="34">
        <f>Bachillerato!R140</f>
        <v>0</v>
      </c>
      <c r="Q56" s="34">
        <f t="shared" si="15"/>
        <v>4</v>
      </c>
      <c r="R56" s="34">
        <f t="shared" si="16"/>
        <v>12</v>
      </c>
      <c r="S56" s="34">
        <f t="shared" si="17"/>
        <v>14</v>
      </c>
      <c r="T56" s="34">
        <f t="shared" si="18"/>
        <v>30</v>
      </c>
    </row>
    <row r="57" spans="1:20">
      <c r="A57" s="251"/>
      <c r="B57" s="23" t="s">
        <v>62</v>
      </c>
      <c r="C57" s="34">
        <f>Preescolar!J101</f>
        <v>1</v>
      </c>
      <c r="D57" s="34">
        <f>Preescolar!K101</f>
        <v>0</v>
      </c>
      <c r="E57" s="34">
        <f>Preescolar!L101</f>
        <v>3</v>
      </c>
      <c r="F57" s="34">
        <f>Primaria!L141</f>
        <v>2</v>
      </c>
      <c r="G57" s="34">
        <f>Primaria!M141</f>
        <v>3</v>
      </c>
      <c r="H57" s="34">
        <f>Primaria!N141</f>
        <v>3</v>
      </c>
      <c r="I57" s="34">
        <f>Primaria!O141</f>
        <v>1</v>
      </c>
      <c r="J57" s="34">
        <f>Primaria!P141</f>
        <v>5</v>
      </c>
      <c r="K57" s="34">
        <f>Bachillerato!M141</f>
        <v>2</v>
      </c>
      <c r="L57" s="34">
        <f>Bachillerato!N141</f>
        <v>1</v>
      </c>
      <c r="M57" s="34">
        <f>Bachillerato!O141</f>
        <v>4</v>
      </c>
      <c r="N57" s="34">
        <f>Bachillerato!P141</f>
        <v>3</v>
      </c>
      <c r="O57" s="34">
        <f>Bachillerato!Q141</f>
        <v>5</v>
      </c>
      <c r="P57" s="34">
        <f>Bachillerato!R141</f>
        <v>0</v>
      </c>
      <c r="Q57" s="34">
        <f t="shared" si="15"/>
        <v>4</v>
      </c>
      <c r="R57" s="34">
        <f t="shared" si="16"/>
        <v>14</v>
      </c>
      <c r="S57" s="34">
        <f t="shared" si="17"/>
        <v>15</v>
      </c>
      <c r="T57" s="34">
        <f t="shared" si="18"/>
        <v>33</v>
      </c>
    </row>
    <row r="58" spans="1:20">
      <c r="A58" s="251"/>
      <c r="B58" s="23" t="s">
        <v>68</v>
      </c>
      <c r="C58" s="34">
        <f>Preescolar!J102</f>
        <v>1</v>
      </c>
      <c r="D58" s="34">
        <f>Preescolar!K102</f>
        <v>0</v>
      </c>
      <c r="E58" s="34">
        <f>Preescolar!L102</f>
        <v>3</v>
      </c>
      <c r="F58" s="34">
        <f>Primaria!L142</f>
        <v>2</v>
      </c>
      <c r="G58" s="34">
        <f>Primaria!M142</f>
        <v>3</v>
      </c>
      <c r="H58" s="34">
        <f>Primaria!N142</f>
        <v>4</v>
      </c>
      <c r="I58" s="34">
        <f>Primaria!O142</f>
        <v>2</v>
      </c>
      <c r="J58" s="34">
        <f>Primaria!P142</f>
        <v>6</v>
      </c>
      <c r="K58" s="34">
        <f>Bachillerato!M142</f>
        <v>2</v>
      </c>
      <c r="L58" s="34">
        <f>Bachillerato!N142</f>
        <v>1</v>
      </c>
      <c r="M58" s="34">
        <f>Bachillerato!O142</f>
        <v>4</v>
      </c>
      <c r="N58" s="34">
        <f>Bachillerato!P142</f>
        <v>3</v>
      </c>
      <c r="O58" s="34">
        <f>Bachillerato!Q142</f>
        <v>5</v>
      </c>
      <c r="P58" s="34">
        <f>Bachillerato!R142</f>
        <v>0</v>
      </c>
      <c r="Q58" s="34">
        <f t="shared" si="15"/>
        <v>4</v>
      </c>
      <c r="R58" s="34">
        <f t="shared" si="16"/>
        <v>17</v>
      </c>
      <c r="S58" s="34">
        <f t="shared" si="17"/>
        <v>15</v>
      </c>
      <c r="T58" s="34">
        <f t="shared" si="18"/>
        <v>36</v>
      </c>
    </row>
    <row r="59" spans="1:20">
      <c r="A59" s="251"/>
      <c r="B59" s="23" t="s">
        <v>77</v>
      </c>
      <c r="C59" s="34">
        <f>Preescolar!J103</f>
        <v>1</v>
      </c>
      <c r="D59" s="34">
        <f>Preescolar!K103</f>
        <v>1</v>
      </c>
      <c r="E59" s="34">
        <f>Preescolar!L103</f>
        <v>3</v>
      </c>
      <c r="F59" s="34">
        <f>Primaria!L143</f>
        <v>2</v>
      </c>
      <c r="G59" s="34">
        <f>Primaria!M143</f>
        <v>3</v>
      </c>
      <c r="H59" s="34">
        <f>Primaria!N143</f>
        <v>4</v>
      </c>
      <c r="I59" s="34">
        <f>Primaria!O143</f>
        <v>3</v>
      </c>
      <c r="J59" s="34">
        <f>Primaria!P143</f>
        <v>7</v>
      </c>
      <c r="K59" s="34">
        <f>Bachillerato!M143</f>
        <v>3</v>
      </c>
      <c r="L59" s="34">
        <f>Bachillerato!N143</f>
        <v>1</v>
      </c>
      <c r="M59" s="34">
        <f>Bachillerato!O143</f>
        <v>4</v>
      </c>
      <c r="N59" s="34">
        <f>Bachillerato!P143</f>
        <v>5</v>
      </c>
      <c r="O59" s="34">
        <f>Bachillerato!Q143</f>
        <v>5</v>
      </c>
      <c r="P59" s="34">
        <f>Bachillerato!R143</f>
        <v>0</v>
      </c>
      <c r="Q59" s="34">
        <f t="shared" si="15"/>
        <v>5</v>
      </c>
      <c r="R59" s="34">
        <f t="shared" si="16"/>
        <v>19</v>
      </c>
      <c r="S59" s="34">
        <f t="shared" si="17"/>
        <v>18</v>
      </c>
      <c r="T59" s="34">
        <f t="shared" si="18"/>
        <v>42</v>
      </c>
    </row>
    <row r="60" spans="1:20">
      <c r="A60" s="251"/>
      <c r="B60" s="23" t="s">
        <v>84</v>
      </c>
      <c r="C60" s="34">
        <f>Preescolar!J104</f>
        <v>1</v>
      </c>
      <c r="D60" s="34">
        <f>Preescolar!K104</f>
        <v>1</v>
      </c>
      <c r="E60" s="34">
        <f>Preescolar!L104</f>
        <v>3</v>
      </c>
      <c r="F60" s="34">
        <f>Primaria!L144</f>
        <v>2</v>
      </c>
      <c r="G60" s="34">
        <f>Primaria!M144</f>
        <v>3</v>
      </c>
      <c r="H60" s="34">
        <f>Primaria!N144</f>
        <v>4</v>
      </c>
      <c r="I60" s="34">
        <f>Primaria!O144</f>
        <v>3</v>
      </c>
      <c r="J60" s="34">
        <f>Primaria!P144</f>
        <v>7</v>
      </c>
      <c r="K60" s="34">
        <f>Bachillerato!M144</f>
        <v>3</v>
      </c>
      <c r="L60" s="34">
        <f>Bachillerato!N144</f>
        <v>1</v>
      </c>
      <c r="M60" s="34">
        <f>Bachillerato!O144</f>
        <v>5</v>
      </c>
      <c r="N60" s="34">
        <f>Bachillerato!P144</f>
        <v>5</v>
      </c>
      <c r="O60" s="34">
        <f>Bachillerato!Q144</f>
        <v>5</v>
      </c>
      <c r="P60" s="34">
        <f>Bachillerato!R144</f>
        <v>0</v>
      </c>
      <c r="Q60" s="34">
        <f t="shared" si="15"/>
        <v>5</v>
      </c>
      <c r="R60" s="34">
        <f t="shared" si="16"/>
        <v>19</v>
      </c>
      <c r="S60" s="34">
        <f t="shared" si="17"/>
        <v>19</v>
      </c>
      <c r="T60" s="34">
        <f t="shared" si="18"/>
        <v>43</v>
      </c>
    </row>
    <row r="61" spans="1:20">
      <c r="A61" s="251"/>
      <c r="B61" s="23" t="s">
        <v>87</v>
      </c>
      <c r="C61" s="34">
        <f>Preescolar!J105</f>
        <v>1</v>
      </c>
      <c r="D61" s="34">
        <f>Preescolar!K105</f>
        <v>1</v>
      </c>
      <c r="E61" s="34">
        <f>Preescolar!L105</f>
        <v>3</v>
      </c>
      <c r="F61" s="34">
        <f>Primaria!L145</f>
        <v>2</v>
      </c>
      <c r="G61" s="34">
        <f>Primaria!M145</f>
        <v>3</v>
      </c>
      <c r="H61" s="34">
        <f>Primaria!N145</f>
        <v>4</v>
      </c>
      <c r="I61" s="34">
        <f>Primaria!O145</f>
        <v>3</v>
      </c>
      <c r="J61" s="34">
        <f>Primaria!P145</f>
        <v>7</v>
      </c>
      <c r="K61" s="34">
        <f>Bachillerato!M145</f>
        <v>3</v>
      </c>
      <c r="L61" s="34">
        <f>Bachillerato!N145</f>
        <v>1</v>
      </c>
      <c r="M61" s="34">
        <f>Bachillerato!O145</f>
        <v>6</v>
      </c>
      <c r="N61" s="34">
        <f>Bachillerato!P145</f>
        <v>5</v>
      </c>
      <c r="O61" s="34">
        <f>Bachillerato!Q145</f>
        <v>5</v>
      </c>
      <c r="P61" s="34">
        <f>Bachillerato!R145</f>
        <v>0</v>
      </c>
      <c r="Q61" s="34">
        <f t="shared" si="15"/>
        <v>5</v>
      </c>
      <c r="R61" s="34">
        <f t="shared" si="16"/>
        <v>19</v>
      </c>
      <c r="S61" s="34">
        <f t="shared" si="17"/>
        <v>20</v>
      </c>
      <c r="T61" s="34">
        <f t="shared" si="18"/>
        <v>44</v>
      </c>
    </row>
    <row r="62" spans="1:20">
      <c r="A62" s="251"/>
      <c r="B62" s="23" t="s">
        <v>173</v>
      </c>
      <c r="C62" s="34">
        <f>Preescolar!J106</f>
        <v>1</v>
      </c>
      <c r="D62" s="34">
        <f>Preescolar!K106</f>
        <v>1</v>
      </c>
      <c r="E62" s="34">
        <f>Preescolar!L106</f>
        <v>3</v>
      </c>
      <c r="F62" s="34">
        <f>Primaria!L146</f>
        <v>2</v>
      </c>
      <c r="G62" s="34">
        <f>Primaria!M146</f>
        <v>3</v>
      </c>
      <c r="H62" s="34">
        <f>Primaria!N146</f>
        <v>4</v>
      </c>
      <c r="I62" s="34">
        <f>Primaria!O146</f>
        <v>3</v>
      </c>
      <c r="J62" s="34">
        <f>Primaria!P146</f>
        <v>8</v>
      </c>
      <c r="K62" s="34">
        <f>Bachillerato!M146</f>
        <v>3</v>
      </c>
      <c r="L62" s="34">
        <f>Bachillerato!N146</f>
        <v>1</v>
      </c>
      <c r="M62" s="34">
        <f>Bachillerato!O146</f>
        <v>6</v>
      </c>
      <c r="N62" s="34">
        <f>Bachillerato!P146</f>
        <v>5</v>
      </c>
      <c r="O62" s="34">
        <f>Bachillerato!Q146</f>
        <v>5</v>
      </c>
      <c r="P62" s="34">
        <f>Bachillerato!R146</f>
        <v>0</v>
      </c>
      <c r="Q62" s="34">
        <f t="shared" si="15"/>
        <v>5</v>
      </c>
      <c r="R62" s="34">
        <f t="shared" si="16"/>
        <v>20</v>
      </c>
      <c r="S62" s="34">
        <f t="shared" si="17"/>
        <v>20</v>
      </c>
      <c r="T62" s="34">
        <f t="shared" si="18"/>
        <v>45</v>
      </c>
    </row>
  </sheetData>
  <mergeCells count="8">
    <mergeCell ref="B33:P33"/>
    <mergeCell ref="A35:A46"/>
    <mergeCell ref="B49:P49"/>
    <mergeCell ref="A51:A62"/>
    <mergeCell ref="B1:P1"/>
    <mergeCell ref="A3:A14"/>
    <mergeCell ref="B17:P17"/>
    <mergeCell ref="A19:A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9DAF-076B-4BDF-B8E6-DE2C212638F6}">
  <sheetPr>
    <tabColor theme="6" tint="0.39997558519241921"/>
  </sheetPr>
  <dimension ref="A3:W37"/>
  <sheetViews>
    <sheetView showGridLines="0" topLeftCell="B16" workbookViewId="0">
      <selection activeCell="S32" sqref="S29:S32"/>
    </sheetView>
  </sheetViews>
  <sheetFormatPr defaultColWidth="11.42578125" defaultRowHeight="14.45"/>
  <cols>
    <col min="1" max="1" width="15.28515625" bestFit="1" customWidth="1"/>
    <col min="2" max="4" width="10.85546875" customWidth="1"/>
    <col min="5" max="15" width="6.5703125" customWidth="1"/>
    <col min="20" max="21" width="4.42578125" bestFit="1" customWidth="1"/>
    <col min="22" max="22" width="5.42578125" bestFit="1" customWidth="1"/>
    <col min="23" max="23" width="4.42578125" bestFit="1" customWidth="1"/>
  </cols>
  <sheetData>
    <row r="3" spans="1:19">
      <c r="B3" s="273" t="s">
        <v>1450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</row>
    <row r="4" spans="1:19">
      <c r="B4" s="85" t="s">
        <v>18</v>
      </c>
      <c r="C4" s="85" t="s">
        <v>32</v>
      </c>
      <c r="D4" s="85" t="s">
        <v>15</v>
      </c>
      <c r="E4" s="85" t="s">
        <v>324</v>
      </c>
      <c r="F4" s="85" t="s">
        <v>326</v>
      </c>
      <c r="G4" s="85" t="s">
        <v>321</v>
      </c>
      <c r="H4" s="85" t="s">
        <v>319</v>
      </c>
      <c r="I4" s="85" t="s">
        <v>329</v>
      </c>
      <c r="J4" s="85" t="s">
        <v>760</v>
      </c>
      <c r="K4" s="85" t="s">
        <v>763</v>
      </c>
      <c r="L4" s="85" t="s">
        <v>753</v>
      </c>
      <c r="M4" s="85" t="s">
        <v>757</v>
      </c>
      <c r="N4" s="85" t="s">
        <v>771</v>
      </c>
      <c r="O4" s="85" t="s">
        <v>755</v>
      </c>
      <c r="P4" s="85" t="s">
        <v>1433</v>
      </c>
      <c r="Q4" s="85" t="s">
        <v>1434</v>
      </c>
      <c r="R4" s="85" t="s">
        <v>1435</v>
      </c>
      <c r="S4" s="85" t="s">
        <v>1436</v>
      </c>
    </row>
    <row r="5" spans="1:19">
      <c r="A5" s="34" t="s">
        <v>1451</v>
      </c>
      <c r="B5" s="34">
        <f>Preescolar!J8</f>
        <v>21</v>
      </c>
      <c r="C5" s="34">
        <f>Preescolar!K8</f>
        <v>6</v>
      </c>
      <c r="D5" s="34">
        <f>Preescolar!L8</f>
        <v>9</v>
      </c>
      <c r="E5" s="34">
        <f>Primaria!L8</f>
        <v>8</v>
      </c>
      <c r="F5" s="34">
        <f>Primaria!M8</f>
        <v>7</v>
      </c>
      <c r="G5" s="34">
        <f>Primaria!N8</f>
        <v>9</v>
      </c>
      <c r="H5" s="34">
        <f>Primaria!O8</f>
        <v>4</v>
      </c>
      <c r="I5" s="34">
        <f>Primaria!P8</f>
        <v>9</v>
      </c>
      <c r="J5" s="34">
        <f>Bachillerato!M8</f>
        <v>18</v>
      </c>
      <c r="K5" s="34">
        <f>Bachillerato!N8</f>
        <v>17</v>
      </c>
      <c r="L5" s="34">
        <f>Bachillerato!O8</f>
        <v>21</v>
      </c>
      <c r="M5" s="34">
        <f>Bachillerato!P8</f>
        <v>7</v>
      </c>
      <c r="N5" s="34">
        <f>Bachillerato!Q8</f>
        <v>10</v>
      </c>
      <c r="O5" s="34">
        <f>Bachillerato!R8</f>
        <v>9</v>
      </c>
      <c r="P5" s="34">
        <f>SUM(B5:D5)</f>
        <v>36</v>
      </c>
      <c r="Q5" s="34">
        <f>SUM(E5:I5)</f>
        <v>37</v>
      </c>
      <c r="R5" s="34">
        <f>SUM(J5:O5)</f>
        <v>82</v>
      </c>
      <c r="S5" s="34">
        <f>SUM(P5:R5)</f>
        <v>155</v>
      </c>
    </row>
    <row r="6" spans="1:19">
      <c r="A6" s="34" t="s">
        <v>1452</v>
      </c>
      <c r="B6" s="34">
        <f>Preescolar!J14-B5</f>
        <v>9</v>
      </c>
      <c r="C6" s="34">
        <f>Preescolar!K14-C5</f>
        <v>5</v>
      </c>
      <c r="D6" s="34">
        <f>Preescolar!L14-D5</f>
        <v>9</v>
      </c>
      <c r="E6" s="34">
        <f>Primaria!L14-'comparativo semestre'!E5</f>
        <v>19</v>
      </c>
      <c r="F6" s="34">
        <f>Primaria!M14-'comparativo semestre'!F5</f>
        <v>7</v>
      </c>
      <c r="G6" s="34">
        <f>Primaria!N14-'comparativo semestre'!G5</f>
        <v>12</v>
      </c>
      <c r="H6" s="34">
        <f>Primaria!O14-'comparativo semestre'!H5</f>
        <v>12</v>
      </c>
      <c r="I6" s="34">
        <f>Primaria!P14-'comparativo semestre'!I5</f>
        <v>12</v>
      </c>
      <c r="J6" s="34">
        <f>Bachillerato!M14-'comparativo semestre'!J5</f>
        <v>18</v>
      </c>
      <c r="K6" s="34">
        <f>Bachillerato!N14-'comparativo semestre'!K5</f>
        <v>12</v>
      </c>
      <c r="L6" s="34">
        <f>Bachillerato!O14-'comparativo semestre'!L5</f>
        <v>16</v>
      </c>
      <c r="M6" s="34">
        <f>Bachillerato!P14-'comparativo semestre'!M5</f>
        <v>17</v>
      </c>
      <c r="N6" s="34">
        <f>Bachillerato!Q14-'comparativo semestre'!N5</f>
        <v>18</v>
      </c>
      <c r="O6" s="34">
        <f>Bachillerato!R14-'comparativo semestre'!O5</f>
        <v>6</v>
      </c>
      <c r="P6" s="34">
        <f t="shared" ref="P6:P7" si="0">SUM(B6:D6)</f>
        <v>23</v>
      </c>
      <c r="Q6" s="34">
        <f t="shared" ref="Q6:Q7" si="1">SUM(E6:I6)</f>
        <v>62</v>
      </c>
      <c r="R6" s="34">
        <f t="shared" ref="R6:R7" si="2">SUM(J6:O6)</f>
        <v>87</v>
      </c>
      <c r="S6" s="34">
        <f t="shared" ref="S6:S7" si="3">SUM(P6:R6)</f>
        <v>172</v>
      </c>
    </row>
    <row r="7" spans="1:19">
      <c r="A7" s="34" t="s">
        <v>1453</v>
      </c>
      <c r="B7" s="34">
        <f>Preescolar!J20</f>
        <v>13</v>
      </c>
      <c r="C7" s="34">
        <f>Preescolar!K20</f>
        <v>8</v>
      </c>
      <c r="D7" s="34">
        <f>Preescolar!L20</f>
        <v>3</v>
      </c>
      <c r="E7" s="34">
        <f>Primaria!L20</f>
        <v>4</v>
      </c>
      <c r="F7" s="34">
        <f>Primaria!M20</f>
        <v>9</v>
      </c>
      <c r="G7" s="34">
        <f>Primaria!N20</f>
        <v>7</v>
      </c>
      <c r="H7" s="34">
        <f>Primaria!O20</f>
        <v>9</v>
      </c>
      <c r="I7" s="34">
        <f>Primaria!P20</f>
        <v>2</v>
      </c>
      <c r="J7" s="34">
        <f>Bachillerato!M20</f>
        <v>7</v>
      </c>
      <c r="K7" s="34">
        <f>Bachillerato!N20</f>
        <v>9</v>
      </c>
      <c r="L7" s="34">
        <f>Bachillerato!O20</f>
        <v>16</v>
      </c>
      <c r="M7" s="34">
        <f>Bachillerato!P20</f>
        <v>9</v>
      </c>
      <c r="N7" s="34">
        <f>Bachillerato!Q20</f>
        <v>15</v>
      </c>
      <c r="O7" s="34">
        <f>Bachillerato!R20</f>
        <v>5</v>
      </c>
      <c r="P7" s="34">
        <f t="shared" si="0"/>
        <v>24</v>
      </c>
      <c r="Q7" s="34">
        <f t="shared" si="1"/>
        <v>31</v>
      </c>
      <c r="R7" s="34">
        <f t="shared" si="2"/>
        <v>61</v>
      </c>
      <c r="S7" s="34">
        <f t="shared" si="3"/>
        <v>116</v>
      </c>
    </row>
    <row r="8" spans="1:19">
      <c r="A8" s="34" t="s">
        <v>1454</v>
      </c>
      <c r="B8" s="34">
        <f>Preescolar!J26-B7</f>
        <v>13</v>
      </c>
      <c r="C8" s="34">
        <f>Preescolar!K26-C7</f>
        <v>7</v>
      </c>
      <c r="D8" s="34">
        <f>Preescolar!L26-D7</f>
        <v>2</v>
      </c>
      <c r="E8" s="34">
        <f>Primaria!L26-E7</f>
        <v>7</v>
      </c>
      <c r="F8" s="34">
        <f>Primaria!M26-F7</f>
        <v>4</v>
      </c>
      <c r="G8" s="34">
        <f>Primaria!N26-G7</f>
        <v>8</v>
      </c>
      <c r="H8" s="34">
        <f>Primaria!O26-H7</f>
        <v>9</v>
      </c>
      <c r="I8" s="34">
        <f>Primaria!P26-I7</f>
        <v>14</v>
      </c>
      <c r="J8" s="34">
        <f>Bachillerato!M26-J7</f>
        <v>10</v>
      </c>
      <c r="K8" s="34">
        <f>Bachillerato!N26-K7</f>
        <v>11</v>
      </c>
      <c r="L8" s="34">
        <f>Bachillerato!O26-L7</f>
        <v>19</v>
      </c>
      <c r="M8" s="34">
        <f>Bachillerato!P26-M7</f>
        <v>11</v>
      </c>
      <c r="N8" s="34">
        <f>Bachillerato!Q26-N7</f>
        <v>11</v>
      </c>
      <c r="O8" s="34">
        <f>Bachillerato!R26-O7</f>
        <v>1</v>
      </c>
      <c r="P8" s="34">
        <f t="shared" ref="P8" si="4">SUM(B8:D8)</f>
        <v>22</v>
      </c>
      <c r="Q8" s="34">
        <f t="shared" ref="Q8" si="5">SUM(E8:I8)</f>
        <v>42</v>
      </c>
      <c r="R8" s="34">
        <f t="shared" ref="R8" si="6">SUM(J8:O8)</f>
        <v>63</v>
      </c>
      <c r="S8" s="34">
        <f t="shared" ref="S8" si="7">SUM(P8:R8)</f>
        <v>127</v>
      </c>
    </row>
    <row r="10" spans="1:19"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1:19">
      <c r="B11" s="275" t="s">
        <v>1455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</row>
    <row r="12" spans="1:19">
      <c r="B12" s="86" t="s">
        <v>18</v>
      </c>
      <c r="C12" s="86" t="s">
        <v>32</v>
      </c>
      <c r="D12" s="86" t="s">
        <v>15</v>
      </c>
      <c r="E12" s="86" t="s">
        <v>324</v>
      </c>
      <c r="F12" s="86" t="s">
        <v>326</v>
      </c>
      <c r="G12" s="86" t="s">
        <v>321</v>
      </c>
      <c r="H12" s="86" t="s">
        <v>319</v>
      </c>
      <c r="I12" s="86" t="s">
        <v>329</v>
      </c>
      <c r="J12" s="86" t="s">
        <v>760</v>
      </c>
      <c r="K12" s="86" t="s">
        <v>763</v>
      </c>
      <c r="L12" s="86" t="s">
        <v>753</v>
      </c>
      <c r="M12" s="86" t="s">
        <v>757</v>
      </c>
      <c r="N12" s="86" t="s">
        <v>771</v>
      </c>
      <c r="O12" s="86" t="s">
        <v>755</v>
      </c>
      <c r="P12" s="86" t="s">
        <v>1433</v>
      </c>
      <c r="Q12" s="86" t="s">
        <v>1434</v>
      </c>
      <c r="R12" s="86" t="s">
        <v>1435</v>
      </c>
      <c r="S12" s="87" t="s">
        <v>1436</v>
      </c>
    </row>
    <row r="13" spans="1:19">
      <c r="A13" s="34" t="s">
        <v>1451</v>
      </c>
      <c r="B13" s="34"/>
      <c r="C13" s="34"/>
      <c r="D13" s="34"/>
      <c r="E13" s="34"/>
      <c r="F13" s="34"/>
      <c r="G13" s="34"/>
      <c r="H13" s="34"/>
      <c r="I13" s="34">
        <f>Primaria!L48</f>
        <v>1</v>
      </c>
      <c r="J13" s="34">
        <f>Bachillerato!M48</f>
        <v>4</v>
      </c>
      <c r="K13" s="34">
        <f>Bachillerato!N48</f>
        <v>6</v>
      </c>
      <c r="L13" s="34">
        <f>Bachillerato!O48</f>
        <v>7</v>
      </c>
      <c r="M13" s="34">
        <f>Bachillerato!P48</f>
        <v>2</v>
      </c>
      <c r="N13" s="34">
        <f>Bachillerato!Q48</f>
        <v>5</v>
      </c>
      <c r="O13" s="34">
        <f>Bachillerato!R48</f>
        <v>6</v>
      </c>
      <c r="P13" s="34">
        <f>SUM(B13:D13)</f>
        <v>0</v>
      </c>
      <c r="Q13" s="34">
        <f>SUM(E13:I13)</f>
        <v>1</v>
      </c>
      <c r="R13" s="34">
        <f>SUM(J13:O13)</f>
        <v>30</v>
      </c>
      <c r="S13" s="34">
        <f>SUM(P13:R13)</f>
        <v>31</v>
      </c>
    </row>
    <row r="14" spans="1:19">
      <c r="A14" s="34" t="s">
        <v>1452</v>
      </c>
      <c r="B14" s="34"/>
      <c r="C14" s="34"/>
      <c r="D14" s="34"/>
      <c r="E14" s="34"/>
      <c r="F14" s="34"/>
      <c r="G14" s="34"/>
      <c r="H14" s="34"/>
      <c r="I14" s="34">
        <f>Primaria!L54-I13</f>
        <v>5</v>
      </c>
      <c r="J14" s="34">
        <f>Bachillerato!M54-J13</f>
        <v>6</v>
      </c>
      <c r="K14" s="34">
        <f>Bachillerato!N54-K13</f>
        <v>3</v>
      </c>
      <c r="L14" s="34">
        <f>Bachillerato!O54-L13</f>
        <v>11</v>
      </c>
      <c r="M14" s="34">
        <f>Bachillerato!P54-M13</f>
        <v>12</v>
      </c>
      <c r="N14" s="34">
        <f>Bachillerato!Q54-N13</f>
        <v>11</v>
      </c>
      <c r="O14" s="34">
        <f>Bachillerato!R54-O13</f>
        <v>4</v>
      </c>
      <c r="P14" s="34">
        <f t="shared" ref="P14:P15" si="8">SUM(B14:D14)</f>
        <v>0</v>
      </c>
      <c r="Q14" s="34">
        <f t="shared" ref="Q14:Q15" si="9">SUM(E14:I14)</f>
        <v>5</v>
      </c>
      <c r="R14" s="34">
        <f t="shared" ref="R14:R15" si="10">SUM(J14:O14)</f>
        <v>47</v>
      </c>
      <c r="S14" s="34">
        <f t="shared" ref="S14:S15" si="11">SUM(P14:R14)</f>
        <v>52</v>
      </c>
    </row>
    <row r="15" spans="1:19">
      <c r="A15" s="34" t="s">
        <v>1453</v>
      </c>
      <c r="B15" s="34"/>
      <c r="C15" s="34"/>
      <c r="D15" s="34"/>
      <c r="E15" s="34"/>
      <c r="F15" s="34"/>
      <c r="G15" s="34"/>
      <c r="H15" s="34"/>
      <c r="I15" s="34">
        <f>Primaria!L60</f>
        <v>2</v>
      </c>
      <c r="J15" s="34">
        <f>Bachillerato!M60</f>
        <v>1</v>
      </c>
      <c r="K15" s="34">
        <f>Bachillerato!N60</f>
        <v>3</v>
      </c>
      <c r="L15" s="34">
        <f>Bachillerato!O60</f>
        <v>8</v>
      </c>
      <c r="M15" s="34">
        <f>Bachillerato!P60</f>
        <v>2</v>
      </c>
      <c r="N15" s="34">
        <f>Bachillerato!Q60</f>
        <v>8</v>
      </c>
      <c r="O15" s="34">
        <f>Bachillerato!R60</f>
        <v>2</v>
      </c>
      <c r="P15" s="34">
        <f t="shared" si="8"/>
        <v>0</v>
      </c>
      <c r="Q15" s="34">
        <f t="shared" si="9"/>
        <v>2</v>
      </c>
      <c r="R15" s="34">
        <f t="shared" si="10"/>
        <v>24</v>
      </c>
      <c r="S15" s="34">
        <f t="shared" si="11"/>
        <v>26</v>
      </c>
    </row>
    <row r="16" spans="1:19">
      <c r="A16" s="34" t="s">
        <v>1454</v>
      </c>
      <c r="B16" s="34"/>
      <c r="C16" s="34"/>
      <c r="D16" s="34"/>
      <c r="E16" s="34"/>
      <c r="F16" s="34"/>
      <c r="G16" s="34"/>
      <c r="H16" s="34"/>
      <c r="I16" s="34">
        <f>Primaria!L66-I15</f>
        <v>8</v>
      </c>
      <c r="J16" s="34">
        <f>Bachillerato!M66-J15</f>
        <v>4</v>
      </c>
      <c r="K16" s="34">
        <f>Bachillerato!N66-K15</f>
        <v>5</v>
      </c>
      <c r="L16" s="34">
        <f>Bachillerato!O66-L15</f>
        <v>13</v>
      </c>
      <c r="M16" s="34">
        <f>Bachillerato!P66-M15</f>
        <v>8</v>
      </c>
      <c r="N16" s="34">
        <f>Bachillerato!Q66-N15</f>
        <v>4</v>
      </c>
      <c r="O16" s="34">
        <f>Bachillerato!R66-O15</f>
        <v>1</v>
      </c>
      <c r="P16" s="34">
        <f t="shared" ref="P16" si="12">SUM(B16:D16)</f>
        <v>0</v>
      </c>
      <c r="Q16" s="34">
        <f t="shared" ref="Q16" si="13">SUM(E16:I16)</f>
        <v>8</v>
      </c>
      <c r="R16" s="34">
        <f t="shared" ref="R16" si="14">SUM(J16:O16)</f>
        <v>35</v>
      </c>
      <c r="S16" s="34">
        <f t="shared" ref="S16" si="15">SUM(P16:R16)</f>
        <v>43</v>
      </c>
    </row>
    <row r="19" spans="1:23">
      <c r="B19" s="277" t="s">
        <v>1456</v>
      </c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</row>
    <row r="20" spans="1:23">
      <c r="B20" s="88" t="s">
        <v>18</v>
      </c>
      <c r="C20" s="88" t="s">
        <v>32</v>
      </c>
      <c r="D20" s="88" t="s">
        <v>15</v>
      </c>
      <c r="E20" s="88" t="s">
        <v>324</v>
      </c>
      <c r="F20" s="88" t="s">
        <v>326</v>
      </c>
      <c r="G20" s="88" t="s">
        <v>321</v>
      </c>
      <c r="H20" s="88" t="s">
        <v>319</v>
      </c>
      <c r="I20" s="88" t="s">
        <v>329</v>
      </c>
      <c r="J20" s="88" t="s">
        <v>760</v>
      </c>
      <c r="K20" s="88" t="s">
        <v>763</v>
      </c>
      <c r="L20" s="88" t="s">
        <v>753</v>
      </c>
      <c r="M20" s="88" t="s">
        <v>757</v>
      </c>
      <c r="N20" s="88" t="s">
        <v>771</v>
      </c>
      <c r="O20" s="88" t="s">
        <v>755</v>
      </c>
      <c r="P20" s="88" t="s">
        <v>1433</v>
      </c>
      <c r="Q20" s="88" t="s">
        <v>1434</v>
      </c>
      <c r="R20" s="88" t="s">
        <v>1435</v>
      </c>
      <c r="S20" s="89" t="s">
        <v>1436</v>
      </c>
    </row>
    <row r="21" spans="1:23">
      <c r="A21" s="34" t="s">
        <v>1451</v>
      </c>
      <c r="B21" s="34">
        <f>Preescolar!J48</f>
        <v>0</v>
      </c>
      <c r="C21" s="34">
        <f>Preescolar!K48</f>
        <v>0</v>
      </c>
      <c r="D21" s="34">
        <f>Preescolar!L48</f>
        <v>1</v>
      </c>
      <c r="E21" s="34">
        <f>Primaria!L88</f>
        <v>1</v>
      </c>
      <c r="F21" s="34">
        <f>Primaria!M88</f>
        <v>2</v>
      </c>
      <c r="G21" s="34">
        <f>Primaria!N88</f>
        <v>1</v>
      </c>
      <c r="H21" s="34">
        <f>Primaria!O88</f>
        <v>0</v>
      </c>
      <c r="I21" s="34">
        <f>Primaria!P88</f>
        <v>2</v>
      </c>
      <c r="J21" s="34">
        <f>Bachillerato!M88</f>
        <v>4</v>
      </c>
      <c r="K21" s="34">
        <f>Bachillerato!N88</f>
        <v>4</v>
      </c>
      <c r="L21" s="34">
        <f>Bachillerato!O88</f>
        <v>3</v>
      </c>
      <c r="M21" s="34">
        <f>Bachillerato!P88</f>
        <v>1</v>
      </c>
      <c r="N21" s="34">
        <f>Bachillerato!Q88</f>
        <v>3</v>
      </c>
      <c r="O21" s="34">
        <f>Bachillerato!R88</f>
        <v>5</v>
      </c>
      <c r="P21" s="34">
        <f>SUM(B21:D21)</f>
        <v>1</v>
      </c>
      <c r="Q21" s="34">
        <f>SUM(E21:I21)</f>
        <v>6</v>
      </c>
      <c r="R21" s="34">
        <f>SUM(J21:O21)</f>
        <v>20</v>
      </c>
      <c r="S21" s="34">
        <f>SUM(P21:R21)</f>
        <v>27</v>
      </c>
    </row>
    <row r="22" spans="1:23">
      <c r="A22" s="34" t="s">
        <v>1452</v>
      </c>
      <c r="B22" s="34">
        <f>Preescolar!J54-B21</f>
        <v>2</v>
      </c>
      <c r="C22" s="34">
        <f>Preescolar!K54-C21</f>
        <v>1</v>
      </c>
      <c r="D22" s="34">
        <f>Preescolar!L54-D21</f>
        <v>4</v>
      </c>
      <c r="E22" s="34">
        <f>Primaria!L94-E21</f>
        <v>4</v>
      </c>
      <c r="F22" s="34">
        <f>Primaria!M94-F21</f>
        <v>3</v>
      </c>
      <c r="G22" s="34">
        <f>Primaria!N94-G21</f>
        <v>3</v>
      </c>
      <c r="H22" s="34">
        <f>Primaria!O94-H21</f>
        <v>4</v>
      </c>
      <c r="I22" s="34">
        <f>Primaria!P94-I21</f>
        <v>5</v>
      </c>
      <c r="J22" s="34">
        <f>Bachillerato!M94-J21</f>
        <v>4</v>
      </c>
      <c r="K22" s="34">
        <f>Bachillerato!N94-K21</f>
        <v>4</v>
      </c>
      <c r="L22" s="34">
        <f>Bachillerato!O94-L21</f>
        <v>7</v>
      </c>
      <c r="M22" s="34">
        <f>Bachillerato!P94-M21</f>
        <v>7</v>
      </c>
      <c r="N22" s="34">
        <f>Bachillerato!Q94-N21</f>
        <v>6</v>
      </c>
      <c r="O22" s="34">
        <f>Bachillerato!R94-O21</f>
        <v>2</v>
      </c>
      <c r="P22" s="34">
        <f t="shared" ref="P22:P23" si="16">SUM(B22:D22)</f>
        <v>7</v>
      </c>
      <c r="Q22" s="34">
        <f t="shared" ref="Q22:Q23" si="17">SUM(E22:I22)</f>
        <v>19</v>
      </c>
      <c r="R22" s="34">
        <f t="shared" ref="R22:R23" si="18">SUM(J22:O22)</f>
        <v>30</v>
      </c>
      <c r="S22" s="34">
        <f t="shared" ref="S22:S23" si="19">SUM(P22:R22)</f>
        <v>56</v>
      </c>
    </row>
    <row r="23" spans="1:23">
      <c r="A23" s="34" t="s">
        <v>1453</v>
      </c>
      <c r="B23" s="34">
        <f>Preescolar!J60</f>
        <v>0</v>
      </c>
      <c r="C23" s="34">
        <f>Preescolar!K60</f>
        <v>0</v>
      </c>
      <c r="D23" s="34">
        <f>Preescolar!L60</f>
        <v>1</v>
      </c>
      <c r="E23" s="34">
        <f>Primaria!L100</f>
        <v>2</v>
      </c>
      <c r="F23" s="34">
        <f>Primaria!M100</f>
        <v>2</v>
      </c>
      <c r="G23" s="34">
        <f>Primaria!N100</f>
        <v>2</v>
      </c>
      <c r="H23" s="34">
        <f>Primaria!O100</f>
        <v>1</v>
      </c>
      <c r="I23" s="34">
        <f>Primaria!P100</f>
        <v>1</v>
      </c>
      <c r="J23" s="34">
        <f>Bachillerato!M100</f>
        <v>3</v>
      </c>
      <c r="K23" s="34">
        <f>Bachillerato!N100</f>
        <v>2</v>
      </c>
      <c r="L23" s="34">
        <f>Bachillerato!O100</f>
        <v>7</v>
      </c>
      <c r="M23" s="34">
        <f>Bachillerato!P100</f>
        <v>3</v>
      </c>
      <c r="N23" s="34">
        <f>Bachillerato!Q100</f>
        <v>8</v>
      </c>
      <c r="O23" s="34">
        <f>Bachillerato!R100</f>
        <v>2</v>
      </c>
      <c r="P23" s="34">
        <f t="shared" si="16"/>
        <v>1</v>
      </c>
      <c r="Q23" s="34">
        <f t="shared" si="17"/>
        <v>8</v>
      </c>
      <c r="R23" s="34">
        <f t="shared" si="18"/>
        <v>25</v>
      </c>
      <c r="S23" s="34">
        <f t="shared" si="19"/>
        <v>34</v>
      </c>
    </row>
    <row r="24" spans="1:23">
      <c r="A24" s="34" t="s">
        <v>1454</v>
      </c>
      <c r="B24" s="34">
        <f>Preescolar!J66-B23</f>
        <v>2</v>
      </c>
      <c r="C24" s="34">
        <f>Preescolar!K66-C23</f>
        <v>3</v>
      </c>
      <c r="D24" s="34">
        <f>Preescolar!L66-D23</f>
        <v>1</v>
      </c>
      <c r="E24" s="34">
        <f>Primaria!L106-E23</f>
        <v>1</v>
      </c>
      <c r="F24" s="34">
        <f>Primaria!M106-F23</f>
        <v>4</v>
      </c>
      <c r="G24" s="34">
        <f>Primaria!N106-G23</f>
        <v>4</v>
      </c>
      <c r="H24" s="34">
        <f>Primaria!O106-H23</f>
        <v>3</v>
      </c>
      <c r="I24" s="34">
        <f>Primaria!P106-I23</f>
        <v>4</v>
      </c>
      <c r="J24" s="34">
        <f>Bachillerato!M106-J23</f>
        <v>2</v>
      </c>
      <c r="K24" s="34">
        <f>Bachillerato!N106-K23</f>
        <v>1</v>
      </c>
      <c r="L24" s="34">
        <f>Bachillerato!O106-L23</f>
        <v>10</v>
      </c>
      <c r="M24" s="34">
        <f>Bachillerato!P106-M23</f>
        <v>4</v>
      </c>
      <c r="N24" s="34">
        <f>Bachillerato!Q106-N23</f>
        <v>1</v>
      </c>
      <c r="O24" s="34">
        <f>Bachillerato!R106-O23</f>
        <v>0</v>
      </c>
      <c r="P24" s="34">
        <f t="shared" ref="P24" si="20">SUM(B24:D24)</f>
        <v>6</v>
      </c>
      <c r="Q24" s="34">
        <f t="shared" ref="Q24" si="21">SUM(E24:I24)</f>
        <v>16</v>
      </c>
      <c r="R24" s="34">
        <f t="shared" ref="R24" si="22">SUM(J24:O24)</f>
        <v>18</v>
      </c>
      <c r="S24" s="34">
        <f t="shared" ref="S24" si="23">SUM(P24:R24)</f>
        <v>40</v>
      </c>
    </row>
    <row r="27" spans="1:23">
      <c r="B27" s="279" t="s">
        <v>1457</v>
      </c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</row>
    <row r="28" spans="1:23">
      <c r="B28" s="90" t="s">
        <v>18</v>
      </c>
      <c r="C28" s="90" t="s">
        <v>32</v>
      </c>
      <c r="D28" s="90" t="s">
        <v>15</v>
      </c>
      <c r="E28" s="90" t="s">
        <v>324</v>
      </c>
      <c r="F28" s="90" t="s">
        <v>326</v>
      </c>
      <c r="G28" s="90" t="s">
        <v>321</v>
      </c>
      <c r="H28" s="90" t="s">
        <v>319</v>
      </c>
      <c r="I28" s="90" t="s">
        <v>329</v>
      </c>
      <c r="J28" s="90" t="s">
        <v>760</v>
      </c>
      <c r="K28" s="90" t="s">
        <v>763</v>
      </c>
      <c r="L28" s="90" t="s">
        <v>753</v>
      </c>
      <c r="M28" s="90" t="s">
        <v>757</v>
      </c>
      <c r="N28" s="90" t="s">
        <v>771</v>
      </c>
      <c r="O28" s="90" t="s">
        <v>755</v>
      </c>
      <c r="P28" s="90" t="s">
        <v>1433</v>
      </c>
      <c r="Q28" s="90" t="s">
        <v>1434</v>
      </c>
      <c r="R28" s="90" t="s">
        <v>1435</v>
      </c>
      <c r="S28" s="91" t="s">
        <v>1436</v>
      </c>
    </row>
    <row r="29" spans="1:23">
      <c r="A29" s="34" t="s">
        <v>1451</v>
      </c>
      <c r="B29" s="34">
        <f>Preescolar!J88</f>
        <v>0</v>
      </c>
      <c r="C29" s="34">
        <f>Preescolar!K88</f>
        <v>0</v>
      </c>
      <c r="D29" s="34">
        <f>Preescolar!L88</f>
        <v>1</v>
      </c>
      <c r="E29" s="34">
        <f>Primaria!L128</f>
        <v>0</v>
      </c>
      <c r="F29" s="34">
        <f>Primaria!M128</f>
        <v>2</v>
      </c>
      <c r="G29" s="34">
        <f>Primaria!N128</f>
        <v>0</v>
      </c>
      <c r="H29" s="34">
        <f>Primaria!O128</f>
        <v>0</v>
      </c>
      <c r="I29" s="34">
        <f>Primaria!P128</f>
        <v>1</v>
      </c>
      <c r="J29" s="34">
        <f>Bachillerato!M128</f>
        <v>2</v>
      </c>
      <c r="K29" s="34">
        <f>Bachillerato!N128</f>
        <v>2</v>
      </c>
      <c r="L29" s="34">
        <f>Bachillerato!O128</f>
        <v>0</v>
      </c>
      <c r="M29" s="34">
        <f>Bachillerato!P128</f>
        <v>0</v>
      </c>
      <c r="N29" s="34">
        <f>Bachillerato!Q128</f>
        <v>2</v>
      </c>
      <c r="O29" s="34">
        <f>Bachillerato!R128</f>
        <v>3</v>
      </c>
      <c r="P29" s="34">
        <f>SUM(B29:D29)</f>
        <v>1</v>
      </c>
      <c r="Q29" s="34">
        <f>SUM(E29:I29)</f>
        <v>3</v>
      </c>
      <c r="R29" s="34">
        <f>SUM(J29:O29)</f>
        <v>9</v>
      </c>
      <c r="S29" s="34">
        <f>SUM(P29:R29)</f>
        <v>13</v>
      </c>
      <c r="T29" s="84">
        <f t="shared" ref="T29:V29" si="24">P29/P34</f>
        <v>0.125</v>
      </c>
      <c r="U29" s="84">
        <f t="shared" si="24"/>
        <v>0.14285714285714285</v>
      </c>
      <c r="V29" s="84">
        <f t="shared" si="24"/>
        <v>0.26470588235294118</v>
      </c>
      <c r="W29" s="84">
        <f>S29/S34</f>
        <v>0.20634920634920634</v>
      </c>
    </row>
    <row r="30" spans="1:23">
      <c r="A30" s="34" t="s">
        <v>1452</v>
      </c>
      <c r="B30" s="34">
        <f>Preescolar!J94-B29</f>
        <v>1</v>
      </c>
      <c r="C30" s="34">
        <f>Preescolar!K94-C29</f>
        <v>1</v>
      </c>
      <c r="D30" s="34">
        <f>Preescolar!L94-D29</f>
        <v>1</v>
      </c>
      <c r="E30" s="34">
        <f>Primaria!L134-E29</f>
        <v>2</v>
      </c>
      <c r="F30" s="34">
        <f>Primaria!M134-F29</f>
        <v>1</v>
      </c>
      <c r="G30" s="34">
        <f>Primaria!N134-G29</f>
        <v>2</v>
      </c>
      <c r="H30" s="34">
        <f>Primaria!O134-H29</f>
        <v>2</v>
      </c>
      <c r="I30" s="34">
        <f>Primaria!P134-I29</f>
        <v>1</v>
      </c>
      <c r="J30" s="34">
        <f>Bachillerato!M134-J29</f>
        <v>2</v>
      </c>
      <c r="K30" s="34">
        <f>Bachillerato!N134-K29</f>
        <v>5</v>
      </c>
      <c r="L30" s="34">
        <f>Bachillerato!O134-L29</f>
        <v>4</v>
      </c>
      <c r="M30" s="34">
        <f>Bachillerato!P134-M29</f>
        <v>2</v>
      </c>
      <c r="N30" s="34">
        <f>Bachillerato!Q134-N29</f>
        <v>2</v>
      </c>
      <c r="O30" s="34">
        <f>Bachillerato!R134-O29</f>
        <v>3</v>
      </c>
      <c r="P30" s="34">
        <f t="shared" ref="P30:P31" si="25">SUM(B30:D30)</f>
        <v>3</v>
      </c>
      <c r="Q30" s="34">
        <f t="shared" ref="Q30:Q31" si="26">SUM(E30:I30)</f>
        <v>8</v>
      </c>
      <c r="R30" s="34">
        <f t="shared" ref="R30:R31" si="27">SUM(J30:O30)</f>
        <v>18</v>
      </c>
      <c r="S30" s="34">
        <f t="shared" ref="S30:S31" si="28">SUM(P30:R30)</f>
        <v>29</v>
      </c>
      <c r="T30" s="84">
        <f t="shared" ref="T30:V30" si="29">P30/P35</f>
        <v>0.42857142857142855</v>
      </c>
      <c r="U30" s="84">
        <f t="shared" si="29"/>
        <v>0.8</v>
      </c>
      <c r="V30" s="84">
        <f t="shared" si="29"/>
        <v>0.9</v>
      </c>
      <c r="W30" s="84">
        <f>S30/S35</f>
        <v>0.78378378378378377</v>
      </c>
    </row>
    <row r="31" spans="1:23">
      <c r="A31" s="34" t="s">
        <v>1453</v>
      </c>
      <c r="B31" s="34">
        <f>Preescolar!J100</f>
        <v>1</v>
      </c>
      <c r="C31" s="34">
        <f>Preescolar!K100</f>
        <v>0</v>
      </c>
      <c r="D31" s="34">
        <f>Preescolar!L100</f>
        <v>3</v>
      </c>
      <c r="E31" s="34">
        <f>Primaria!L140</f>
        <v>2</v>
      </c>
      <c r="F31" s="34">
        <f>Primaria!M140</f>
        <v>2</v>
      </c>
      <c r="G31" s="34">
        <f>Primaria!N140</f>
        <v>2</v>
      </c>
      <c r="H31" s="34">
        <f>Primaria!O140</f>
        <v>1</v>
      </c>
      <c r="I31" s="34">
        <f>Primaria!P140</f>
        <v>5</v>
      </c>
      <c r="J31" s="34">
        <f>Bachillerato!M140</f>
        <v>2</v>
      </c>
      <c r="K31" s="34">
        <f>Bachillerato!N140</f>
        <v>1</v>
      </c>
      <c r="L31" s="34">
        <f>Bachillerato!O140</f>
        <v>4</v>
      </c>
      <c r="M31" s="34">
        <f>Bachillerato!P140</f>
        <v>3</v>
      </c>
      <c r="N31" s="34">
        <f>Bachillerato!Q140</f>
        <v>4</v>
      </c>
      <c r="O31" s="34">
        <f>Bachillerato!R140</f>
        <v>0</v>
      </c>
      <c r="P31" s="34">
        <f t="shared" si="25"/>
        <v>4</v>
      </c>
      <c r="Q31" s="34">
        <f t="shared" si="26"/>
        <v>12</v>
      </c>
      <c r="R31" s="34">
        <f t="shared" si="27"/>
        <v>14</v>
      </c>
      <c r="S31" s="34">
        <f t="shared" si="28"/>
        <v>30</v>
      </c>
      <c r="T31" s="84">
        <f t="shared" ref="T31:V31" si="30">P31/P36</f>
        <v>0.2857142857142857</v>
      </c>
      <c r="U31" s="84">
        <f t="shared" si="30"/>
        <v>0.75</v>
      </c>
      <c r="V31" s="84">
        <f t="shared" si="30"/>
        <v>0.63636363636363635</v>
      </c>
      <c r="W31" s="84">
        <f>S31/S36</f>
        <v>0.57692307692307687</v>
      </c>
    </row>
    <row r="32" spans="1:23">
      <c r="A32" s="34" t="s">
        <v>1454</v>
      </c>
      <c r="B32" s="34">
        <f>Preescolar!J106-B31</f>
        <v>0</v>
      </c>
      <c r="C32" s="34">
        <f>Preescolar!K106-C31</f>
        <v>1</v>
      </c>
      <c r="D32" s="34">
        <f>Preescolar!L106-D31</f>
        <v>0</v>
      </c>
      <c r="E32" s="34">
        <f>Primaria!L146-E31</f>
        <v>0</v>
      </c>
      <c r="F32" s="34">
        <f>Primaria!M146-F31</f>
        <v>1</v>
      </c>
      <c r="G32" s="34">
        <f>Primaria!N146-G31</f>
        <v>2</v>
      </c>
      <c r="H32" s="34">
        <f>Primaria!O146-H31</f>
        <v>2</v>
      </c>
      <c r="I32" s="34">
        <f>Primaria!P146-I31</f>
        <v>3</v>
      </c>
      <c r="J32" s="34">
        <f>Bachillerato!M146-J31</f>
        <v>1</v>
      </c>
      <c r="K32" s="34">
        <f>Bachillerato!N146-K31</f>
        <v>0</v>
      </c>
      <c r="L32" s="34">
        <f>Bachillerato!O146-L31</f>
        <v>2</v>
      </c>
      <c r="M32" s="34">
        <f>Bachillerato!P146-M31</f>
        <v>2</v>
      </c>
      <c r="N32" s="34">
        <f>Bachillerato!Q146-N31</f>
        <v>1</v>
      </c>
      <c r="O32" s="34">
        <f>Bachillerato!R146-O31</f>
        <v>0</v>
      </c>
      <c r="P32" s="34">
        <f t="shared" ref="P32" si="31">SUM(B32:D32)</f>
        <v>1</v>
      </c>
      <c r="Q32" s="34">
        <f t="shared" ref="Q32" si="32">SUM(E32:I32)</f>
        <v>8</v>
      </c>
      <c r="R32" s="34">
        <f t="shared" ref="R32" si="33">SUM(J32:O32)</f>
        <v>6</v>
      </c>
      <c r="S32" s="34">
        <f t="shared" ref="S32" si="34">SUM(P32:R32)</f>
        <v>15</v>
      </c>
      <c r="T32" s="84">
        <f t="shared" ref="T32:V32" si="35">P32/P37</f>
        <v>0.5</v>
      </c>
      <c r="U32" s="84">
        <f t="shared" si="35"/>
        <v>0.8</v>
      </c>
      <c r="V32" s="84">
        <f t="shared" si="35"/>
        <v>1</v>
      </c>
      <c r="W32" s="84">
        <f>S32/S37</f>
        <v>0.83333333333333337</v>
      </c>
    </row>
    <row r="34" spans="16:19">
      <c r="P34" s="34">
        <v>8</v>
      </c>
      <c r="Q34" s="34">
        <v>21</v>
      </c>
      <c r="R34" s="34">
        <v>34</v>
      </c>
      <c r="S34" s="34">
        <f>SUM(P34:R34)</f>
        <v>63</v>
      </c>
    </row>
    <row r="35" spans="16:19">
      <c r="P35" s="34">
        <v>7</v>
      </c>
      <c r="Q35" s="34">
        <v>10</v>
      </c>
      <c r="R35" s="34">
        <v>20</v>
      </c>
      <c r="S35" s="34">
        <f t="shared" ref="S35:S36" si="36">SUM(P35:R35)</f>
        <v>37</v>
      </c>
    </row>
    <row r="36" spans="16:19">
      <c r="P36" s="34">
        <v>14</v>
      </c>
      <c r="Q36" s="34">
        <v>16</v>
      </c>
      <c r="R36" s="34">
        <v>22</v>
      </c>
      <c r="S36" s="34">
        <f t="shared" si="36"/>
        <v>52</v>
      </c>
    </row>
    <row r="37" spans="16:19">
      <c r="P37" s="34">
        <v>2</v>
      </c>
      <c r="Q37" s="34">
        <v>10</v>
      </c>
      <c r="R37" s="34">
        <v>6</v>
      </c>
      <c r="S37" s="34">
        <f t="shared" ref="S37" si="37">SUM(P37:R37)</f>
        <v>18</v>
      </c>
    </row>
  </sheetData>
  <mergeCells count="4">
    <mergeCell ref="B3:S3"/>
    <mergeCell ref="B11:S11"/>
    <mergeCell ref="B19:S19"/>
    <mergeCell ref="B27:S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741A-EDD6-4A4A-8722-DED01AD9D137}">
  <sheetPr>
    <tabColor theme="8" tint="0.39997558519241921"/>
  </sheetPr>
  <dimension ref="A3:W79"/>
  <sheetViews>
    <sheetView showGridLines="0" topLeftCell="A27" workbookViewId="0">
      <selection activeCell="X14" sqref="X14"/>
    </sheetView>
  </sheetViews>
  <sheetFormatPr defaultColWidth="11.42578125" defaultRowHeight="14.45"/>
  <cols>
    <col min="1" max="1" width="15.28515625" bestFit="1" customWidth="1"/>
    <col min="2" max="4" width="10.85546875" customWidth="1"/>
    <col min="5" max="15" width="6.5703125" customWidth="1"/>
    <col min="20" max="20" width="7.7109375" bestFit="1" customWidth="1"/>
    <col min="21" max="23" width="5.42578125" bestFit="1" customWidth="1"/>
  </cols>
  <sheetData>
    <row r="3" spans="1:19">
      <c r="B3" s="142" t="s">
        <v>1458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2" t="s">
        <v>1458</v>
      </c>
      <c r="Q3" s="143"/>
      <c r="R3" s="143"/>
      <c r="S3" s="143"/>
    </row>
    <row r="4" spans="1:19">
      <c r="B4" s="85" t="s">
        <v>18</v>
      </c>
      <c r="C4" s="85" t="s">
        <v>32</v>
      </c>
      <c r="D4" s="85" t="s">
        <v>15</v>
      </c>
      <c r="E4" s="85" t="s">
        <v>324</v>
      </c>
      <c r="F4" s="85" t="s">
        <v>326</v>
      </c>
      <c r="G4" s="85" t="s">
        <v>321</v>
      </c>
      <c r="H4" s="85" t="s">
        <v>319</v>
      </c>
      <c r="I4" s="85" t="s">
        <v>329</v>
      </c>
      <c r="J4" s="85" t="s">
        <v>760</v>
      </c>
      <c r="K4" s="85" t="s">
        <v>763</v>
      </c>
      <c r="L4" s="85" t="s">
        <v>753</v>
      </c>
      <c r="M4" s="85" t="s">
        <v>757</v>
      </c>
      <c r="N4" s="85" t="s">
        <v>771</v>
      </c>
      <c r="O4" s="85" t="s">
        <v>755</v>
      </c>
      <c r="P4" s="85" t="s">
        <v>1433</v>
      </c>
      <c r="Q4" s="85" t="s">
        <v>1434</v>
      </c>
      <c r="R4" s="85" t="s">
        <v>1435</v>
      </c>
      <c r="S4" s="85" t="s">
        <v>1436</v>
      </c>
    </row>
    <row r="5" spans="1:19" s="137" customFormat="1">
      <c r="A5" s="36" t="s">
        <v>1459</v>
      </c>
      <c r="B5" s="36">
        <f>Preescolar!J5</f>
        <v>9</v>
      </c>
      <c r="C5" s="36">
        <f>Preescolar!K5</f>
        <v>1</v>
      </c>
      <c r="D5" s="36">
        <f>Preescolar!L5</f>
        <v>6</v>
      </c>
      <c r="E5" s="36">
        <f>Primaria!L5</f>
        <v>4</v>
      </c>
      <c r="F5" s="36">
        <f>Primaria!M5</f>
        <v>2</v>
      </c>
      <c r="G5" s="36">
        <f>Primaria!N5</f>
        <v>4</v>
      </c>
      <c r="H5" s="36">
        <f>Primaria!O5</f>
        <v>2</v>
      </c>
      <c r="I5" s="36">
        <f>Primaria!P5</f>
        <v>4</v>
      </c>
      <c r="J5" s="36">
        <f>Bachillerato!M5</f>
        <v>10</v>
      </c>
      <c r="K5" s="36">
        <f>Bachillerato!N5</f>
        <v>7</v>
      </c>
      <c r="L5" s="36">
        <f>Bachillerato!O5</f>
        <v>11</v>
      </c>
      <c r="M5" s="36">
        <f>Bachillerato!P5</f>
        <v>5</v>
      </c>
      <c r="N5" s="36">
        <f>Bachillerato!Q5</f>
        <v>9</v>
      </c>
      <c r="O5" s="36">
        <f>Bachillerato!R5</f>
        <v>6</v>
      </c>
      <c r="P5" s="36">
        <f>SUM(B5:D5)</f>
        <v>16</v>
      </c>
      <c r="Q5" s="36">
        <f>SUM(E5:I5)</f>
        <v>16</v>
      </c>
      <c r="R5" s="36">
        <f>SUM(J5:O5)</f>
        <v>48</v>
      </c>
      <c r="S5" s="36">
        <f>SUM(P5:R5)</f>
        <v>80</v>
      </c>
    </row>
    <row r="6" spans="1:19">
      <c r="A6" s="34" t="s">
        <v>1460</v>
      </c>
      <c r="B6" s="34">
        <f>Preescolar!J8-B5</f>
        <v>12</v>
      </c>
      <c r="C6" s="34">
        <f>Preescolar!K8-C5</f>
        <v>5</v>
      </c>
      <c r="D6" s="34">
        <f>Preescolar!L8-D5</f>
        <v>3</v>
      </c>
      <c r="E6" s="34">
        <f>Primaria!L8-E5</f>
        <v>4</v>
      </c>
      <c r="F6" s="34">
        <f>Primaria!M8-F5</f>
        <v>5</v>
      </c>
      <c r="G6" s="34">
        <f>Primaria!N8-G5</f>
        <v>5</v>
      </c>
      <c r="H6" s="34">
        <f>Primaria!O8-H5</f>
        <v>2</v>
      </c>
      <c r="I6" s="34">
        <f>Primaria!P8-I5</f>
        <v>5</v>
      </c>
      <c r="J6" s="34">
        <f>Bachillerato!M8-J5</f>
        <v>8</v>
      </c>
      <c r="K6" s="34">
        <f>Bachillerato!N8-K5</f>
        <v>10</v>
      </c>
      <c r="L6" s="34">
        <f>Bachillerato!O8-L5</f>
        <v>10</v>
      </c>
      <c r="M6" s="34">
        <f>Bachillerato!P8-M5</f>
        <v>2</v>
      </c>
      <c r="N6" s="34">
        <f>Bachillerato!Q8-N5</f>
        <v>1</v>
      </c>
      <c r="O6" s="34">
        <f>Bachillerato!R8-O5</f>
        <v>3</v>
      </c>
      <c r="P6" s="34">
        <f t="shared" ref="P6" si="0">SUM(B6:D6)</f>
        <v>20</v>
      </c>
      <c r="Q6" s="34">
        <f t="shared" ref="Q6" si="1">SUM(E6:I6)</f>
        <v>21</v>
      </c>
      <c r="R6" s="34">
        <f t="shared" ref="R6" si="2">SUM(J6:O6)</f>
        <v>34</v>
      </c>
      <c r="S6" s="34">
        <f t="shared" ref="S6" si="3">SUM(P6:R6)</f>
        <v>75</v>
      </c>
    </row>
    <row r="7" spans="1:19">
      <c r="A7" s="34" t="s">
        <v>1461</v>
      </c>
      <c r="B7" s="34">
        <f>Preescolar!J11-B5-B6</f>
        <v>8</v>
      </c>
      <c r="C7" s="34">
        <f>Preescolar!K11-C5-C6</f>
        <v>2</v>
      </c>
      <c r="D7" s="34">
        <f>Preescolar!L11-D5-D6</f>
        <v>8</v>
      </c>
      <c r="E7" s="34">
        <f>Primaria!L11-E5-E6</f>
        <v>12</v>
      </c>
      <c r="F7" s="34">
        <f>Primaria!M11-F5-F6</f>
        <v>2</v>
      </c>
      <c r="G7" s="34">
        <f>Primaria!N11-G5-G6</f>
        <v>8</v>
      </c>
      <c r="H7" s="34">
        <f>Primaria!O11-H5-H6</f>
        <v>10</v>
      </c>
      <c r="I7" s="34">
        <f>Primaria!P11-I5-I6</f>
        <v>7</v>
      </c>
      <c r="J7" s="34">
        <f>Bachillerato!M11-J5-J6</f>
        <v>9</v>
      </c>
      <c r="K7" s="34">
        <f>Bachillerato!N11-K5-K6</f>
        <v>7</v>
      </c>
      <c r="L7" s="34">
        <f>Bachillerato!O11-L5-L6</f>
        <v>9</v>
      </c>
      <c r="M7" s="34">
        <f>Bachillerato!P11-M5-M6</f>
        <v>8</v>
      </c>
      <c r="N7" s="34">
        <f>Bachillerato!Q11-N5-N6</f>
        <v>9</v>
      </c>
      <c r="O7" s="34">
        <f>Bachillerato!R11-O5-O6</f>
        <v>3</v>
      </c>
      <c r="P7" s="34">
        <f t="shared" ref="P7" si="4">SUM(B7:D7)</f>
        <v>18</v>
      </c>
      <c r="Q7" s="34">
        <f t="shared" ref="Q7" si="5">SUM(E7:I7)</f>
        <v>39</v>
      </c>
      <c r="R7" s="34">
        <f t="shared" ref="R7" si="6">SUM(J7:O7)</f>
        <v>45</v>
      </c>
      <c r="S7" s="34">
        <f t="shared" ref="S7" si="7">SUM(P7:R7)</f>
        <v>102</v>
      </c>
    </row>
    <row r="8" spans="1:19">
      <c r="A8" s="34" t="s">
        <v>1462</v>
      </c>
      <c r="B8" s="34">
        <f>Preescolar!J14-B5-B6-B7</f>
        <v>1</v>
      </c>
      <c r="C8" s="34">
        <f>Preescolar!K14-C5-C6-C7</f>
        <v>3</v>
      </c>
      <c r="D8" s="34">
        <f>Preescolar!L14-D5-D6-D7</f>
        <v>1</v>
      </c>
      <c r="E8" s="34">
        <f>Primaria!L14-E5-E6-E7</f>
        <v>7</v>
      </c>
      <c r="F8" s="34">
        <f>Primaria!M14-F5-F6-F7</f>
        <v>5</v>
      </c>
      <c r="G8" s="34">
        <f>Primaria!N14-G5-G6-G7</f>
        <v>4</v>
      </c>
      <c r="H8" s="34">
        <f>Primaria!O14-H5-H6-H7</f>
        <v>2</v>
      </c>
      <c r="I8" s="34">
        <f>Primaria!P14-I5-I6-I7</f>
        <v>5</v>
      </c>
      <c r="J8" s="34">
        <f>Bachillerato!M14-J5-J6-J7</f>
        <v>9</v>
      </c>
      <c r="K8" s="34">
        <f>Bachillerato!N14-K5-K6-K7</f>
        <v>5</v>
      </c>
      <c r="L8" s="34">
        <f>Bachillerato!O14-L5-L6-L7</f>
        <v>7</v>
      </c>
      <c r="M8" s="34">
        <f>Bachillerato!P14-M5-M6-M7</f>
        <v>9</v>
      </c>
      <c r="N8" s="34">
        <f>Bachillerato!Q14-N5-N6-N7</f>
        <v>9</v>
      </c>
      <c r="O8" s="34">
        <f>Bachillerato!R14-O5-O6-O7</f>
        <v>3</v>
      </c>
      <c r="P8" s="34">
        <f t="shared" ref="P8:P9" si="8">SUM(B8:D8)</f>
        <v>5</v>
      </c>
      <c r="Q8" s="34">
        <f t="shared" ref="Q8:Q12" si="9">SUM(E8:I8)</f>
        <v>23</v>
      </c>
      <c r="R8" s="34">
        <f t="shared" ref="R8:R12" si="10">SUM(J8:O8)</f>
        <v>42</v>
      </c>
      <c r="S8" s="34">
        <f t="shared" ref="S8:S12" si="11">SUM(P8:R8)</f>
        <v>70</v>
      </c>
    </row>
    <row r="9" spans="1:19" s="137" customFormat="1">
      <c r="A9" s="36" t="s">
        <v>1463</v>
      </c>
      <c r="B9" s="36">
        <f>Preescolar!J17</f>
        <v>5</v>
      </c>
      <c r="C9" s="36">
        <f>Preescolar!K17</f>
        <v>3</v>
      </c>
      <c r="D9" s="36">
        <f>Preescolar!L17</f>
        <v>2</v>
      </c>
      <c r="E9" s="36">
        <f>Primaria!L17</f>
        <v>3</v>
      </c>
      <c r="F9" s="36">
        <f>Primaria!M17</f>
        <v>3</v>
      </c>
      <c r="G9" s="36">
        <f>Primaria!N17</f>
        <v>1</v>
      </c>
      <c r="H9" s="36">
        <f>Primaria!O17</f>
        <v>6</v>
      </c>
      <c r="I9" s="36">
        <f>Primaria!P17</f>
        <v>0</v>
      </c>
      <c r="J9" s="36">
        <f>Bachillerato!M17</f>
        <v>4</v>
      </c>
      <c r="K9" s="36">
        <f>Bachillerato!N17</f>
        <v>4</v>
      </c>
      <c r="L9" s="36">
        <f>Bachillerato!O17</f>
        <v>8</v>
      </c>
      <c r="M9" s="36">
        <f>Bachillerato!P17</f>
        <v>4</v>
      </c>
      <c r="N9" s="36">
        <f>Bachillerato!Q17</f>
        <v>10</v>
      </c>
      <c r="O9" s="36">
        <f>Bachillerato!R17</f>
        <v>4</v>
      </c>
      <c r="P9" s="36">
        <f t="shared" si="8"/>
        <v>10</v>
      </c>
      <c r="Q9" s="36">
        <f t="shared" si="9"/>
        <v>13</v>
      </c>
      <c r="R9" s="36">
        <f t="shared" si="10"/>
        <v>34</v>
      </c>
      <c r="S9" s="36">
        <f t="shared" si="11"/>
        <v>57</v>
      </c>
    </row>
    <row r="10" spans="1:19">
      <c r="A10" s="34" t="s">
        <v>1464</v>
      </c>
      <c r="B10" s="34">
        <f>Preescolar!J20-B9</f>
        <v>8</v>
      </c>
      <c r="C10" s="34">
        <f>Preescolar!K20-C9</f>
        <v>5</v>
      </c>
      <c r="D10" s="34">
        <f>Preescolar!L20-D9</f>
        <v>1</v>
      </c>
      <c r="E10" s="34">
        <f>Primaria!L20-E9</f>
        <v>1</v>
      </c>
      <c r="F10" s="34">
        <f>Primaria!M20-F9</f>
        <v>6</v>
      </c>
      <c r="G10" s="34">
        <f>Primaria!N20-G9</f>
        <v>6</v>
      </c>
      <c r="H10" s="34">
        <f>Primaria!O20-H9</f>
        <v>3</v>
      </c>
      <c r="I10" s="34">
        <f>Primaria!P20-I9</f>
        <v>2</v>
      </c>
      <c r="J10" s="34">
        <f>Bachillerato!M20-J9</f>
        <v>3</v>
      </c>
      <c r="K10" s="34">
        <f>Bachillerato!N20-K9</f>
        <v>5</v>
      </c>
      <c r="L10" s="34">
        <f>Bachillerato!O20-L9</f>
        <v>8</v>
      </c>
      <c r="M10" s="34">
        <f>Bachillerato!P20-M9</f>
        <v>5</v>
      </c>
      <c r="N10" s="34">
        <f>Bachillerato!Q20-N9</f>
        <v>5</v>
      </c>
      <c r="O10" s="34">
        <f>Bachillerato!R20-O9</f>
        <v>1</v>
      </c>
      <c r="P10" s="34">
        <f t="shared" ref="P10" si="12">SUM(B10:D10)</f>
        <v>14</v>
      </c>
      <c r="Q10" s="34">
        <f t="shared" si="9"/>
        <v>18</v>
      </c>
      <c r="R10" s="34">
        <f t="shared" si="10"/>
        <v>27</v>
      </c>
      <c r="S10" s="34">
        <f t="shared" si="11"/>
        <v>59</v>
      </c>
    </row>
    <row r="11" spans="1:19">
      <c r="A11" s="34" t="s">
        <v>1465</v>
      </c>
      <c r="B11" s="34">
        <f>Preescolar!J23-B9-B10</f>
        <v>7</v>
      </c>
      <c r="C11" s="34">
        <f>Preescolar!K23-C9-C10</f>
        <v>2</v>
      </c>
      <c r="D11" s="34">
        <f>Preescolar!L23-D9-D10</f>
        <v>1</v>
      </c>
      <c r="E11" s="34">
        <f>Primaria!L23-E9-E10</f>
        <v>5</v>
      </c>
      <c r="F11" s="34">
        <f>Primaria!M23-F9-F10</f>
        <v>1</v>
      </c>
      <c r="G11" s="34">
        <f>Primaria!N23-G9-G10</f>
        <v>3</v>
      </c>
      <c r="H11" s="34">
        <f>Primaria!O23-H9-H10</f>
        <v>4</v>
      </c>
      <c r="I11" s="34">
        <f>Primaria!P23-I9-I10</f>
        <v>8</v>
      </c>
      <c r="J11" s="34">
        <f>Bachillerato!M23-J9-J10</f>
        <v>8</v>
      </c>
      <c r="K11" s="34">
        <f>Bachillerato!N23-K9-K10</f>
        <v>5</v>
      </c>
      <c r="L11" s="34">
        <f>Bachillerato!O23-L9-L10</f>
        <v>8</v>
      </c>
      <c r="M11" s="34">
        <f>Bachillerato!P23-M9-M10</f>
        <v>6</v>
      </c>
      <c r="N11" s="34">
        <f>Bachillerato!Q23-N9-N10</f>
        <v>6</v>
      </c>
      <c r="O11" s="34">
        <f>Bachillerato!R23-O9-O10</f>
        <v>1</v>
      </c>
      <c r="P11" s="34">
        <f t="shared" ref="P11" si="13">SUM(B11:D11)</f>
        <v>10</v>
      </c>
      <c r="Q11" s="34">
        <f t="shared" ref="Q11" si="14">SUM(E11:I11)</f>
        <v>21</v>
      </c>
      <c r="R11" s="34">
        <f t="shared" ref="R11" si="15">SUM(J11:O11)</f>
        <v>34</v>
      </c>
      <c r="S11" s="34">
        <f t="shared" ref="S11" si="16">SUM(P11:R11)</f>
        <v>65</v>
      </c>
    </row>
    <row r="12" spans="1:19">
      <c r="A12" s="34" t="s">
        <v>1466</v>
      </c>
      <c r="B12" s="34">
        <f>Preescolar!J26-B9-B10-B11</f>
        <v>6</v>
      </c>
      <c r="C12" s="34">
        <f>Preescolar!K26-C9-C10-C11</f>
        <v>5</v>
      </c>
      <c r="D12" s="34">
        <f>Preescolar!L26-D9-D10-D11</f>
        <v>1</v>
      </c>
      <c r="E12" s="34">
        <f>Primaria!L26-E9-E10-E11</f>
        <v>2</v>
      </c>
      <c r="F12" s="34">
        <f>Primaria!M26-F9-F10-F11</f>
        <v>3</v>
      </c>
      <c r="G12" s="34">
        <f>Primaria!N26-G9-G10-G11</f>
        <v>5</v>
      </c>
      <c r="H12" s="34">
        <f>Primaria!O26-H9-H10-H11</f>
        <v>5</v>
      </c>
      <c r="I12" s="34">
        <f>Primaria!P26-I9-I10-I11</f>
        <v>6</v>
      </c>
      <c r="J12" s="34">
        <f>Bachillerato!M26-J9-J10-J11</f>
        <v>2</v>
      </c>
      <c r="K12" s="34">
        <f>Bachillerato!N26-K9-K10-K11</f>
        <v>6</v>
      </c>
      <c r="L12" s="34">
        <f>Bachillerato!O26-L9-L10-L11</f>
        <v>11</v>
      </c>
      <c r="M12" s="34">
        <f>Bachillerato!P26-M9-M10-M11</f>
        <v>5</v>
      </c>
      <c r="N12" s="34">
        <f>Bachillerato!Q26-N9-N10-N11</f>
        <v>5</v>
      </c>
      <c r="O12" s="34">
        <f>Bachillerato!R26-O9-O10-O11</f>
        <v>0</v>
      </c>
      <c r="P12" s="34">
        <f t="shared" ref="P12" si="17">SUM(B12:D12)</f>
        <v>12</v>
      </c>
      <c r="Q12" s="34">
        <f t="shared" si="9"/>
        <v>21</v>
      </c>
      <c r="R12" s="34">
        <f t="shared" si="10"/>
        <v>29</v>
      </c>
      <c r="S12" s="34">
        <f t="shared" si="11"/>
        <v>62</v>
      </c>
    </row>
    <row r="13" spans="1:19" s="137" customFormat="1">
      <c r="A13" s="36" t="s">
        <v>1467</v>
      </c>
      <c r="B13" s="36">
        <f>Preescolar!J29</f>
        <v>5</v>
      </c>
      <c r="C13" s="36">
        <f>Preescolar!K29</f>
        <v>5</v>
      </c>
      <c r="D13" s="36">
        <f>Preescolar!L29</f>
        <v>1</v>
      </c>
      <c r="E13" s="36">
        <f>Primaria!L29</f>
        <v>5</v>
      </c>
      <c r="F13" s="36">
        <f>Primaria!M29</f>
        <v>3</v>
      </c>
      <c r="G13" s="36">
        <f>Primaria!N29</f>
        <v>6</v>
      </c>
      <c r="H13" s="36">
        <f>Primaria!O29</f>
        <v>8</v>
      </c>
      <c r="I13" s="36">
        <f>Primaria!P29</f>
        <v>5</v>
      </c>
      <c r="J13" s="36">
        <f>Bachillerato!M29</f>
        <v>7</v>
      </c>
      <c r="K13" s="36">
        <f>Bachillerato!N29</f>
        <v>2</v>
      </c>
      <c r="L13" s="36">
        <f>Bachillerato!O29</f>
        <v>3</v>
      </c>
      <c r="M13" s="36">
        <f>Bachillerato!P29</f>
        <v>7</v>
      </c>
      <c r="N13" s="36">
        <f>Bachillerato!Q29</f>
        <v>4</v>
      </c>
      <c r="O13" s="36">
        <f>Bachillerato!R29</f>
        <v>3</v>
      </c>
      <c r="P13" s="36">
        <f t="shared" ref="P13" si="18">SUM(B13:D13)</f>
        <v>11</v>
      </c>
      <c r="Q13" s="36">
        <f t="shared" ref="Q13:Q16" si="19">SUM(E13:I13)</f>
        <v>27</v>
      </c>
      <c r="R13" s="36">
        <f t="shared" ref="R13:R16" si="20">SUM(J13:O13)</f>
        <v>26</v>
      </c>
      <c r="S13" s="36">
        <f t="shared" ref="S13:S16" si="21">SUM(P13:R13)</f>
        <v>64</v>
      </c>
    </row>
    <row r="14" spans="1:19">
      <c r="A14" s="34" t="s">
        <v>1468</v>
      </c>
      <c r="B14" s="34">
        <f>Preescolar!J32-B13</f>
        <v>6</v>
      </c>
      <c r="C14" s="34">
        <f>Preescolar!K32-C13</f>
        <v>5</v>
      </c>
      <c r="D14" s="34">
        <f>Preescolar!L32-D13</f>
        <v>1</v>
      </c>
      <c r="E14" s="34">
        <f>Primaria!L32-E13</f>
        <v>8</v>
      </c>
      <c r="F14" s="34">
        <f>Primaria!M32-F13</f>
        <v>11</v>
      </c>
      <c r="G14" s="34">
        <f>Primaria!N32-G13</f>
        <v>7</v>
      </c>
      <c r="H14" s="34">
        <f>Primaria!O32-H13</f>
        <v>6</v>
      </c>
      <c r="I14" s="34">
        <f>Primaria!P32-I13</f>
        <v>5</v>
      </c>
      <c r="J14" s="34">
        <f>Bachillerato!M32-J13</f>
        <v>9</v>
      </c>
      <c r="K14" s="34">
        <f>Bachillerato!N32-K13</f>
        <v>5</v>
      </c>
      <c r="L14" s="34">
        <f>Bachillerato!O32-L13</f>
        <v>6</v>
      </c>
      <c r="M14" s="34">
        <f>Bachillerato!P32-M13</f>
        <v>5</v>
      </c>
      <c r="N14" s="34">
        <f>Bachillerato!Q32-N13</f>
        <v>4</v>
      </c>
      <c r="O14" s="34">
        <f>Bachillerato!R32-O13</f>
        <v>0</v>
      </c>
      <c r="P14" s="34">
        <f t="shared" ref="P14:P16" si="22">SUM(B14:D14)</f>
        <v>12</v>
      </c>
      <c r="Q14" s="34">
        <f t="shared" si="19"/>
        <v>37</v>
      </c>
      <c r="R14" s="34">
        <f t="shared" si="20"/>
        <v>29</v>
      </c>
      <c r="S14" s="34">
        <f t="shared" si="21"/>
        <v>78</v>
      </c>
    </row>
    <row r="15" spans="1:19">
      <c r="A15" s="34" t="s">
        <v>1469</v>
      </c>
      <c r="B15" s="34">
        <f>Preescolar!J35-B13-B14</f>
        <v>14</v>
      </c>
      <c r="C15" s="34">
        <f>Preescolar!K35-C13-C14</f>
        <v>6</v>
      </c>
      <c r="D15" s="34">
        <f>Preescolar!L35-D13-D14</f>
        <v>3</v>
      </c>
      <c r="E15" s="34">
        <f>Primaria!L35-E13-E14</f>
        <v>7</v>
      </c>
      <c r="F15" s="34">
        <f>Primaria!M35-F13-F14</f>
        <v>3</v>
      </c>
      <c r="G15" s="34">
        <f>Primaria!N35-G13-G14</f>
        <v>5</v>
      </c>
      <c r="H15" s="34">
        <f>Primaria!O35-H13-H14</f>
        <v>3</v>
      </c>
      <c r="I15" s="34">
        <f>Primaria!P35-I13-I14</f>
        <v>7</v>
      </c>
      <c r="J15" s="34">
        <f>Bachillerato!M35-J13-J14</f>
        <v>12</v>
      </c>
      <c r="K15" s="34">
        <f>Bachillerato!N35-K13-K14</f>
        <v>15</v>
      </c>
      <c r="L15" s="34">
        <f>Bachillerato!O35-L13-L14</f>
        <v>6</v>
      </c>
      <c r="M15" s="34">
        <f>Bachillerato!P35-M13-M14</f>
        <v>9</v>
      </c>
      <c r="N15" s="34">
        <f>Bachillerato!Q35-N13-N14</f>
        <v>6</v>
      </c>
      <c r="O15" s="34">
        <f>Bachillerato!R35-O13-O14</f>
        <v>5</v>
      </c>
      <c r="P15" s="34">
        <f t="shared" si="22"/>
        <v>23</v>
      </c>
      <c r="Q15" s="34">
        <f t="shared" si="19"/>
        <v>25</v>
      </c>
      <c r="R15" s="34">
        <f t="shared" si="20"/>
        <v>53</v>
      </c>
      <c r="S15" s="34">
        <f t="shared" si="21"/>
        <v>101</v>
      </c>
    </row>
    <row r="16" spans="1:19">
      <c r="A16" s="34" t="s">
        <v>1470</v>
      </c>
      <c r="B16" s="34">
        <f>Preescolar!J38-B13-B14-B15</f>
        <v>9</v>
      </c>
      <c r="C16" s="34">
        <f>Preescolar!K38-C13-C14-C15</f>
        <v>2</v>
      </c>
      <c r="D16" s="34">
        <f>Preescolar!L38-D13-D14-D15</f>
        <v>3</v>
      </c>
      <c r="E16" s="34">
        <f>Primaria!L38-E13-E14-E15</f>
        <v>5</v>
      </c>
      <c r="F16" s="34">
        <f>Primaria!M38-F13-F14-F15</f>
        <v>2</v>
      </c>
      <c r="G16" s="34">
        <f>Primaria!N38-G13-G14-G15</f>
        <v>9</v>
      </c>
      <c r="H16" s="34">
        <f>Primaria!O38-H13-H14-H15</f>
        <v>4</v>
      </c>
      <c r="I16" s="34">
        <f>Primaria!P38-I13-I14-I15</f>
        <v>4</v>
      </c>
      <c r="J16" s="34">
        <f>Bachillerato!M38-J13-J14-J15</f>
        <v>5</v>
      </c>
      <c r="K16" s="34">
        <f>Bachillerato!N38-K13-K14-K15</f>
        <v>7</v>
      </c>
      <c r="L16" s="34">
        <f>Bachillerato!O38-L13-L14-L15</f>
        <v>6</v>
      </c>
      <c r="M16" s="34">
        <f>Bachillerato!P38-M13-M14-M15</f>
        <v>10</v>
      </c>
      <c r="N16" s="34">
        <f>Bachillerato!Q38-N13-N14-N15</f>
        <v>9</v>
      </c>
      <c r="O16" s="34">
        <f>Bachillerato!R38-O13-O14-O15</f>
        <v>1</v>
      </c>
      <c r="P16" s="34">
        <f t="shared" si="22"/>
        <v>14</v>
      </c>
      <c r="Q16" s="34">
        <f t="shared" si="19"/>
        <v>24</v>
      </c>
      <c r="R16" s="34">
        <f t="shared" si="20"/>
        <v>38</v>
      </c>
      <c r="S16" s="34">
        <f t="shared" si="21"/>
        <v>76</v>
      </c>
    </row>
    <row r="18" spans="1:19"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</row>
    <row r="19" spans="1:19">
      <c r="B19" s="144" t="s">
        <v>1471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4" t="s">
        <v>1471</v>
      </c>
      <c r="Q19" s="145"/>
      <c r="R19" s="145"/>
      <c r="S19" s="145"/>
    </row>
    <row r="20" spans="1:19">
      <c r="B20" s="86" t="s">
        <v>18</v>
      </c>
      <c r="C20" s="86" t="s">
        <v>32</v>
      </c>
      <c r="D20" s="86" t="s">
        <v>15</v>
      </c>
      <c r="E20" s="86" t="s">
        <v>324</v>
      </c>
      <c r="F20" s="86" t="s">
        <v>326</v>
      </c>
      <c r="G20" s="86" t="s">
        <v>321</v>
      </c>
      <c r="H20" s="86" t="s">
        <v>319</v>
      </c>
      <c r="I20" s="86" t="s">
        <v>329</v>
      </c>
      <c r="J20" s="86" t="s">
        <v>760</v>
      </c>
      <c r="K20" s="86" t="s">
        <v>763</v>
      </c>
      <c r="L20" s="86" t="s">
        <v>753</v>
      </c>
      <c r="M20" s="86" t="s">
        <v>757</v>
      </c>
      <c r="N20" s="86" t="s">
        <v>771</v>
      </c>
      <c r="O20" s="86" t="s">
        <v>755</v>
      </c>
      <c r="P20" s="86" t="s">
        <v>1433</v>
      </c>
      <c r="Q20" s="86" t="s">
        <v>1434</v>
      </c>
      <c r="R20" s="86" t="s">
        <v>1435</v>
      </c>
      <c r="S20" s="87" t="s">
        <v>1436</v>
      </c>
    </row>
    <row r="21" spans="1:19" s="137" customFormat="1">
      <c r="A21" s="36" t="str">
        <f>A5</f>
        <v>Trimestre 1 / 2023</v>
      </c>
      <c r="B21" s="36"/>
      <c r="C21" s="36"/>
      <c r="D21" s="36"/>
      <c r="E21" s="36"/>
      <c r="F21" s="36"/>
      <c r="G21" s="36"/>
      <c r="H21" s="36"/>
      <c r="I21" s="36">
        <f>Primaria!L45</f>
        <v>1</v>
      </c>
      <c r="J21" s="36">
        <f>Bachillerato!M45</f>
        <v>3</v>
      </c>
      <c r="K21" s="36">
        <f>Bachillerato!N45</f>
        <v>2</v>
      </c>
      <c r="L21" s="36">
        <f>Bachillerato!O45</f>
        <v>3</v>
      </c>
      <c r="M21" s="36">
        <f>Bachillerato!P45</f>
        <v>2</v>
      </c>
      <c r="N21" s="36">
        <f>Bachillerato!Q45</f>
        <v>4</v>
      </c>
      <c r="O21" s="36">
        <f>Bachillerato!R45</f>
        <v>4</v>
      </c>
      <c r="P21" s="36">
        <f>SUM(B21:D21)</f>
        <v>0</v>
      </c>
      <c r="Q21" s="36">
        <f>SUM(E21:I21)</f>
        <v>1</v>
      </c>
      <c r="R21" s="36">
        <f>SUM(J21:O21)</f>
        <v>18</v>
      </c>
      <c r="S21" s="36">
        <f>SUM(P21:R21)</f>
        <v>19</v>
      </c>
    </row>
    <row r="22" spans="1:19">
      <c r="A22" s="34" t="str">
        <f t="shared" ref="A22:A32" si="23">A6</f>
        <v>Trimestre 2 / 2023</v>
      </c>
      <c r="B22" s="34"/>
      <c r="C22" s="34"/>
      <c r="D22" s="34"/>
      <c r="E22" s="34"/>
      <c r="F22" s="34"/>
      <c r="G22" s="34"/>
      <c r="H22" s="34"/>
      <c r="I22" s="34">
        <f>Primaria!L48-I21</f>
        <v>0</v>
      </c>
      <c r="J22" s="34">
        <f>Bachillerato!M48-J21</f>
        <v>1</v>
      </c>
      <c r="K22" s="34">
        <f>Bachillerato!N48-K21</f>
        <v>4</v>
      </c>
      <c r="L22" s="34">
        <f>Bachillerato!O48-L21</f>
        <v>4</v>
      </c>
      <c r="M22" s="34">
        <f>Bachillerato!P48-M21</f>
        <v>0</v>
      </c>
      <c r="N22" s="34">
        <f>Bachillerato!Q48-N21</f>
        <v>1</v>
      </c>
      <c r="O22" s="34">
        <f>Bachillerato!R48-O21</f>
        <v>2</v>
      </c>
      <c r="P22" s="34">
        <f t="shared" ref="P22" si="24">SUM(B22:D22)</f>
        <v>0</v>
      </c>
      <c r="Q22" s="34">
        <f t="shared" ref="Q22" si="25">SUM(E22:I22)</f>
        <v>0</v>
      </c>
      <c r="R22" s="34">
        <f t="shared" ref="R22" si="26">SUM(J22:O22)</f>
        <v>12</v>
      </c>
      <c r="S22" s="34">
        <f t="shared" ref="S22" si="27">SUM(P22:R22)</f>
        <v>12</v>
      </c>
    </row>
    <row r="23" spans="1:19">
      <c r="A23" s="34" t="str">
        <f t="shared" si="23"/>
        <v>Trimestre 3 / 2023</v>
      </c>
      <c r="B23" s="34"/>
      <c r="C23" s="34"/>
      <c r="D23" s="34"/>
      <c r="E23" s="34"/>
      <c r="F23" s="34"/>
      <c r="G23" s="34"/>
      <c r="H23" s="34"/>
      <c r="I23" s="34">
        <f>Primaria!L51-I21-I22</f>
        <v>3</v>
      </c>
      <c r="J23" s="34">
        <f>Bachillerato!M51-J21-J22</f>
        <v>3</v>
      </c>
      <c r="K23" s="34">
        <f>Bachillerato!N51-K21-K22</f>
        <v>3</v>
      </c>
      <c r="L23" s="34">
        <f>Bachillerato!O51-L21-L22</f>
        <v>7</v>
      </c>
      <c r="M23" s="34">
        <f>Bachillerato!P51-M21-M22</f>
        <v>7</v>
      </c>
      <c r="N23" s="34">
        <f>Bachillerato!Q51-N21-N22</f>
        <v>5</v>
      </c>
      <c r="O23" s="34">
        <f>Bachillerato!R51-O21-O22</f>
        <v>2</v>
      </c>
      <c r="P23" s="34">
        <f t="shared" ref="P23" si="28">SUM(B23:D23)</f>
        <v>0</v>
      </c>
      <c r="Q23" s="34">
        <f t="shared" ref="Q23" si="29">SUM(E23:I23)</f>
        <v>3</v>
      </c>
      <c r="R23" s="34">
        <f t="shared" ref="R23" si="30">SUM(J23:O23)</f>
        <v>27</v>
      </c>
      <c r="S23" s="34">
        <f t="shared" ref="S23" si="31">SUM(P23:R23)</f>
        <v>30</v>
      </c>
    </row>
    <row r="24" spans="1:19">
      <c r="A24" s="34" t="str">
        <f t="shared" si="23"/>
        <v>Trimestre 4 / 2023</v>
      </c>
      <c r="B24" s="34"/>
      <c r="C24" s="34"/>
      <c r="D24" s="34"/>
      <c r="E24" s="34"/>
      <c r="F24" s="34"/>
      <c r="G24" s="34"/>
      <c r="H24" s="34"/>
      <c r="I24" s="34">
        <f>Primaria!L54-I21-I22-I23</f>
        <v>2</v>
      </c>
      <c r="J24" s="34">
        <f>Bachillerato!M54-J21-J22-J23</f>
        <v>3</v>
      </c>
      <c r="K24" s="34">
        <f>Bachillerato!N54-K21-K22-K23</f>
        <v>0</v>
      </c>
      <c r="L24" s="34">
        <f>Bachillerato!O54-L21-L22-L23</f>
        <v>4</v>
      </c>
      <c r="M24" s="34">
        <f>Bachillerato!P54-M21-M22-M23</f>
        <v>5</v>
      </c>
      <c r="N24" s="34">
        <f>Bachillerato!Q54-N21-N22-N23</f>
        <v>6</v>
      </c>
      <c r="O24" s="34">
        <f>Bachillerato!R54-O21-O22-O23</f>
        <v>2</v>
      </c>
      <c r="P24" s="34">
        <f t="shared" ref="P24:P28" si="32">SUM(B24:D24)</f>
        <v>0</v>
      </c>
      <c r="Q24" s="34">
        <f t="shared" ref="Q24:Q28" si="33">SUM(E24:I24)</f>
        <v>2</v>
      </c>
      <c r="R24" s="34">
        <f t="shared" ref="R24:R28" si="34">SUM(J24:O24)</f>
        <v>20</v>
      </c>
      <c r="S24" s="34">
        <f t="shared" ref="S24:S28" si="35">SUM(P24:R24)</f>
        <v>22</v>
      </c>
    </row>
    <row r="25" spans="1:19" s="137" customFormat="1">
      <c r="A25" s="36" t="str">
        <f t="shared" si="23"/>
        <v>Trimestre 1 / 2024</v>
      </c>
      <c r="B25" s="36"/>
      <c r="C25" s="36"/>
      <c r="D25" s="36"/>
      <c r="E25" s="36"/>
      <c r="F25" s="36"/>
      <c r="G25" s="36"/>
      <c r="H25" s="36"/>
      <c r="I25" s="36">
        <f>Primaria!L57</f>
        <v>0</v>
      </c>
      <c r="J25" s="36">
        <f>Bachillerato!M57</f>
        <v>0</v>
      </c>
      <c r="K25" s="36">
        <f>Bachillerato!N57</f>
        <v>3</v>
      </c>
      <c r="L25" s="36">
        <f>Bachillerato!O57</f>
        <v>4</v>
      </c>
      <c r="M25" s="36">
        <f>Bachillerato!P57</f>
        <v>1</v>
      </c>
      <c r="N25" s="36">
        <f>Bachillerato!Q57</f>
        <v>4</v>
      </c>
      <c r="O25" s="36">
        <f>Bachillerato!R57</f>
        <v>1</v>
      </c>
      <c r="P25" s="36">
        <f t="shared" si="32"/>
        <v>0</v>
      </c>
      <c r="Q25" s="36">
        <f t="shared" si="33"/>
        <v>0</v>
      </c>
      <c r="R25" s="36">
        <f t="shared" si="34"/>
        <v>13</v>
      </c>
      <c r="S25" s="36">
        <f t="shared" si="35"/>
        <v>13</v>
      </c>
    </row>
    <row r="26" spans="1:19">
      <c r="A26" s="34" t="str">
        <f t="shared" si="23"/>
        <v>Trimestre 2 / 2024</v>
      </c>
      <c r="B26" s="34"/>
      <c r="C26" s="34"/>
      <c r="D26" s="34"/>
      <c r="E26" s="34"/>
      <c r="F26" s="34"/>
      <c r="G26" s="34"/>
      <c r="H26" s="34"/>
      <c r="I26" s="34">
        <f>Primaria!L60-I25</f>
        <v>2</v>
      </c>
      <c r="J26" s="34">
        <f>Bachillerato!M60-J25</f>
        <v>1</v>
      </c>
      <c r="K26" s="34">
        <f>Bachillerato!N60-K25</f>
        <v>0</v>
      </c>
      <c r="L26" s="34">
        <f>Bachillerato!O60-L25</f>
        <v>4</v>
      </c>
      <c r="M26" s="34">
        <f>Bachillerato!P60-M25</f>
        <v>1</v>
      </c>
      <c r="N26" s="34">
        <f>Bachillerato!Q60-N25</f>
        <v>4</v>
      </c>
      <c r="O26" s="34">
        <f>Bachillerato!R60-O25</f>
        <v>1</v>
      </c>
      <c r="P26" s="34">
        <f t="shared" si="32"/>
        <v>0</v>
      </c>
      <c r="Q26" s="34">
        <f t="shared" si="33"/>
        <v>2</v>
      </c>
      <c r="R26" s="34">
        <f t="shared" si="34"/>
        <v>11</v>
      </c>
      <c r="S26" s="34">
        <f t="shared" si="35"/>
        <v>13</v>
      </c>
    </row>
    <row r="27" spans="1:19">
      <c r="A27" s="34" t="str">
        <f t="shared" si="23"/>
        <v>Trimestre 3 / 2024</v>
      </c>
      <c r="B27" s="34"/>
      <c r="C27" s="34"/>
      <c r="D27" s="34"/>
      <c r="E27" s="34"/>
      <c r="F27" s="34"/>
      <c r="G27" s="34"/>
      <c r="H27" s="34"/>
      <c r="I27" s="34">
        <f>Primaria!L63-I25-I26</f>
        <v>3</v>
      </c>
      <c r="J27" s="34">
        <f>Bachillerato!M63-J25-J26</f>
        <v>2</v>
      </c>
      <c r="K27" s="34">
        <f>Bachillerato!N63-K25-K26</f>
        <v>2</v>
      </c>
      <c r="L27" s="34">
        <f>Bachillerato!O63-L25-L26</f>
        <v>6</v>
      </c>
      <c r="M27" s="34">
        <f>Bachillerato!P63-M25-M26</f>
        <v>5</v>
      </c>
      <c r="N27" s="34">
        <f>Bachillerato!Q63-N25-N26</f>
        <v>3</v>
      </c>
      <c r="O27" s="34">
        <f>Bachillerato!R63-O25-O26</f>
        <v>1</v>
      </c>
      <c r="P27" s="34">
        <f t="shared" ref="P27" si="36">SUM(B27:D27)</f>
        <v>0</v>
      </c>
      <c r="Q27" s="34">
        <f t="shared" ref="Q27" si="37">SUM(E27:I27)</f>
        <v>3</v>
      </c>
      <c r="R27" s="34">
        <f t="shared" ref="R27" si="38">SUM(J27:O27)</f>
        <v>19</v>
      </c>
      <c r="S27" s="34">
        <f t="shared" ref="S27" si="39">SUM(P27:R27)</f>
        <v>22</v>
      </c>
    </row>
    <row r="28" spans="1:19">
      <c r="A28" s="34" t="str">
        <f t="shared" si="23"/>
        <v>Trimestre 4 / 2024</v>
      </c>
      <c r="B28" s="34"/>
      <c r="C28" s="34"/>
      <c r="D28" s="34"/>
      <c r="E28" s="34"/>
      <c r="F28" s="34"/>
      <c r="G28" s="34"/>
      <c r="H28" s="34"/>
      <c r="I28" s="34">
        <f>Primaria!L66-I25-I26-I27</f>
        <v>5</v>
      </c>
      <c r="J28" s="34">
        <f>Bachillerato!M66-J25-J26-J27</f>
        <v>2</v>
      </c>
      <c r="K28" s="34">
        <f>Bachillerato!N66-K25-K26-K27</f>
        <v>3</v>
      </c>
      <c r="L28" s="34">
        <f>Bachillerato!O66-L25-L26-L27</f>
        <v>7</v>
      </c>
      <c r="M28" s="34">
        <f>Bachillerato!P66-M25-M26-M27</f>
        <v>3</v>
      </c>
      <c r="N28" s="34">
        <f>Bachillerato!Q66-N25-N26-N27</f>
        <v>1</v>
      </c>
      <c r="O28" s="34">
        <f>Bachillerato!R66-O25-O26-O27</f>
        <v>0</v>
      </c>
      <c r="P28" s="34">
        <f t="shared" si="32"/>
        <v>0</v>
      </c>
      <c r="Q28" s="34">
        <f t="shared" si="33"/>
        <v>5</v>
      </c>
      <c r="R28" s="34">
        <f t="shared" si="34"/>
        <v>16</v>
      </c>
      <c r="S28" s="34">
        <f t="shared" si="35"/>
        <v>21</v>
      </c>
    </row>
    <row r="29" spans="1:19" s="137" customFormat="1">
      <c r="A29" s="36" t="str">
        <f t="shared" si="23"/>
        <v>Trimestre 1 / 2025</v>
      </c>
      <c r="B29" s="36"/>
      <c r="C29" s="36"/>
      <c r="D29" s="36"/>
      <c r="E29" s="36"/>
      <c r="F29" s="36"/>
      <c r="G29" s="36"/>
      <c r="H29" s="36"/>
      <c r="I29" s="36">
        <f>Primaria!L69</f>
        <v>1</v>
      </c>
      <c r="J29" s="36">
        <f>Bachillerato!M69</f>
        <v>2</v>
      </c>
      <c r="K29" s="36">
        <f>Bachillerato!N69</f>
        <v>1</v>
      </c>
      <c r="L29" s="36">
        <f>Bachillerato!O69</f>
        <v>3</v>
      </c>
      <c r="M29" s="36">
        <f>Bachillerato!P69</f>
        <v>4</v>
      </c>
      <c r="N29" s="36">
        <f>Bachillerato!Q69</f>
        <v>2</v>
      </c>
      <c r="O29" s="36">
        <f>Bachillerato!R69</f>
        <v>0</v>
      </c>
      <c r="P29" s="36">
        <f t="shared" ref="P29:P32" si="40">SUM(B29:D29)</f>
        <v>0</v>
      </c>
      <c r="Q29" s="36">
        <f t="shared" ref="Q29:Q32" si="41">SUM(E29:I29)</f>
        <v>1</v>
      </c>
      <c r="R29" s="36">
        <f t="shared" ref="R29:R32" si="42">SUM(J29:O29)</f>
        <v>12</v>
      </c>
      <c r="S29" s="36">
        <f t="shared" ref="S29:S32" si="43">SUM(P29:R29)</f>
        <v>13</v>
      </c>
    </row>
    <row r="30" spans="1:19">
      <c r="A30" s="34" t="str">
        <f t="shared" si="23"/>
        <v>Trimestre 2 / 2025</v>
      </c>
      <c r="B30" s="34"/>
      <c r="C30" s="34"/>
      <c r="D30" s="34"/>
      <c r="E30" s="34"/>
      <c r="F30" s="34"/>
      <c r="G30" s="34"/>
      <c r="H30" s="34"/>
      <c r="I30" s="34">
        <f>Primaria!L72-I29</f>
        <v>1</v>
      </c>
      <c r="J30" s="34">
        <f>Bachillerato!M72-J29</f>
        <v>7</v>
      </c>
      <c r="K30" s="34">
        <f>Bachillerato!N72-K29</f>
        <v>1</v>
      </c>
      <c r="L30" s="34">
        <f>Bachillerato!O72-L29</f>
        <v>2</v>
      </c>
      <c r="M30" s="34">
        <f>Bachillerato!P72-M29</f>
        <v>2</v>
      </c>
      <c r="N30" s="34">
        <f>Bachillerato!Q72-N29</f>
        <v>4</v>
      </c>
      <c r="O30" s="34">
        <f>Bachillerato!R72-O29</f>
        <v>0</v>
      </c>
      <c r="P30" s="34">
        <f t="shared" si="40"/>
        <v>0</v>
      </c>
      <c r="Q30" s="34">
        <f t="shared" si="41"/>
        <v>1</v>
      </c>
      <c r="R30" s="34">
        <f t="shared" si="42"/>
        <v>16</v>
      </c>
      <c r="S30" s="34">
        <f t="shared" si="43"/>
        <v>17</v>
      </c>
    </row>
    <row r="31" spans="1:19">
      <c r="A31" s="34" t="str">
        <f t="shared" si="23"/>
        <v>Trimestre 3 / 2025</v>
      </c>
      <c r="B31" s="34"/>
      <c r="C31" s="34"/>
      <c r="D31" s="34"/>
      <c r="E31" s="34"/>
      <c r="F31" s="34"/>
      <c r="G31" s="34"/>
      <c r="H31" s="34"/>
      <c r="I31" s="34">
        <f>Primaria!L75-I29-I30</f>
        <v>5</v>
      </c>
      <c r="J31" s="34">
        <f>Bachillerato!M75-J29-J30</f>
        <v>4</v>
      </c>
      <c r="K31" s="34">
        <f>Bachillerato!N75-K29-K30</f>
        <v>7</v>
      </c>
      <c r="L31" s="34">
        <f>Bachillerato!O75-L29-L30</f>
        <v>3</v>
      </c>
      <c r="M31" s="34">
        <f>Bachillerato!P75-M29-M30</f>
        <v>2</v>
      </c>
      <c r="N31" s="34">
        <f>Bachillerato!Q75-N29-N30</f>
        <v>3</v>
      </c>
      <c r="O31" s="34">
        <f>Bachillerato!R75-O29-O30</f>
        <v>3</v>
      </c>
      <c r="P31" s="34">
        <f t="shared" si="40"/>
        <v>0</v>
      </c>
      <c r="Q31" s="34">
        <f t="shared" si="41"/>
        <v>5</v>
      </c>
      <c r="R31" s="34">
        <f t="shared" si="42"/>
        <v>22</v>
      </c>
      <c r="S31" s="34">
        <f t="shared" si="43"/>
        <v>27</v>
      </c>
    </row>
    <row r="32" spans="1:19">
      <c r="A32" s="34" t="str">
        <f t="shared" si="23"/>
        <v>Trimestre 4 / 2025</v>
      </c>
      <c r="B32" s="34"/>
      <c r="C32" s="34"/>
      <c r="D32" s="34"/>
      <c r="E32" s="34"/>
      <c r="F32" s="34"/>
      <c r="G32" s="34"/>
      <c r="H32" s="34"/>
      <c r="I32" s="34">
        <f>Primaria!L78-I29-I30-I31</f>
        <v>1</v>
      </c>
      <c r="J32" s="34">
        <f>Bachillerato!M78-J29-J30-J31</f>
        <v>2</v>
      </c>
      <c r="K32" s="34">
        <f>Bachillerato!N78-K29-K30-K31</f>
        <v>4</v>
      </c>
      <c r="L32" s="34">
        <f>Bachillerato!O78-L29-L30-L31</f>
        <v>2</v>
      </c>
      <c r="M32" s="34">
        <f>Bachillerato!P78-M29-M30-M31</f>
        <v>5</v>
      </c>
      <c r="N32" s="34">
        <f>Bachillerato!Q78-N29-N30-N31</f>
        <v>5</v>
      </c>
      <c r="O32" s="34">
        <f>Bachillerato!R78-O29-O30-O31</f>
        <v>0</v>
      </c>
      <c r="P32" s="34">
        <f t="shared" si="40"/>
        <v>0</v>
      </c>
      <c r="Q32" s="34">
        <f t="shared" si="41"/>
        <v>1</v>
      </c>
      <c r="R32" s="34">
        <f t="shared" si="42"/>
        <v>18</v>
      </c>
      <c r="S32" s="34">
        <f t="shared" si="43"/>
        <v>19</v>
      </c>
    </row>
    <row r="35" spans="1:19">
      <c r="B35" s="146" t="s">
        <v>1472</v>
      </c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6" t="s">
        <v>1472</v>
      </c>
      <c r="Q35" s="147"/>
      <c r="R35" s="147"/>
      <c r="S35" s="147"/>
    </row>
    <row r="36" spans="1:19">
      <c r="B36" s="88" t="s">
        <v>18</v>
      </c>
      <c r="C36" s="88" t="s">
        <v>32</v>
      </c>
      <c r="D36" s="88" t="s">
        <v>15</v>
      </c>
      <c r="E36" s="88" t="s">
        <v>324</v>
      </c>
      <c r="F36" s="88" t="s">
        <v>326</v>
      </c>
      <c r="G36" s="88" t="s">
        <v>321</v>
      </c>
      <c r="H36" s="88" t="s">
        <v>319</v>
      </c>
      <c r="I36" s="88" t="s">
        <v>329</v>
      </c>
      <c r="J36" s="88" t="s">
        <v>760</v>
      </c>
      <c r="K36" s="88" t="s">
        <v>763</v>
      </c>
      <c r="L36" s="88" t="s">
        <v>753</v>
      </c>
      <c r="M36" s="88" t="s">
        <v>757</v>
      </c>
      <c r="N36" s="88" t="s">
        <v>771</v>
      </c>
      <c r="O36" s="88" t="s">
        <v>755</v>
      </c>
      <c r="P36" s="88" t="s">
        <v>1433</v>
      </c>
      <c r="Q36" s="88" t="s">
        <v>1434</v>
      </c>
      <c r="R36" s="88" t="s">
        <v>1435</v>
      </c>
      <c r="S36" s="89" t="s">
        <v>1436</v>
      </c>
    </row>
    <row r="37" spans="1:19" s="137" customFormat="1">
      <c r="A37" s="36" t="str">
        <f>A5</f>
        <v>Trimestre 1 / 2023</v>
      </c>
      <c r="B37" s="36">
        <f>Preescolar!J45</f>
        <v>0</v>
      </c>
      <c r="C37" s="36">
        <f>Preescolar!K45</f>
        <v>0</v>
      </c>
      <c r="D37" s="36">
        <f>Preescolar!L45</f>
        <v>1</v>
      </c>
      <c r="E37" s="36">
        <f>Primaria!L85</f>
        <v>0</v>
      </c>
      <c r="F37" s="36">
        <f>Primaria!M85</f>
        <v>0</v>
      </c>
      <c r="G37" s="36">
        <f>Primaria!N85</f>
        <v>0</v>
      </c>
      <c r="H37" s="36">
        <f>Primaria!O85</f>
        <v>0</v>
      </c>
      <c r="I37" s="36">
        <f>Primaria!P85</f>
        <v>1</v>
      </c>
      <c r="J37" s="36">
        <f>Bachillerato!M85</f>
        <v>3</v>
      </c>
      <c r="K37" s="36">
        <f>Bachillerato!N85</f>
        <v>2</v>
      </c>
      <c r="L37" s="36">
        <f>Bachillerato!O85</f>
        <v>2</v>
      </c>
      <c r="M37" s="36">
        <f>Bachillerato!P85</f>
        <v>1</v>
      </c>
      <c r="N37" s="36">
        <f>Bachillerato!Q85</f>
        <v>2</v>
      </c>
      <c r="O37" s="36">
        <f>Bachillerato!R85</f>
        <v>2</v>
      </c>
      <c r="P37" s="36">
        <f>SUM(B37:D37)</f>
        <v>1</v>
      </c>
      <c r="Q37" s="36">
        <f>SUM(E37:I37)</f>
        <v>1</v>
      </c>
      <c r="R37" s="36">
        <f>SUM(J37:O37)</f>
        <v>12</v>
      </c>
      <c r="S37" s="36">
        <f>SUM(P37:R37)</f>
        <v>14</v>
      </c>
    </row>
    <row r="38" spans="1:19">
      <c r="A38" s="34" t="str">
        <f t="shared" ref="A38:A48" si="44">A6</f>
        <v>Trimestre 2 / 2023</v>
      </c>
      <c r="B38" s="34">
        <f>Preescolar!J48-B37</f>
        <v>0</v>
      </c>
      <c r="C38" s="34">
        <f>Preescolar!K48-C37</f>
        <v>0</v>
      </c>
      <c r="D38" s="34">
        <f>Preescolar!L48-D37</f>
        <v>0</v>
      </c>
      <c r="E38" s="34">
        <f>Primaria!L88-E37</f>
        <v>1</v>
      </c>
      <c r="F38" s="34">
        <f>Primaria!M88-F37</f>
        <v>2</v>
      </c>
      <c r="G38" s="34">
        <f>Primaria!N88-G37</f>
        <v>1</v>
      </c>
      <c r="H38" s="34">
        <f>Primaria!O88-H37</f>
        <v>0</v>
      </c>
      <c r="I38" s="34">
        <f>Primaria!P88-I37</f>
        <v>1</v>
      </c>
      <c r="J38" s="34">
        <f>Bachillerato!M88-J37</f>
        <v>1</v>
      </c>
      <c r="K38" s="34">
        <f>Bachillerato!N88-K37</f>
        <v>2</v>
      </c>
      <c r="L38" s="34">
        <f>Bachillerato!O88-L37</f>
        <v>1</v>
      </c>
      <c r="M38" s="34">
        <f>Bachillerato!P88-M37</f>
        <v>0</v>
      </c>
      <c r="N38" s="34">
        <f>Bachillerato!Q88-N37</f>
        <v>1</v>
      </c>
      <c r="O38" s="34">
        <f>Bachillerato!R88-O37</f>
        <v>3</v>
      </c>
      <c r="P38" s="34">
        <f t="shared" ref="P38" si="45">SUM(B38:D38)</f>
        <v>0</v>
      </c>
      <c r="Q38" s="34">
        <f t="shared" ref="Q38" si="46">SUM(E38:I38)</f>
        <v>5</v>
      </c>
      <c r="R38" s="34">
        <f t="shared" ref="R38" si="47">SUM(J38:O38)</f>
        <v>8</v>
      </c>
      <c r="S38" s="34">
        <f t="shared" ref="S38" si="48">SUM(P38:R38)</f>
        <v>13</v>
      </c>
    </row>
    <row r="39" spans="1:19">
      <c r="A39" s="34" t="str">
        <f t="shared" si="44"/>
        <v>Trimestre 3 / 2023</v>
      </c>
      <c r="B39" s="34">
        <f>Preescolar!J51-B37-B38</f>
        <v>1</v>
      </c>
      <c r="C39" s="34">
        <f>Preescolar!K51-C37-C38</f>
        <v>1</v>
      </c>
      <c r="D39" s="34">
        <f>Preescolar!L51-D37-D38</f>
        <v>1</v>
      </c>
      <c r="E39" s="34">
        <f>Primaria!L91-E37-E38</f>
        <v>3</v>
      </c>
      <c r="F39" s="34">
        <f>Primaria!M91-F37-F38</f>
        <v>1</v>
      </c>
      <c r="G39" s="34">
        <f>Primaria!N91-G37-G38</f>
        <v>2</v>
      </c>
      <c r="H39" s="34">
        <f>Primaria!O91-H37-H38</f>
        <v>3</v>
      </c>
      <c r="I39" s="34">
        <f>Primaria!P91-I37-I38</f>
        <v>2</v>
      </c>
      <c r="J39" s="34">
        <f>Bachillerato!M91-J37-J38</f>
        <v>2</v>
      </c>
      <c r="K39" s="34">
        <f>Bachillerato!N91-K37-K38</f>
        <v>2</v>
      </c>
      <c r="L39" s="34">
        <f>Bachillerato!O91-L37-L38</f>
        <v>6</v>
      </c>
      <c r="M39" s="34">
        <f>Bachillerato!P91-M37-M38</f>
        <v>4</v>
      </c>
      <c r="N39" s="34">
        <f>Bachillerato!Q91-N37-N38</f>
        <v>4</v>
      </c>
      <c r="O39" s="34">
        <f>Bachillerato!R91-O37-O38</f>
        <v>0</v>
      </c>
      <c r="P39" s="34">
        <f t="shared" ref="P39" si="49">SUM(B39:D39)</f>
        <v>3</v>
      </c>
      <c r="Q39" s="34">
        <f t="shared" ref="Q39" si="50">SUM(E39:I39)</f>
        <v>11</v>
      </c>
      <c r="R39" s="34">
        <f t="shared" ref="R39" si="51">SUM(J39:O39)</f>
        <v>18</v>
      </c>
      <c r="S39" s="34">
        <f t="shared" ref="S39" si="52">SUM(P39:R39)</f>
        <v>32</v>
      </c>
    </row>
    <row r="40" spans="1:19">
      <c r="A40" s="34" t="str">
        <f t="shared" si="44"/>
        <v>Trimestre 4 / 2023</v>
      </c>
      <c r="B40" s="34">
        <f>Preescolar!J54-B37-B38-B39</f>
        <v>1</v>
      </c>
      <c r="C40" s="34">
        <f>Preescolar!K54-C37-C38-C39</f>
        <v>0</v>
      </c>
      <c r="D40" s="34">
        <f>Preescolar!L54-D37-D38-D39</f>
        <v>3</v>
      </c>
      <c r="E40" s="34">
        <f>Primaria!L94-E37-E38-E39</f>
        <v>1</v>
      </c>
      <c r="F40" s="34">
        <f>Primaria!M94-F37-F38-F39</f>
        <v>2</v>
      </c>
      <c r="G40" s="34">
        <f>Primaria!N94-G37-G38-G39</f>
        <v>1</v>
      </c>
      <c r="H40" s="34">
        <f>Primaria!O94-H37-H38-H39</f>
        <v>1</v>
      </c>
      <c r="I40" s="34">
        <f>Primaria!P94-I37-I38-I39</f>
        <v>3</v>
      </c>
      <c r="J40" s="34">
        <f>Bachillerato!M94-J37-J38-J39</f>
        <v>2</v>
      </c>
      <c r="K40" s="34">
        <f>Bachillerato!N94-K37-K38-K39</f>
        <v>2</v>
      </c>
      <c r="L40" s="34">
        <f>Bachillerato!O94-L37-L38-L39</f>
        <v>1</v>
      </c>
      <c r="M40" s="34">
        <f>Bachillerato!P94-M37-M38-M39</f>
        <v>3</v>
      </c>
      <c r="N40" s="34">
        <f>Bachillerato!Q94-N37-N38-N39</f>
        <v>2</v>
      </c>
      <c r="O40" s="34">
        <f>Bachillerato!R94-O37-O38-O39</f>
        <v>2</v>
      </c>
      <c r="P40" s="34">
        <f t="shared" ref="P40:P46" si="53">SUM(B40:D40)</f>
        <v>4</v>
      </c>
      <c r="Q40" s="34">
        <f t="shared" ref="Q40:Q46" si="54">SUM(E40:I40)</f>
        <v>8</v>
      </c>
      <c r="R40" s="34">
        <f t="shared" ref="R40:R46" si="55">SUM(J40:O40)</f>
        <v>12</v>
      </c>
      <c r="S40" s="34">
        <f t="shared" ref="S40:S46" si="56">SUM(P40:R40)</f>
        <v>24</v>
      </c>
    </row>
    <row r="41" spans="1:19" s="137" customFormat="1">
      <c r="A41" s="36" t="str">
        <f t="shared" si="44"/>
        <v>Trimestre 1 / 2024</v>
      </c>
      <c r="B41" s="36">
        <f>Preescolar!J57</f>
        <v>0</v>
      </c>
      <c r="C41" s="36">
        <f>Preescolar!K57</f>
        <v>0</v>
      </c>
      <c r="D41" s="36">
        <f>Preescolar!L57</f>
        <v>1</v>
      </c>
      <c r="E41" s="36">
        <f>Primaria!L97</f>
        <v>2</v>
      </c>
      <c r="F41" s="36">
        <f>Primaria!M97</f>
        <v>1</v>
      </c>
      <c r="G41" s="36">
        <f>Primaria!N97</f>
        <v>0</v>
      </c>
      <c r="H41" s="36">
        <f>Primaria!O97</f>
        <v>1</v>
      </c>
      <c r="I41" s="36">
        <f>Primaria!P97</f>
        <v>0</v>
      </c>
      <c r="J41" s="36">
        <f>Bachillerato!M97</f>
        <v>2</v>
      </c>
      <c r="K41" s="36">
        <f>Bachillerato!N97</f>
        <v>2</v>
      </c>
      <c r="L41" s="36">
        <f>Bachillerato!O97</f>
        <v>6</v>
      </c>
      <c r="M41" s="36">
        <f>Bachillerato!P97</f>
        <v>3</v>
      </c>
      <c r="N41" s="36">
        <f>Bachillerato!Q97</f>
        <v>4</v>
      </c>
      <c r="O41" s="36">
        <f>Bachillerato!R97</f>
        <v>1</v>
      </c>
      <c r="P41" s="36">
        <f>SUM(B41:D41)</f>
        <v>1</v>
      </c>
      <c r="Q41" s="36">
        <f>SUM(E41:I41)</f>
        <v>4</v>
      </c>
      <c r="R41" s="36">
        <f>SUM(J41:O41)</f>
        <v>18</v>
      </c>
      <c r="S41" s="36">
        <f>SUM(P41:R41)</f>
        <v>23</v>
      </c>
    </row>
    <row r="42" spans="1:19">
      <c r="A42" s="34" t="str">
        <f t="shared" si="44"/>
        <v>Trimestre 2 / 2024</v>
      </c>
      <c r="B42" s="34">
        <f>Preescolar!J60-B41</f>
        <v>0</v>
      </c>
      <c r="C42" s="34">
        <f>Preescolar!K60-C41</f>
        <v>0</v>
      </c>
      <c r="D42" s="34">
        <f>Preescolar!L60-D41</f>
        <v>0</v>
      </c>
      <c r="E42" s="34">
        <f>Primaria!L100-E41</f>
        <v>0</v>
      </c>
      <c r="F42" s="34">
        <f>Primaria!M100-F41</f>
        <v>1</v>
      </c>
      <c r="G42" s="34">
        <f>Primaria!N100-G41</f>
        <v>2</v>
      </c>
      <c r="H42" s="34">
        <f>Primaria!O100-H41</f>
        <v>0</v>
      </c>
      <c r="I42" s="34">
        <f>Primaria!P100-I41</f>
        <v>1</v>
      </c>
      <c r="J42" s="34">
        <f>Bachillerato!M100-J41</f>
        <v>1</v>
      </c>
      <c r="K42" s="34">
        <f>Bachillerato!N100-K41</f>
        <v>0</v>
      </c>
      <c r="L42" s="34">
        <f>Bachillerato!O100-L41</f>
        <v>1</v>
      </c>
      <c r="M42" s="34">
        <f>Bachillerato!P100-M41</f>
        <v>0</v>
      </c>
      <c r="N42" s="34">
        <f>Bachillerato!Q100-N41</f>
        <v>4</v>
      </c>
      <c r="O42" s="34">
        <f>Bachillerato!R100-O41</f>
        <v>1</v>
      </c>
      <c r="P42" s="34">
        <f t="shared" ref="P42:P44" si="57">SUM(B42:D42)</f>
        <v>0</v>
      </c>
      <c r="Q42" s="34">
        <f t="shared" ref="Q42:Q44" si="58">SUM(E42:I42)</f>
        <v>4</v>
      </c>
      <c r="R42" s="34">
        <f t="shared" ref="R42:R44" si="59">SUM(J42:O42)</f>
        <v>7</v>
      </c>
      <c r="S42" s="34">
        <f t="shared" ref="S42:S44" si="60">SUM(P42:R42)</f>
        <v>11</v>
      </c>
    </row>
    <row r="43" spans="1:19">
      <c r="A43" s="34" t="str">
        <f t="shared" si="44"/>
        <v>Trimestre 3 / 2024</v>
      </c>
      <c r="B43" s="34">
        <f>Preescolar!J63-B41-B42</f>
        <v>0</v>
      </c>
      <c r="C43" s="34">
        <f>Preescolar!K63-C41-C42</f>
        <v>2</v>
      </c>
      <c r="D43" s="34">
        <f>Preescolar!L63-D41-D42</f>
        <v>1</v>
      </c>
      <c r="E43" s="34">
        <f>Primaria!L103-E41-E42</f>
        <v>1</v>
      </c>
      <c r="F43" s="34">
        <f>Primaria!M103-F41-F42</f>
        <v>3</v>
      </c>
      <c r="G43" s="34">
        <f>Primaria!N103-G41-G42</f>
        <v>1</v>
      </c>
      <c r="H43" s="34">
        <f>Primaria!O103-H41-H42</f>
        <v>2</v>
      </c>
      <c r="I43" s="34">
        <f>Primaria!P103-I41-I42</f>
        <v>3</v>
      </c>
      <c r="J43" s="34">
        <f>Bachillerato!M103-J41-J42</f>
        <v>1</v>
      </c>
      <c r="K43" s="34">
        <f>Bachillerato!N103-K41-K42</f>
        <v>0</v>
      </c>
      <c r="L43" s="34">
        <f>Bachillerato!O103-L41-L42</f>
        <v>5</v>
      </c>
      <c r="M43" s="34">
        <f>Bachillerato!P103-M41-M42</f>
        <v>2</v>
      </c>
      <c r="N43" s="34">
        <f>Bachillerato!Q103-N41-N42</f>
        <v>1</v>
      </c>
      <c r="O43" s="34">
        <f>Bachillerato!R103-O41-O42</f>
        <v>0</v>
      </c>
      <c r="P43" s="34">
        <f t="shared" si="57"/>
        <v>3</v>
      </c>
      <c r="Q43" s="34">
        <f t="shared" si="58"/>
        <v>10</v>
      </c>
      <c r="R43" s="34">
        <f t="shared" si="59"/>
        <v>9</v>
      </c>
      <c r="S43" s="34">
        <f t="shared" si="60"/>
        <v>22</v>
      </c>
    </row>
    <row r="44" spans="1:19">
      <c r="A44" s="34" t="str">
        <f t="shared" si="44"/>
        <v>Trimestre 4 / 2024</v>
      </c>
      <c r="B44" s="34">
        <f>Preescolar!J66-B41-B42-B43</f>
        <v>2</v>
      </c>
      <c r="C44" s="34">
        <f>Preescolar!K66-C41-C42-C43</f>
        <v>1</v>
      </c>
      <c r="D44" s="34">
        <f>Preescolar!L66-D41-D42-D43</f>
        <v>0</v>
      </c>
      <c r="E44" s="34">
        <f>Primaria!L106-E41-E42-E43</f>
        <v>0</v>
      </c>
      <c r="F44" s="34">
        <f>Primaria!M106-F41-F42-F43</f>
        <v>1</v>
      </c>
      <c r="G44" s="34">
        <f>Primaria!N106-G41-G42-G43</f>
        <v>3</v>
      </c>
      <c r="H44" s="34">
        <f>Primaria!O106-H41-H42-H43</f>
        <v>1</v>
      </c>
      <c r="I44" s="34">
        <f>Primaria!P106-I41-I42-I43</f>
        <v>1</v>
      </c>
      <c r="J44" s="34">
        <f>Bachillerato!M106-J41-J42-J43</f>
        <v>1</v>
      </c>
      <c r="K44" s="34">
        <f>Bachillerato!N106-K41-K42-K43</f>
        <v>1</v>
      </c>
      <c r="L44" s="34">
        <f>Bachillerato!O106-L41-L42-L43</f>
        <v>5</v>
      </c>
      <c r="M44" s="34">
        <f>Bachillerato!P106-M41-M42-M43</f>
        <v>2</v>
      </c>
      <c r="N44" s="34">
        <f>Bachillerato!Q106-N41-N42-N43</f>
        <v>0</v>
      </c>
      <c r="O44" s="34">
        <f>Bachillerato!R106-O41-O42-O43</f>
        <v>0</v>
      </c>
      <c r="P44" s="34">
        <f t="shared" si="57"/>
        <v>3</v>
      </c>
      <c r="Q44" s="34">
        <f t="shared" si="58"/>
        <v>6</v>
      </c>
      <c r="R44" s="34">
        <f t="shared" si="59"/>
        <v>9</v>
      </c>
      <c r="S44" s="34">
        <f t="shared" si="60"/>
        <v>18</v>
      </c>
    </row>
    <row r="45" spans="1:19" s="137" customFormat="1">
      <c r="A45" s="36" t="str">
        <f t="shared" si="44"/>
        <v>Trimestre 1 / 2025</v>
      </c>
      <c r="B45" s="36">
        <f>Preescolar!J69</f>
        <v>1</v>
      </c>
      <c r="C45" s="36">
        <f>Preescolar!K69</f>
        <v>1</v>
      </c>
      <c r="D45" s="36">
        <f>Preescolar!L69</f>
        <v>3</v>
      </c>
      <c r="E45" s="36">
        <f>Primaria!L109</f>
        <v>1</v>
      </c>
      <c r="F45" s="36">
        <f>Primaria!M109</f>
        <v>1</v>
      </c>
      <c r="G45" s="36">
        <f>Primaria!N109</f>
        <v>3</v>
      </c>
      <c r="H45" s="36">
        <f>Primaria!O109</f>
        <v>3</v>
      </c>
      <c r="I45" s="36">
        <f>Primaria!P109</f>
        <v>4</v>
      </c>
      <c r="J45" s="36">
        <f>Bachillerato!M109</f>
        <v>2</v>
      </c>
      <c r="K45" s="36">
        <f>Bachillerato!N109</f>
        <v>1</v>
      </c>
      <c r="L45" s="36">
        <f>Bachillerato!O109</f>
        <v>3</v>
      </c>
      <c r="M45" s="36">
        <f>Bachillerato!P109</f>
        <v>4</v>
      </c>
      <c r="N45" s="36">
        <f>Bachillerato!Q109</f>
        <v>1</v>
      </c>
      <c r="O45" s="36">
        <f>Bachillerato!R109</f>
        <v>0</v>
      </c>
      <c r="P45" s="36">
        <f t="shared" si="53"/>
        <v>5</v>
      </c>
      <c r="Q45" s="36">
        <f t="shared" si="54"/>
        <v>12</v>
      </c>
      <c r="R45" s="36">
        <f t="shared" si="55"/>
        <v>11</v>
      </c>
      <c r="S45" s="36">
        <f t="shared" si="56"/>
        <v>28</v>
      </c>
    </row>
    <row r="46" spans="1:19">
      <c r="A46" s="34" t="str">
        <f t="shared" si="44"/>
        <v>Trimestre 2 / 2025</v>
      </c>
      <c r="B46" s="34">
        <f>Preescolar!J72-B45</f>
        <v>0</v>
      </c>
      <c r="C46" s="34">
        <f>Preescolar!K72-C45</f>
        <v>1</v>
      </c>
      <c r="D46" s="34">
        <f>Preescolar!L72-D45</f>
        <v>1</v>
      </c>
      <c r="E46" s="34">
        <f>Primaria!L112-E45</f>
        <v>2</v>
      </c>
      <c r="F46" s="34">
        <f>Primaria!M112-F45</f>
        <v>1</v>
      </c>
      <c r="G46" s="34">
        <f>Primaria!N112-G45</f>
        <v>0</v>
      </c>
      <c r="H46" s="34">
        <f>Primaria!O112-H45</f>
        <v>0</v>
      </c>
      <c r="I46" s="34">
        <f>Primaria!P112-I45</f>
        <v>0</v>
      </c>
      <c r="J46" s="34">
        <f>Bachillerato!M112-J45</f>
        <v>2</v>
      </c>
      <c r="K46" s="34">
        <f>Bachillerato!N112-K45</f>
        <v>1</v>
      </c>
      <c r="L46" s="34">
        <f>Bachillerato!O112-L45</f>
        <v>1</v>
      </c>
      <c r="M46" s="34">
        <f>Bachillerato!P112-M45</f>
        <v>1</v>
      </c>
      <c r="N46" s="34">
        <f>Bachillerato!Q112-N45</f>
        <v>3</v>
      </c>
      <c r="O46" s="34">
        <f>Bachillerato!R112-O45</f>
        <v>0</v>
      </c>
      <c r="P46" s="34">
        <f t="shared" si="53"/>
        <v>2</v>
      </c>
      <c r="Q46" s="34">
        <f t="shared" si="54"/>
        <v>3</v>
      </c>
      <c r="R46" s="34">
        <f t="shared" si="55"/>
        <v>8</v>
      </c>
      <c r="S46" s="34">
        <f t="shared" si="56"/>
        <v>13</v>
      </c>
    </row>
    <row r="47" spans="1:19">
      <c r="A47" s="34" t="str">
        <f t="shared" si="44"/>
        <v>Trimestre 3 / 2025</v>
      </c>
      <c r="B47" s="34">
        <f>Preescolar!J75-B45-B46</f>
        <v>1</v>
      </c>
      <c r="C47" s="34">
        <f>Preescolar!K75-C45-C46</f>
        <v>2</v>
      </c>
      <c r="D47" s="34">
        <f>Preescolar!L75-D45-D46</f>
        <v>1</v>
      </c>
      <c r="E47" s="34">
        <f>Primaria!L115-E45-E46</f>
        <v>3</v>
      </c>
      <c r="F47" s="34">
        <f>Primaria!M115-F45-F46</f>
        <v>2</v>
      </c>
      <c r="G47" s="34">
        <f>Primaria!N115-G45-G46</f>
        <v>3</v>
      </c>
      <c r="H47" s="34">
        <f>Primaria!O115-H45-H46</f>
        <v>1</v>
      </c>
      <c r="I47" s="34">
        <f>Primaria!P115-I45-I46</f>
        <v>3</v>
      </c>
      <c r="J47" s="34">
        <f>Bachillerato!M115-J45-J46</f>
        <v>5</v>
      </c>
      <c r="K47" s="34">
        <f>Bachillerato!N115-K45-K46</f>
        <v>5</v>
      </c>
      <c r="L47" s="34">
        <f>Bachillerato!O115-L45-L46</f>
        <v>3</v>
      </c>
      <c r="M47" s="34">
        <f>Bachillerato!P115-M45-M46</f>
        <v>3</v>
      </c>
      <c r="N47" s="34">
        <f>Bachillerato!Q115-N45-N46</f>
        <v>4</v>
      </c>
      <c r="O47" s="34">
        <f>Bachillerato!R115-O45-O46</f>
        <v>1</v>
      </c>
      <c r="P47" s="34">
        <f t="shared" ref="P47:P48" si="61">SUM(B47:D47)</f>
        <v>4</v>
      </c>
      <c r="Q47" s="34">
        <f t="shared" ref="Q47:Q48" si="62">SUM(E47:I47)</f>
        <v>12</v>
      </c>
      <c r="R47" s="34">
        <f t="shared" ref="R47:R48" si="63">SUM(J47:O47)</f>
        <v>21</v>
      </c>
      <c r="S47" s="34">
        <f t="shared" ref="S47:S48" si="64">SUM(P47:R47)</f>
        <v>37</v>
      </c>
    </row>
    <row r="48" spans="1:19">
      <c r="A48" s="34" t="str">
        <f t="shared" si="44"/>
        <v>Trimestre 4 / 2025</v>
      </c>
      <c r="B48" s="34">
        <f>Preescolar!J78-B45-B46-B47</f>
        <v>1</v>
      </c>
      <c r="C48" s="34">
        <f>Preescolar!K78-C45-C46-C47</f>
        <v>1</v>
      </c>
      <c r="D48" s="34">
        <f>Preescolar!L78-D45-D46-D47</f>
        <v>1</v>
      </c>
      <c r="E48" s="34">
        <f>Primaria!L118-E45-E46-E47</f>
        <v>1</v>
      </c>
      <c r="F48" s="34">
        <f>Primaria!M118-F45-F46-F47</f>
        <v>2</v>
      </c>
      <c r="G48" s="34">
        <f>Primaria!N118-G45-G46-G47</f>
        <v>5</v>
      </c>
      <c r="H48" s="34">
        <f>Primaria!O118-H45-H46-H47</f>
        <v>1</v>
      </c>
      <c r="I48" s="34">
        <f>Primaria!P118-I45-I46-I47</f>
        <v>2</v>
      </c>
      <c r="J48" s="34">
        <f>Bachillerato!M118-J45-J46-J47</f>
        <v>1</v>
      </c>
      <c r="K48" s="34">
        <f>Bachillerato!N118-K45-K46-K47</f>
        <v>1</v>
      </c>
      <c r="L48" s="34">
        <f>Bachillerato!O118-L45-L46-L47</f>
        <v>2</v>
      </c>
      <c r="M48" s="34">
        <f>Bachillerato!P118-M45-M46-M47</f>
        <v>4</v>
      </c>
      <c r="N48" s="34">
        <f>Bachillerato!Q118-N45-N46-N47</f>
        <v>1</v>
      </c>
      <c r="O48" s="34">
        <f>Bachillerato!R118-O45-O46-O47</f>
        <v>1</v>
      </c>
      <c r="P48" s="34">
        <f t="shared" si="61"/>
        <v>3</v>
      </c>
      <c r="Q48" s="34">
        <f t="shared" si="62"/>
        <v>11</v>
      </c>
      <c r="R48" s="34">
        <f t="shared" si="63"/>
        <v>10</v>
      </c>
      <c r="S48" s="34">
        <f t="shared" si="64"/>
        <v>24</v>
      </c>
    </row>
    <row r="51" spans="1:23">
      <c r="B51" s="112" t="s">
        <v>1473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2" t="s">
        <v>1473</v>
      </c>
      <c r="Q51" s="113"/>
      <c r="R51" s="113"/>
      <c r="S51" s="113"/>
    </row>
    <row r="52" spans="1:23">
      <c r="B52" s="90" t="s">
        <v>18</v>
      </c>
      <c r="C52" s="90" t="s">
        <v>32</v>
      </c>
      <c r="D52" s="90" t="s">
        <v>15</v>
      </c>
      <c r="E52" s="90" t="s">
        <v>324</v>
      </c>
      <c r="F52" s="90" t="s">
        <v>326</v>
      </c>
      <c r="G52" s="90" t="s">
        <v>321</v>
      </c>
      <c r="H52" s="90" t="s">
        <v>319</v>
      </c>
      <c r="I52" s="90" t="s">
        <v>329</v>
      </c>
      <c r="J52" s="90" t="s">
        <v>760</v>
      </c>
      <c r="K52" s="90" t="s">
        <v>763</v>
      </c>
      <c r="L52" s="90" t="s">
        <v>753</v>
      </c>
      <c r="M52" s="90" t="s">
        <v>757</v>
      </c>
      <c r="N52" s="90" t="s">
        <v>771</v>
      </c>
      <c r="O52" s="90" t="s">
        <v>755</v>
      </c>
      <c r="P52" s="90" t="s">
        <v>1433</v>
      </c>
      <c r="Q52" s="90" t="s">
        <v>1434</v>
      </c>
      <c r="R52" s="90" t="s">
        <v>1435</v>
      </c>
      <c r="S52" s="91" t="s">
        <v>1436</v>
      </c>
    </row>
    <row r="53" spans="1:23" s="137" customFormat="1">
      <c r="A53" s="36" t="str">
        <f>A5</f>
        <v>Trimestre 1 / 2023</v>
      </c>
      <c r="B53" s="36">
        <f>Preescolar!J85</f>
        <v>0</v>
      </c>
      <c r="C53" s="36">
        <f>Preescolar!K85</f>
        <v>0</v>
      </c>
      <c r="D53" s="36">
        <f>Preescolar!L85</f>
        <v>1</v>
      </c>
      <c r="E53" s="36">
        <f>Primaria!L125</f>
        <v>0</v>
      </c>
      <c r="F53" s="36">
        <f>Primaria!M125</f>
        <v>0</v>
      </c>
      <c r="G53" s="36">
        <f>Primaria!N125</f>
        <v>0</v>
      </c>
      <c r="H53" s="36">
        <f>Primaria!O125</f>
        <v>0</v>
      </c>
      <c r="I53" s="36">
        <f>Primaria!P125</f>
        <v>0</v>
      </c>
      <c r="J53" s="36">
        <f>Bachillerato!M125</f>
        <v>2</v>
      </c>
      <c r="K53" s="36">
        <f>Bachillerato!N125</f>
        <v>2</v>
      </c>
      <c r="L53" s="36">
        <f>Bachillerato!O125</f>
        <v>0</v>
      </c>
      <c r="M53" s="36">
        <f>Bachillerato!P125</f>
        <v>0</v>
      </c>
      <c r="N53" s="36">
        <f>Bachillerato!Q125</f>
        <v>0</v>
      </c>
      <c r="O53" s="36">
        <f>Bachillerato!R125</f>
        <v>1</v>
      </c>
      <c r="P53" s="36">
        <f>SUM(B53:D53)</f>
        <v>1</v>
      </c>
      <c r="Q53" s="36">
        <f>SUM(E53:I53)</f>
        <v>0</v>
      </c>
      <c r="R53" s="36">
        <f>SUM(J53:O53)</f>
        <v>5</v>
      </c>
      <c r="S53" s="36">
        <f>SUM(P53:R53)</f>
        <v>6</v>
      </c>
      <c r="T53" s="140">
        <f>IFERROR(P53/P68,0)</f>
        <v>0.125</v>
      </c>
      <c r="U53" s="140">
        <f t="shared" ref="U53:W53" si="65">IFERROR(Q53/Q68,0)</f>
        <v>0</v>
      </c>
      <c r="V53" s="140">
        <f t="shared" si="65"/>
        <v>0.19230769230769232</v>
      </c>
      <c r="W53" s="140">
        <f t="shared" si="65"/>
        <v>0.12244897959183673</v>
      </c>
    </row>
    <row r="54" spans="1:23">
      <c r="A54" s="34" t="str">
        <f t="shared" ref="A54:A64" si="66">A6</f>
        <v>Trimestre 2 / 2023</v>
      </c>
      <c r="B54" s="34">
        <f>Preescolar!J88-B53</f>
        <v>0</v>
      </c>
      <c r="C54" s="34">
        <f>Preescolar!K88-C53</f>
        <v>0</v>
      </c>
      <c r="D54" s="34">
        <f>Preescolar!L88-D53</f>
        <v>0</v>
      </c>
      <c r="E54" s="34">
        <f>Primaria!L128-E53</f>
        <v>0</v>
      </c>
      <c r="F54" s="34">
        <f>Primaria!M128-F53</f>
        <v>2</v>
      </c>
      <c r="G54" s="34">
        <f>Primaria!N128-G53</f>
        <v>0</v>
      </c>
      <c r="H54" s="34">
        <f>Primaria!O128-H53</f>
        <v>0</v>
      </c>
      <c r="I54" s="34">
        <f>Primaria!P128-I53</f>
        <v>1</v>
      </c>
      <c r="J54" s="34">
        <f>Bachillerato!M128-J53</f>
        <v>0</v>
      </c>
      <c r="K54" s="34">
        <f>Bachillerato!N128-K53</f>
        <v>0</v>
      </c>
      <c r="L54" s="34">
        <f>Bachillerato!O128-L53</f>
        <v>0</v>
      </c>
      <c r="M54" s="34">
        <f>Bachillerato!P128-M53</f>
        <v>0</v>
      </c>
      <c r="N54" s="34">
        <f>Bachillerato!Q128-N53</f>
        <v>2</v>
      </c>
      <c r="O54" s="34">
        <f>Bachillerato!R128-O53</f>
        <v>2</v>
      </c>
      <c r="P54" s="34">
        <f t="shared" ref="P54" si="67">SUM(B54:D54)</f>
        <v>0</v>
      </c>
      <c r="Q54" s="34">
        <f t="shared" ref="Q54" si="68">SUM(E54:I54)</f>
        <v>3</v>
      </c>
      <c r="R54" s="34">
        <f t="shared" ref="R54" si="69">SUM(J54:O54)</f>
        <v>4</v>
      </c>
      <c r="S54" s="34">
        <f t="shared" ref="S54" si="70">SUM(P54:R54)</f>
        <v>7</v>
      </c>
      <c r="T54" s="140">
        <f t="shared" ref="T54:T64" si="71">IFERROR(P54/P69,0)</f>
        <v>0</v>
      </c>
      <c r="U54" s="140">
        <f t="shared" ref="U54:U64" si="72">IFERROR(Q54/Q69,0)</f>
        <v>0.5</v>
      </c>
      <c r="V54" s="140">
        <f t="shared" ref="V54:V64" si="73">IFERROR(R54/R69,0)</f>
        <v>0.5</v>
      </c>
      <c r="W54" s="140">
        <f t="shared" ref="W54:W64" si="74">IFERROR(S54/S69,0)</f>
        <v>0.5</v>
      </c>
    </row>
    <row r="55" spans="1:23">
      <c r="A55" s="34" t="str">
        <f t="shared" si="66"/>
        <v>Trimestre 3 / 2023</v>
      </c>
      <c r="B55" s="34">
        <f>Preescolar!J91-B53-B54</f>
        <v>1</v>
      </c>
      <c r="C55" s="34">
        <f>Preescolar!K91-C53-C54</f>
        <v>1</v>
      </c>
      <c r="D55" s="34">
        <f>Preescolar!L91-D53-D54</f>
        <v>1</v>
      </c>
      <c r="E55" s="34">
        <f>Primaria!L131-E53-E54</f>
        <v>2</v>
      </c>
      <c r="F55" s="34">
        <f>Primaria!M131-F53-F54</f>
        <v>1</v>
      </c>
      <c r="G55" s="34">
        <f>Primaria!N131-G53-G54</f>
        <v>2</v>
      </c>
      <c r="H55" s="34">
        <f>Primaria!O131-H53-H54</f>
        <v>0</v>
      </c>
      <c r="I55" s="34">
        <f>Primaria!P131-I53-I54</f>
        <v>1</v>
      </c>
      <c r="J55" s="34">
        <f>Bachillerato!M131-J53-J54</f>
        <v>2</v>
      </c>
      <c r="K55" s="34">
        <f>Bachillerato!N131-K53-K54</f>
        <v>4</v>
      </c>
      <c r="L55" s="34">
        <f>Bachillerato!O131-L53-L54</f>
        <v>3</v>
      </c>
      <c r="M55" s="34">
        <f>Bachillerato!P131-M53-M54</f>
        <v>1</v>
      </c>
      <c r="N55" s="34">
        <f>Bachillerato!Q131-N53-N54</f>
        <v>1</v>
      </c>
      <c r="O55" s="34">
        <f>Bachillerato!R131-O53-O54</f>
        <v>1</v>
      </c>
      <c r="P55" s="34">
        <f t="shared" ref="P55" si="75">SUM(B55:D55)</f>
        <v>3</v>
      </c>
      <c r="Q55" s="34">
        <f t="shared" ref="Q55" si="76">SUM(E55:I55)</f>
        <v>6</v>
      </c>
      <c r="R55" s="34">
        <f t="shared" ref="R55" si="77">SUM(J55:O55)</f>
        <v>12</v>
      </c>
      <c r="S55" s="34">
        <f t="shared" ref="S55" si="78">SUM(P55:R55)</f>
        <v>21</v>
      </c>
      <c r="T55" s="140">
        <f t="shared" si="71"/>
        <v>0.42857142857142855</v>
      </c>
      <c r="U55" s="140">
        <f t="shared" si="72"/>
        <v>0.75</v>
      </c>
      <c r="V55" s="140">
        <f t="shared" si="73"/>
        <v>0.8571428571428571</v>
      </c>
      <c r="W55" s="140">
        <f t="shared" si="74"/>
        <v>0.72413793103448276</v>
      </c>
    </row>
    <row r="56" spans="1:23">
      <c r="A56" s="34" t="str">
        <f t="shared" si="66"/>
        <v>Trimestre 4 / 2023</v>
      </c>
      <c r="B56" s="34">
        <f>Preescolar!J94-B53-B54-B55</f>
        <v>0</v>
      </c>
      <c r="C56" s="34">
        <f>Preescolar!K94-C53-C54-C55</f>
        <v>0</v>
      </c>
      <c r="D56" s="34">
        <f>Preescolar!L94-D53-D54-D55</f>
        <v>0</v>
      </c>
      <c r="E56" s="34">
        <f>Primaria!L134-E53-E54-E55</f>
        <v>0</v>
      </c>
      <c r="F56" s="34">
        <f>Primaria!M134-F53-F54-F55</f>
        <v>0</v>
      </c>
      <c r="G56" s="34">
        <f>Primaria!N134-G53-G54-G55</f>
        <v>0</v>
      </c>
      <c r="H56" s="34">
        <f>Primaria!O134-H53-H54-H55</f>
        <v>2</v>
      </c>
      <c r="I56" s="34">
        <f>Primaria!P134-I53-I54-I55</f>
        <v>0</v>
      </c>
      <c r="J56" s="34">
        <f>Bachillerato!M134-J53-J54-J55</f>
        <v>0</v>
      </c>
      <c r="K56" s="34">
        <f>Bachillerato!N134-K53-K54-K55</f>
        <v>1</v>
      </c>
      <c r="L56" s="34">
        <f>Bachillerato!O134-L53-L54-L55</f>
        <v>1</v>
      </c>
      <c r="M56" s="34">
        <f>Bachillerato!P134-M53-M54-M55</f>
        <v>1</v>
      </c>
      <c r="N56" s="34">
        <f>Bachillerato!Q134-N53-N54-N55</f>
        <v>1</v>
      </c>
      <c r="O56" s="34">
        <f>Bachillerato!R134-O53-O54-O55</f>
        <v>2</v>
      </c>
      <c r="P56" s="34">
        <f t="shared" ref="P56" si="79">SUM(B56:D56)</f>
        <v>0</v>
      </c>
      <c r="Q56" s="34">
        <f t="shared" ref="Q56" si="80">SUM(E56:I56)</f>
        <v>2</v>
      </c>
      <c r="R56" s="34">
        <f t="shared" ref="R56" si="81">SUM(J56:O56)</f>
        <v>6</v>
      </c>
      <c r="S56" s="34">
        <f t="shared" ref="S56" si="82">SUM(P56:R56)</f>
        <v>8</v>
      </c>
      <c r="T56" s="140">
        <f t="shared" si="71"/>
        <v>0</v>
      </c>
      <c r="U56" s="140">
        <f t="shared" si="72"/>
        <v>1</v>
      </c>
      <c r="V56" s="140">
        <f t="shared" si="73"/>
        <v>1</v>
      </c>
      <c r="W56" s="140">
        <f t="shared" si="74"/>
        <v>1</v>
      </c>
    </row>
    <row r="57" spans="1:23" s="137" customFormat="1">
      <c r="A57" s="36" t="str">
        <f t="shared" si="66"/>
        <v>Trimestre 1 / 2024</v>
      </c>
      <c r="B57" s="36">
        <f>Preescolar!J97</f>
        <v>1</v>
      </c>
      <c r="C57" s="36">
        <f>Preescolar!K97</f>
        <v>0</v>
      </c>
      <c r="D57" s="36">
        <f>Preescolar!L97</f>
        <v>3</v>
      </c>
      <c r="E57" s="36">
        <f>Primaria!L137</f>
        <v>2</v>
      </c>
      <c r="F57" s="36">
        <f>Primaria!M137</f>
        <v>1</v>
      </c>
      <c r="G57" s="36">
        <f>Primaria!N137</f>
        <v>1</v>
      </c>
      <c r="H57" s="36">
        <f>Primaria!O137</f>
        <v>1</v>
      </c>
      <c r="I57" s="36">
        <f>Primaria!P137</f>
        <v>5</v>
      </c>
      <c r="J57" s="36">
        <f>Bachillerato!M137</f>
        <v>2</v>
      </c>
      <c r="K57" s="36">
        <f>Bachillerato!N137</f>
        <v>1</v>
      </c>
      <c r="L57" s="36">
        <f>Bachillerato!O137</f>
        <v>4</v>
      </c>
      <c r="M57" s="36">
        <f>Bachillerato!P137</f>
        <v>3</v>
      </c>
      <c r="N57" s="36">
        <f>Bachillerato!Q137</f>
        <v>3</v>
      </c>
      <c r="O57" s="36">
        <f>Bachillerato!R137</f>
        <v>0</v>
      </c>
      <c r="P57" s="36">
        <f>SUM(B57:D57)</f>
        <v>4</v>
      </c>
      <c r="Q57" s="36">
        <f>SUM(E57:I57)</f>
        <v>10</v>
      </c>
      <c r="R57" s="36">
        <f>SUM(J57:O57)</f>
        <v>13</v>
      </c>
      <c r="S57" s="36">
        <f>SUM(P57:R57)</f>
        <v>27</v>
      </c>
      <c r="T57" s="140">
        <f t="shared" si="71"/>
        <v>0.33333333333333331</v>
      </c>
      <c r="U57" s="140">
        <f t="shared" si="72"/>
        <v>0.7142857142857143</v>
      </c>
      <c r="V57" s="140">
        <f t="shared" si="73"/>
        <v>0.65</v>
      </c>
      <c r="W57" s="140">
        <f t="shared" si="74"/>
        <v>0.58695652173913049</v>
      </c>
    </row>
    <row r="58" spans="1:23">
      <c r="A58" s="34" t="str">
        <f t="shared" si="66"/>
        <v>Trimestre 2 / 2024</v>
      </c>
      <c r="B58" s="34">
        <f>Preescolar!J100-B57</f>
        <v>0</v>
      </c>
      <c r="C58" s="34">
        <f>Preescolar!K100-C57</f>
        <v>0</v>
      </c>
      <c r="D58" s="34">
        <f>Preescolar!L100-D57</f>
        <v>0</v>
      </c>
      <c r="E58" s="34">
        <f>Primaria!L140-E57</f>
        <v>0</v>
      </c>
      <c r="F58" s="34">
        <f>Primaria!M140-F57</f>
        <v>1</v>
      </c>
      <c r="G58" s="34">
        <f>Primaria!N140-G57</f>
        <v>1</v>
      </c>
      <c r="H58" s="34">
        <f>Primaria!O140-H57</f>
        <v>0</v>
      </c>
      <c r="I58" s="34">
        <f>Primaria!P140-I57</f>
        <v>0</v>
      </c>
      <c r="J58" s="34">
        <f>Bachillerato!M140-J57</f>
        <v>0</v>
      </c>
      <c r="K58" s="34">
        <f>Bachillerato!N140-K57</f>
        <v>0</v>
      </c>
      <c r="L58" s="34">
        <f>Bachillerato!O140-L57</f>
        <v>0</v>
      </c>
      <c r="M58" s="34">
        <f>Bachillerato!P140-M57</f>
        <v>0</v>
      </c>
      <c r="N58" s="34">
        <f>Bachillerato!Q140-N57</f>
        <v>1</v>
      </c>
      <c r="O58" s="34">
        <f>Bachillerato!R140-O57</f>
        <v>0</v>
      </c>
      <c r="P58" s="34">
        <f t="shared" ref="P58:P64" si="83">SUM(B58:D58)</f>
        <v>0</v>
      </c>
      <c r="Q58" s="34">
        <f t="shared" ref="Q58:Q64" si="84">SUM(E58:I58)</f>
        <v>2</v>
      </c>
      <c r="R58" s="34">
        <f t="shared" ref="R58:R64" si="85">SUM(J58:O58)</f>
        <v>1</v>
      </c>
      <c r="S58" s="34">
        <f t="shared" ref="S58:S64" si="86">SUM(P58:R58)</f>
        <v>3</v>
      </c>
      <c r="T58" s="140">
        <f t="shared" si="71"/>
        <v>0</v>
      </c>
      <c r="U58" s="140">
        <f t="shared" si="72"/>
        <v>1</v>
      </c>
      <c r="V58" s="140">
        <f t="shared" si="73"/>
        <v>0.5</v>
      </c>
      <c r="W58" s="140">
        <f t="shared" si="74"/>
        <v>0.5</v>
      </c>
    </row>
    <row r="59" spans="1:23">
      <c r="A59" s="34" t="str">
        <f t="shared" si="66"/>
        <v>Trimestre 3 / 2024</v>
      </c>
      <c r="B59" s="34">
        <f>Preescolar!J103-B57-B58</f>
        <v>0</v>
      </c>
      <c r="C59" s="34">
        <f>Preescolar!K103-C57-C58</f>
        <v>1</v>
      </c>
      <c r="D59" s="34">
        <f>Preescolar!L103-D57-D58</f>
        <v>0</v>
      </c>
      <c r="E59" s="34">
        <f>Primaria!L143-E57-E58</f>
        <v>0</v>
      </c>
      <c r="F59" s="34">
        <f>Primaria!M143-F57-F58</f>
        <v>1</v>
      </c>
      <c r="G59" s="34">
        <f>Primaria!N143-G57-G58</f>
        <v>2</v>
      </c>
      <c r="H59" s="34">
        <f>Primaria!O143-H57-H58</f>
        <v>2</v>
      </c>
      <c r="I59" s="34">
        <f>Primaria!P143-I57-I58</f>
        <v>2</v>
      </c>
      <c r="J59" s="34">
        <f>Bachillerato!M143-J57-J58</f>
        <v>1</v>
      </c>
      <c r="K59" s="34">
        <f>Bachillerato!N143-K57-K58</f>
        <v>0</v>
      </c>
      <c r="L59" s="34">
        <f>Bachillerato!O143-L57-L58</f>
        <v>0</v>
      </c>
      <c r="M59" s="34">
        <f>Bachillerato!P143-M57-M58</f>
        <v>2</v>
      </c>
      <c r="N59" s="34">
        <f>Bachillerato!Q143-N57-N58</f>
        <v>1</v>
      </c>
      <c r="O59" s="34">
        <f>Bachillerato!R143-O57-O58</f>
        <v>0</v>
      </c>
      <c r="P59" s="34">
        <f t="shared" si="83"/>
        <v>1</v>
      </c>
      <c r="Q59" s="34">
        <f t="shared" si="84"/>
        <v>7</v>
      </c>
      <c r="R59" s="34">
        <f t="shared" si="85"/>
        <v>4</v>
      </c>
      <c r="S59" s="34">
        <f t="shared" si="86"/>
        <v>12</v>
      </c>
      <c r="T59" s="140">
        <f t="shared" si="71"/>
        <v>0.5</v>
      </c>
      <c r="U59" s="140">
        <f t="shared" si="72"/>
        <v>0.77777777777777779</v>
      </c>
      <c r="V59" s="140">
        <f t="shared" si="73"/>
        <v>0.8</v>
      </c>
      <c r="W59" s="140">
        <f t="shared" si="74"/>
        <v>0.75</v>
      </c>
    </row>
    <row r="60" spans="1:23">
      <c r="A60" s="34" t="str">
        <f t="shared" si="66"/>
        <v>Trimestre 4 / 2024</v>
      </c>
      <c r="B60" s="34">
        <f>Preescolar!J106-B57-B58-B59</f>
        <v>0</v>
      </c>
      <c r="C60" s="34">
        <f>Preescolar!K106-C57-C58-C59</f>
        <v>0</v>
      </c>
      <c r="D60" s="34">
        <f>Preescolar!L106-D57-D58-D59</f>
        <v>0</v>
      </c>
      <c r="E60" s="34">
        <f>Primaria!L146-E57-E58-E59</f>
        <v>0</v>
      </c>
      <c r="F60" s="34">
        <f>Primaria!M146-F57-F58-F59</f>
        <v>0</v>
      </c>
      <c r="G60" s="34">
        <f>Primaria!N146-G57-G58-G59</f>
        <v>0</v>
      </c>
      <c r="H60" s="34">
        <f>Primaria!O146-H57-H58-H59</f>
        <v>0</v>
      </c>
      <c r="I60" s="34">
        <f>Primaria!P146-I57-I58-I59</f>
        <v>1</v>
      </c>
      <c r="J60" s="34">
        <f>Bachillerato!M146-J57-J58-J59</f>
        <v>0</v>
      </c>
      <c r="K60" s="34">
        <f>Bachillerato!N146-K57-K58-K59</f>
        <v>0</v>
      </c>
      <c r="L60" s="34">
        <f>Bachillerato!O146-L57-L58-L59</f>
        <v>2</v>
      </c>
      <c r="M60" s="34">
        <f>Bachillerato!P146-M57-M58-M59</f>
        <v>0</v>
      </c>
      <c r="N60" s="34">
        <f>Bachillerato!Q146-N57-N58-N59</f>
        <v>0</v>
      </c>
      <c r="O60" s="34">
        <f>Bachillerato!R146-O57-O58-O59</f>
        <v>0</v>
      </c>
      <c r="P60" s="34">
        <f t="shared" si="83"/>
        <v>0</v>
      </c>
      <c r="Q60" s="34">
        <f t="shared" si="84"/>
        <v>1</v>
      </c>
      <c r="R60" s="34">
        <f t="shared" si="85"/>
        <v>2</v>
      </c>
      <c r="S60" s="34">
        <f t="shared" si="86"/>
        <v>3</v>
      </c>
      <c r="T60" s="140">
        <f t="shared" si="71"/>
        <v>0</v>
      </c>
      <c r="U60" s="140">
        <f t="shared" si="72"/>
        <v>1</v>
      </c>
      <c r="V60" s="140">
        <f t="shared" si="73"/>
        <v>2</v>
      </c>
      <c r="W60" s="140">
        <f t="shared" si="74"/>
        <v>1.5</v>
      </c>
    </row>
    <row r="61" spans="1:23" s="137" customFormat="1">
      <c r="A61" s="36" t="str">
        <f t="shared" si="66"/>
        <v>Trimestre 1 / 2025</v>
      </c>
      <c r="B61" s="36">
        <f>Preescolar!J109</f>
        <v>3</v>
      </c>
      <c r="C61" s="36">
        <f>Preescolar!K109</f>
        <v>2</v>
      </c>
      <c r="D61" s="36">
        <f>Preescolar!L109</f>
        <v>1</v>
      </c>
      <c r="E61" s="36">
        <f>Primaria!L149</f>
        <v>0</v>
      </c>
      <c r="F61" s="36">
        <f>Primaria!M149</f>
        <v>2</v>
      </c>
      <c r="G61" s="36">
        <f>Primaria!N149</f>
        <v>5</v>
      </c>
      <c r="H61" s="36">
        <f>Primaria!O149</f>
        <v>1</v>
      </c>
      <c r="I61" s="36">
        <f>Primaria!P149</f>
        <v>4</v>
      </c>
      <c r="J61" s="36">
        <f>Bachillerato!M149</f>
        <v>1</v>
      </c>
      <c r="K61" s="36">
        <f>Bachillerato!N149</f>
        <v>0</v>
      </c>
      <c r="L61" s="36">
        <f>Bachillerato!O149</f>
        <v>4</v>
      </c>
      <c r="M61" s="36">
        <f>Bachillerato!P149</f>
        <v>4</v>
      </c>
      <c r="N61" s="36">
        <f>Bachillerato!Q149</f>
        <v>2</v>
      </c>
      <c r="O61" s="36">
        <f>Bachillerato!R149</f>
        <v>0</v>
      </c>
      <c r="P61" s="36">
        <f t="shared" si="83"/>
        <v>6</v>
      </c>
      <c r="Q61" s="36">
        <f t="shared" si="84"/>
        <v>12</v>
      </c>
      <c r="R61" s="36">
        <f t="shared" si="85"/>
        <v>11</v>
      </c>
      <c r="S61" s="36">
        <f t="shared" si="86"/>
        <v>29</v>
      </c>
      <c r="T61" s="140">
        <f t="shared" si="71"/>
        <v>0.8571428571428571</v>
      </c>
      <c r="U61" s="140">
        <f t="shared" si="72"/>
        <v>0.8</v>
      </c>
      <c r="V61" s="140">
        <f t="shared" si="73"/>
        <v>0.6875</v>
      </c>
      <c r="W61" s="140">
        <f t="shared" si="74"/>
        <v>0.76315789473684215</v>
      </c>
    </row>
    <row r="62" spans="1:23">
      <c r="A62" s="34" t="str">
        <f t="shared" si="66"/>
        <v>Trimestre 2 / 2025</v>
      </c>
      <c r="B62" s="34">
        <f>Preescolar!J112-B61</f>
        <v>0</v>
      </c>
      <c r="C62" s="34">
        <f>Preescolar!K112-C61</f>
        <v>1</v>
      </c>
      <c r="D62" s="34">
        <f>Preescolar!L112-D61</f>
        <v>1</v>
      </c>
      <c r="E62" s="34">
        <f>Primaria!L152-E61</f>
        <v>3</v>
      </c>
      <c r="F62" s="34">
        <f>Primaria!M152-F61</f>
        <v>1</v>
      </c>
      <c r="G62" s="34">
        <f>Primaria!N152-G61</f>
        <v>0</v>
      </c>
      <c r="H62" s="34">
        <f>Primaria!O152-H61</f>
        <v>1</v>
      </c>
      <c r="I62" s="34">
        <f>Primaria!P152-I61</f>
        <v>1</v>
      </c>
      <c r="J62" s="34">
        <f>Bachillerato!M152-J61</f>
        <v>2</v>
      </c>
      <c r="K62" s="34">
        <f>Bachillerato!N152-K61</f>
        <v>0</v>
      </c>
      <c r="L62" s="34">
        <f>Bachillerato!O152-L61</f>
        <v>0</v>
      </c>
      <c r="M62" s="34">
        <f>Bachillerato!P152-M61</f>
        <v>1</v>
      </c>
      <c r="N62" s="34">
        <f>Bachillerato!Q152-N61</f>
        <v>0</v>
      </c>
      <c r="O62" s="34">
        <f>Bachillerato!R152-O61</f>
        <v>0</v>
      </c>
      <c r="P62" s="34">
        <f t="shared" si="83"/>
        <v>2</v>
      </c>
      <c r="Q62" s="34">
        <f t="shared" si="84"/>
        <v>6</v>
      </c>
      <c r="R62" s="34">
        <f t="shared" si="85"/>
        <v>3</v>
      </c>
      <c r="S62" s="34">
        <f t="shared" si="86"/>
        <v>11</v>
      </c>
      <c r="T62" s="140">
        <f t="shared" si="71"/>
        <v>0</v>
      </c>
      <c r="U62" s="140">
        <f t="shared" si="72"/>
        <v>0</v>
      </c>
      <c r="V62" s="140">
        <f t="shared" si="73"/>
        <v>0</v>
      </c>
      <c r="W62" s="140">
        <f t="shared" si="74"/>
        <v>0</v>
      </c>
    </row>
    <row r="63" spans="1:23">
      <c r="A63" s="34" t="str">
        <f t="shared" si="66"/>
        <v>Trimestre 3 / 2025</v>
      </c>
      <c r="B63" s="34">
        <f>Preescolar!J115-B61-B62</f>
        <v>1</v>
      </c>
      <c r="C63" s="34">
        <f>Preescolar!K115-C61-C62</f>
        <v>0</v>
      </c>
      <c r="D63" s="34">
        <f>Preescolar!L115-D61-D62</f>
        <v>0</v>
      </c>
      <c r="E63" s="34">
        <f>Primaria!L155-E61-E62</f>
        <v>3</v>
      </c>
      <c r="F63" s="34">
        <f>Primaria!M155-F61-F62</f>
        <v>0</v>
      </c>
      <c r="G63" s="34">
        <f>Primaria!N155-G61-G62</f>
        <v>2</v>
      </c>
      <c r="H63" s="34">
        <f>Primaria!O155-H61-H62</f>
        <v>1</v>
      </c>
      <c r="I63" s="34">
        <f>Primaria!P155-I61-I62</f>
        <v>0</v>
      </c>
      <c r="J63" s="34">
        <f>Bachillerato!M155-J61-J62</f>
        <v>5</v>
      </c>
      <c r="K63" s="34">
        <f>Bachillerato!N155-K61-K62</f>
        <v>2</v>
      </c>
      <c r="L63" s="34">
        <f>Bachillerato!O155-L61-L62</f>
        <v>2</v>
      </c>
      <c r="M63" s="34">
        <f>Bachillerato!P155-M61-M62</f>
        <v>2</v>
      </c>
      <c r="N63" s="34">
        <f>Bachillerato!Q155-N61-N62</f>
        <v>3</v>
      </c>
      <c r="O63" s="34">
        <f>Bachillerato!R155-O61-O62</f>
        <v>1</v>
      </c>
      <c r="P63" s="34">
        <f t="shared" si="83"/>
        <v>1</v>
      </c>
      <c r="Q63" s="34">
        <f t="shared" si="84"/>
        <v>6</v>
      </c>
      <c r="R63" s="34">
        <f t="shared" si="85"/>
        <v>15</v>
      </c>
      <c r="S63" s="34">
        <f t="shared" si="86"/>
        <v>22</v>
      </c>
      <c r="T63" s="140">
        <f t="shared" si="71"/>
        <v>0</v>
      </c>
      <c r="U63" s="140">
        <f t="shared" si="72"/>
        <v>0</v>
      </c>
      <c r="V63" s="140">
        <f t="shared" si="73"/>
        <v>0</v>
      </c>
      <c r="W63" s="140">
        <f t="shared" si="74"/>
        <v>0</v>
      </c>
    </row>
    <row r="64" spans="1:23">
      <c r="A64" s="34" t="str">
        <f t="shared" si="66"/>
        <v>Trimestre 4 / 2025</v>
      </c>
      <c r="B64" s="34">
        <f>Preescolar!J118-B61-B62-B63</f>
        <v>1</v>
      </c>
      <c r="C64" s="34">
        <f>Preescolar!K118-C61-C62-C63</f>
        <v>1</v>
      </c>
      <c r="D64" s="34">
        <f>Preescolar!L118-D61-D62-D63</f>
        <v>1</v>
      </c>
      <c r="E64" s="34">
        <f>Primaria!L158-E61-E62-E63</f>
        <v>0</v>
      </c>
      <c r="F64" s="34">
        <f>Primaria!M158-F61-F62-F63</f>
        <v>0</v>
      </c>
      <c r="G64" s="34">
        <f>Primaria!N158-G61-G62-G63</f>
        <v>1</v>
      </c>
      <c r="H64" s="34">
        <f>Primaria!O158-H61-H62-H63</f>
        <v>0</v>
      </c>
      <c r="I64" s="34">
        <f>Primaria!P158-I61-I62-I63</f>
        <v>0</v>
      </c>
      <c r="J64" s="34">
        <f>Bachillerato!M158-J61-J62-J63</f>
        <v>2</v>
      </c>
      <c r="K64" s="34">
        <f>Bachillerato!N158-K61-K62-K63</f>
        <v>0</v>
      </c>
      <c r="L64" s="34">
        <f>Bachillerato!O158-L61-L62-L63</f>
        <v>0</v>
      </c>
      <c r="M64" s="34">
        <f>Bachillerato!P158-M61-M62-M63</f>
        <v>0</v>
      </c>
      <c r="N64" s="34">
        <f>Bachillerato!Q158-N61-N62-N63</f>
        <v>1</v>
      </c>
      <c r="O64" s="34">
        <f>Bachillerato!R158-O61-O62-O63</f>
        <v>1</v>
      </c>
      <c r="P64" s="34">
        <f t="shared" si="83"/>
        <v>3</v>
      </c>
      <c r="Q64" s="34">
        <f t="shared" si="84"/>
        <v>1</v>
      </c>
      <c r="R64" s="34">
        <f t="shared" si="85"/>
        <v>4</v>
      </c>
      <c r="S64" s="34">
        <f t="shared" si="86"/>
        <v>8</v>
      </c>
      <c r="T64" s="140">
        <f t="shared" si="71"/>
        <v>0</v>
      </c>
      <c r="U64" s="140">
        <f t="shared" si="72"/>
        <v>0</v>
      </c>
      <c r="V64" s="140">
        <f t="shared" si="73"/>
        <v>0</v>
      </c>
      <c r="W64" s="140">
        <f t="shared" si="74"/>
        <v>0</v>
      </c>
    </row>
    <row r="66" spans="1:23">
      <c r="P66" s="281" t="s">
        <v>1474</v>
      </c>
      <c r="Q66" s="282"/>
      <c r="R66" s="282"/>
      <c r="S66" s="282"/>
    </row>
    <row r="67" spans="1:23">
      <c r="P67" s="138" t="s">
        <v>1433</v>
      </c>
      <c r="Q67" s="138" t="s">
        <v>1434</v>
      </c>
      <c r="R67" s="138" t="s">
        <v>1435</v>
      </c>
      <c r="S67" s="139" t="s">
        <v>1436</v>
      </c>
    </row>
    <row r="68" spans="1:23">
      <c r="A68" s="34" t="str">
        <f>A5</f>
        <v>Trimestre 1 / 2023</v>
      </c>
      <c r="P68" s="34">
        <v>8</v>
      </c>
      <c r="Q68" s="34">
        <v>15</v>
      </c>
      <c r="R68" s="34">
        <v>26</v>
      </c>
      <c r="S68" s="34">
        <f t="shared" ref="S68:S70" si="87">SUM(P68:R68)</f>
        <v>49</v>
      </c>
      <c r="T68" s="141">
        <f>SUM(P$53:P53)/SUM(P$68:P68)</f>
        <v>0.125</v>
      </c>
      <c r="U68" s="141">
        <f>SUM(Q$53:Q53)/SUM(Q$68:Q68)</f>
        <v>0</v>
      </c>
      <c r="V68" s="141">
        <f>SUM(R$53:R53)/SUM(R$68:R68)</f>
        <v>0.19230769230769232</v>
      </c>
      <c r="W68" s="141">
        <f>SUM(S$53:S53)/SUM(S$68:S68)</f>
        <v>0.12244897959183673</v>
      </c>
    </row>
    <row r="69" spans="1:23">
      <c r="A69" s="34" t="str">
        <f t="shared" ref="A69:A79" si="88">A6</f>
        <v>Trimestre 2 / 2023</v>
      </c>
      <c r="P69" s="34">
        <v>0</v>
      </c>
      <c r="Q69" s="34">
        <v>6</v>
      </c>
      <c r="R69" s="34">
        <v>8</v>
      </c>
      <c r="S69" s="34">
        <f t="shared" si="87"/>
        <v>14</v>
      </c>
      <c r="T69" s="141">
        <f>SUM(P$53:P54)/SUM(P$68:P69)</f>
        <v>0.125</v>
      </c>
      <c r="U69" s="141">
        <f>SUM(Q$53:Q54)/SUM(Q$68:Q69)</f>
        <v>0.14285714285714285</v>
      </c>
      <c r="V69" s="141">
        <f>SUM(R$53:R54)/SUM(R$68:R69)</f>
        <v>0.26470588235294118</v>
      </c>
      <c r="W69" s="141">
        <f>SUM(S$53:S54)/SUM(S$68:S69)</f>
        <v>0.20634920634920634</v>
      </c>
    </row>
    <row r="70" spans="1:23">
      <c r="A70" s="34" t="str">
        <f t="shared" si="88"/>
        <v>Trimestre 3 / 2023</v>
      </c>
      <c r="P70" s="34">
        <v>7</v>
      </c>
      <c r="Q70" s="34">
        <v>8</v>
      </c>
      <c r="R70" s="34">
        <v>14</v>
      </c>
      <c r="S70" s="34">
        <f t="shared" si="87"/>
        <v>29</v>
      </c>
      <c r="T70" s="141">
        <f>SUM(P$53:P55)/SUM(P$68:P70)</f>
        <v>0.26666666666666666</v>
      </c>
      <c r="U70" s="141">
        <f>SUM(Q$53:Q55)/SUM(Q$68:Q70)</f>
        <v>0.31034482758620691</v>
      </c>
      <c r="V70" s="141">
        <f>SUM(R$53:R55)/SUM(R$68:R70)</f>
        <v>0.4375</v>
      </c>
      <c r="W70" s="141">
        <f>SUM(S$53:S55)/SUM(S$68:S70)</f>
        <v>0.36956521739130432</v>
      </c>
    </row>
    <row r="71" spans="1:23">
      <c r="A71" s="34" t="str">
        <f t="shared" si="88"/>
        <v>Trimestre 4 / 2023</v>
      </c>
      <c r="P71" s="34">
        <v>0</v>
      </c>
      <c r="Q71" s="34">
        <v>2</v>
      </c>
      <c r="R71" s="34">
        <v>6</v>
      </c>
      <c r="S71" s="34">
        <f t="shared" ref="S71:S79" si="89">SUM(P71:R71)</f>
        <v>8</v>
      </c>
      <c r="T71" s="141">
        <f>SUM(P$53:P56)/SUM(P$68:P71)</f>
        <v>0.26666666666666666</v>
      </c>
      <c r="U71" s="141">
        <f>SUM(Q$53:Q56)/SUM(Q$68:Q71)</f>
        <v>0.35483870967741937</v>
      </c>
      <c r="V71" s="141">
        <f>SUM(R$53:R56)/SUM(R$68:R71)</f>
        <v>0.5</v>
      </c>
      <c r="W71" s="141">
        <f>SUM(S$53:S56)/SUM(S$68:S71)</f>
        <v>0.42</v>
      </c>
    </row>
    <row r="72" spans="1:23">
      <c r="A72" s="34" t="str">
        <f t="shared" si="88"/>
        <v>Trimestre 1 / 2024</v>
      </c>
      <c r="P72" s="34">
        <v>12</v>
      </c>
      <c r="Q72" s="34">
        <v>14</v>
      </c>
      <c r="R72" s="34">
        <v>20</v>
      </c>
      <c r="S72" s="34">
        <f t="shared" si="89"/>
        <v>46</v>
      </c>
      <c r="T72" s="141">
        <f>SUM(P$53:P57)/SUM(P$68:P72)</f>
        <v>0.29629629629629628</v>
      </c>
      <c r="U72" s="141">
        <f>SUM(Q$53:Q57)/SUM(Q$68:Q72)</f>
        <v>0.46666666666666667</v>
      </c>
      <c r="V72" s="141">
        <f>SUM(R$53:R57)/SUM(R$68:R72)</f>
        <v>0.54054054054054057</v>
      </c>
      <c r="W72" s="141">
        <f>SUM(S$53:S57)/SUM(S$68:S72)</f>
        <v>0.4726027397260274</v>
      </c>
    </row>
    <row r="73" spans="1:23">
      <c r="A73" s="34" t="str">
        <f t="shared" si="88"/>
        <v>Trimestre 2 / 2024</v>
      </c>
      <c r="P73" s="34">
        <v>2</v>
      </c>
      <c r="Q73" s="34">
        <v>2</v>
      </c>
      <c r="R73" s="34">
        <v>2</v>
      </c>
      <c r="S73" s="34">
        <f t="shared" si="89"/>
        <v>6</v>
      </c>
      <c r="T73" s="141">
        <f>SUM(P$53:P58)/SUM(P$68:P73)</f>
        <v>0.27586206896551724</v>
      </c>
      <c r="U73" s="141">
        <f>SUM(Q$53:Q58)/SUM(Q$68:Q73)</f>
        <v>0.48936170212765956</v>
      </c>
      <c r="V73" s="141">
        <f>SUM(R$53:R58)/SUM(R$68:R73)</f>
        <v>0.53947368421052633</v>
      </c>
      <c r="W73" s="141">
        <f>SUM(S$53:S58)/SUM(S$68:S73)</f>
        <v>0.47368421052631576</v>
      </c>
    </row>
    <row r="74" spans="1:23">
      <c r="A74" s="34" t="str">
        <f t="shared" si="88"/>
        <v>Trimestre 3 / 2024</v>
      </c>
      <c r="P74" s="34">
        <v>2</v>
      </c>
      <c r="Q74" s="34">
        <v>9</v>
      </c>
      <c r="R74" s="34">
        <v>5</v>
      </c>
      <c r="S74" s="34">
        <f t="shared" si="89"/>
        <v>16</v>
      </c>
      <c r="T74" s="141">
        <f>SUM(P$53:P59)/SUM(P$68:P74)</f>
        <v>0.29032258064516131</v>
      </c>
      <c r="U74" s="141">
        <f>SUM(Q$53:Q59)/SUM(Q$68:Q74)</f>
        <v>0.5357142857142857</v>
      </c>
      <c r="V74" s="141">
        <f>SUM(R$53:R59)/SUM(R$68:R74)</f>
        <v>0.55555555555555558</v>
      </c>
      <c r="W74" s="141">
        <f>SUM(S$53:S59)/SUM(S$68:S74)</f>
        <v>0.5</v>
      </c>
    </row>
    <row r="75" spans="1:23">
      <c r="A75" s="34" t="str">
        <f t="shared" si="88"/>
        <v>Trimestre 4 / 2024</v>
      </c>
      <c r="P75" s="34">
        <v>0</v>
      </c>
      <c r="Q75" s="34">
        <v>1</v>
      </c>
      <c r="R75" s="34">
        <v>1</v>
      </c>
      <c r="S75" s="34">
        <f t="shared" si="89"/>
        <v>2</v>
      </c>
      <c r="T75" s="141">
        <f>SUM(P$53:P60)/SUM(P$68:P75)</f>
        <v>0.29032258064516131</v>
      </c>
      <c r="U75" s="141">
        <f>SUM(Q$53:Q60)/SUM(Q$68:Q75)</f>
        <v>0.54385964912280704</v>
      </c>
      <c r="V75" s="141">
        <f>SUM(R$53:R60)/SUM(R$68:R75)</f>
        <v>0.57317073170731703</v>
      </c>
      <c r="W75" s="141">
        <f>SUM(S$53:S60)/SUM(S$68:S75)</f>
        <v>0.5117647058823529</v>
      </c>
    </row>
    <row r="76" spans="1:23">
      <c r="A76" s="34" t="str">
        <f t="shared" si="88"/>
        <v>Trimestre 1 / 2025</v>
      </c>
      <c r="P76" s="34">
        <v>7</v>
      </c>
      <c r="Q76" s="34">
        <v>15</v>
      </c>
      <c r="R76" s="34">
        <v>16</v>
      </c>
      <c r="S76" s="34">
        <f t="shared" si="89"/>
        <v>38</v>
      </c>
      <c r="T76" s="141">
        <f>SUM(P$53:P61)/SUM(P$68:P76)</f>
        <v>0.39473684210526316</v>
      </c>
      <c r="U76" s="141">
        <f>SUM(Q$53:Q61)/SUM(Q$68:Q76)</f>
        <v>0.59722222222222221</v>
      </c>
      <c r="V76" s="141">
        <f>SUM(R$53:R61)/SUM(R$68:R76)</f>
        <v>0.59183673469387754</v>
      </c>
      <c r="W76" s="141">
        <f>SUM(S$53:S61)/SUM(S$68:S76)</f>
        <v>0.55769230769230771</v>
      </c>
    </row>
    <row r="77" spans="1:23">
      <c r="A77" s="34" t="str">
        <f t="shared" si="88"/>
        <v>Trimestre 2 / 2025</v>
      </c>
      <c r="P77" s="34"/>
      <c r="Q77" s="34"/>
      <c r="R77" s="34"/>
      <c r="S77" s="34">
        <f t="shared" si="89"/>
        <v>0</v>
      </c>
      <c r="T77" s="141">
        <f>SUM(P$53:P62)/SUM(P$68:P77)</f>
        <v>0.44736842105263158</v>
      </c>
      <c r="U77" s="141">
        <f>SUM(Q$53:Q62)/SUM(Q$68:Q77)</f>
        <v>0.68055555555555558</v>
      </c>
      <c r="V77" s="141">
        <f>SUM(R$53:R62)/SUM(R$68:R77)</f>
        <v>0.62244897959183676</v>
      </c>
      <c r="W77" s="141">
        <f>SUM(S$53:S62)/SUM(S$68:S77)</f>
        <v>0.61057692307692313</v>
      </c>
    </row>
    <row r="78" spans="1:23">
      <c r="A78" s="34" t="str">
        <f t="shared" si="88"/>
        <v>Trimestre 3 / 2025</v>
      </c>
      <c r="P78" s="34"/>
      <c r="Q78" s="34"/>
      <c r="R78" s="34"/>
      <c r="S78" s="34">
        <f t="shared" si="89"/>
        <v>0</v>
      </c>
      <c r="T78" s="141">
        <f>SUM(P$53:P63)/SUM(P$68:P78)</f>
        <v>0.47368421052631576</v>
      </c>
      <c r="U78" s="141">
        <f>SUM(Q$53:Q63)/SUM(Q$68:Q78)</f>
        <v>0.76388888888888884</v>
      </c>
      <c r="V78" s="141">
        <f>SUM(R$53:R63)/SUM(R$68:R78)</f>
        <v>0.77551020408163263</v>
      </c>
      <c r="W78" s="141">
        <f>SUM(S$53:S63)/SUM(S$68:S78)</f>
        <v>0.71634615384615385</v>
      </c>
    </row>
    <row r="79" spans="1:23">
      <c r="A79" s="34" t="str">
        <f t="shared" si="88"/>
        <v>Trimestre 4 / 2025</v>
      </c>
      <c r="P79" s="34"/>
      <c r="Q79" s="34"/>
      <c r="R79" s="34"/>
      <c r="S79" s="34">
        <f t="shared" si="89"/>
        <v>0</v>
      </c>
      <c r="T79" s="141">
        <f>SUM(P$53:P64)/SUM(P$68:P79)</f>
        <v>0.55263157894736847</v>
      </c>
      <c r="U79" s="141">
        <f>SUM(Q$53:Q64)/SUM(Q$68:Q79)</f>
        <v>0.77777777777777779</v>
      </c>
      <c r="V79" s="141">
        <f>SUM(R$53:R64)/SUM(R$68:R79)</f>
        <v>0.81632653061224492</v>
      </c>
      <c r="W79" s="141">
        <f>SUM(S$53:S64)/SUM(S$68:S79)</f>
        <v>0.75480769230769229</v>
      </c>
    </row>
  </sheetData>
  <mergeCells count="1">
    <mergeCell ref="P66:S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Solano Pérez</dc:creator>
  <cp:keywords/>
  <dc:description/>
  <cp:lastModifiedBy/>
  <cp:revision/>
  <dcterms:created xsi:type="dcterms:W3CDTF">2024-07-10T15:18:18Z</dcterms:created>
  <dcterms:modified xsi:type="dcterms:W3CDTF">2026-04-23T16:13:57Z</dcterms:modified>
  <cp:category/>
  <cp:contentStatus/>
</cp:coreProperties>
</file>